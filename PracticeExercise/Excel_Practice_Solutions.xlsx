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shujauhari/Data-2026/Client-2026/REVATURE-KPMG-OperationAnalyst/QCAuditQuestion/"/>
    </mc:Choice>
  </mc:AlternateContent>
  <xr:revisionPtr revIDLastSave="0" documentId="13_ncr:1_{1280FC6A-4B71-924F-977F-5C7849F4BD2D}" xr6:coauthVersionLast="47" xr6:coauthVersionMax="47" xr10:uidLastSave="{00000000-0000-0000-0000-000000000000}"/>
  <bookViews>
    <workbookView xWindow="0" yWindow="0" windowWidth="28800" windowHeight="18000" tabRatio="500" xr2:uid="{00000000-000D-0000-FFFF-FFFF00000000}"/>
  </bookViews>
  <sheets>
    <sheet name="Start Here" sheetId="1" r:id="rId1"/>
    <sheet name="Ex1_Formulas" sheetId="2" r:id="rId2"/>
    <sheet name="Ex2_References" sheetId="3" r:id="rId3"/>
    <sheet name="Ex3_SortFilter" sheetId="4" r:id="rId4"/>
    <sheet name="Ex4_Errors" sheetId="5" r:id="rId5"/>
    <sheet name="Ex5_TextClean" sheetId="6" r:id="rId6"/>
    <sheet name="Ex6_Duplicates" sheetId="7" r:id="rId7"/>
    <sheet name="Ex7_PivotRaw" sheetId="8" r:id="rId8"/>
    <sheet name="Ex7_Pivot" sheetId="9" r:id="rId9"/>
    <sheet name="Ex8_Scenario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1" i="9" l="1"/>
  <c r="E20" i="9"/>
  <c r="E19" i="9"/>
  <c r="E18" i="9"/>
  <c r="E17" i="9"/>
  <c r="E16" i="9"/>
  <c r="E15" i="9"/>
  <c r="E14" i="9"/>
  <c r="E13" i="9"/>
  <c r="B13" i="9"/>
  <c r="E12" i="9"/>
  <c r="B12" i="9"/>
  <c r="E11" i="9"/>
  <c r="B11" i="9"/>
  <c r="E10" i="9"/>
  <c r="E22" i="9" s="1"/>
  <c r="B10" i="9"/>
  <c r="B14" i="9" s="1"/>
  <c r="H20" i="7"/>
  <c r="H17" i="7"/>
  <c r="H19" i="7" s="1"/>
  <c r="C45" i="6"/>
  <c r="D45" i="6" s="1"/>
  <c r="C44" i="6"/>
  <c r="D44" i="6" s="1"/>
  <c r="C43" i="6"/>
  <c r="D43" i="6" s="1"/>
  <c r="C42" i="6"/>
  <c r="D42" i="6" s="1"/>
  <c r="C41" i="6"/>
  <c r="D41" i="6" s="1"/>
  <c r="C40" i="6"/>
  <c r="D40" i="6" s="1"/>
  <c r="C39" i="6"/>
  <c r="D39" i="6" s="1"/>
  <c r="F19" i="6"/>
  <c r="G19" i="6" s="1"/>
  <c r="E19" i="6"/>
  <c r="D19" i="6"/>
  <c r="C19" i="6"/>
  <c r="B19" i="6"/>
  <c r="F18" i="6"/>
  <c r="G18" i="6" s="1"/>
  <c r="E18" i="6"/>
  <c r="D18" i="6"/>
  <c r="C18" i="6"/>
  <c r="B18" i="6"/>
  <c r="G17" i="6"/>
  <c r="F17" i="6"/>
  <c r="E17" i="6"/>
  <c r="D17" i="6"/>
  <c r="C17" i="6"/>
  <c r="B17" i="6"/>
  <c r="F16" i="6"/>
  <c r="G16" i="6" s="1"/>
  <c r="E16" i="6"/>
  <c r="D16" i="6"/>
  <c r="C16" i="6"/>
  <c r="B16" i="6"/>
  <c r="F15" i="6"/>
  <c r="G15" i="6" s="1"/>
  <c r="E15" i="6"/>
  <c r="D15" i="6"/>
  <c r="C15" i="6"/>
  <c r="B15" i="6"/>
  <c r="F14" i="6"/>
  <c r="G14" i="6" s="1"/>
  <c r="E14" i="6"/>
  <c r="D14" i="6"/>
  <c r="C14" i="6"/>
  <c r="B14" i="6"/>
  <c r="G13" i="6"/>
  <c r="F13" i="6"/>
  <c r="E13" i="6"/>
  <c r="D13" i="6"/>
  <c r="C13" i="6"/>
  <c r="B13" i="6"/>
  <c r="G12" i="6"/>
  <c r="F12" i="6"/>
  <c r="E12" i="6"/>
  <c r="D12" i="6"/>
  <c r="C12" i="6"/>
  <c r="B12" i="6"/>
  <c r="E47" i="5"/>
  <c r="E45" i="5"/>
  <c r="E43" i="5"/>
  <c r="E41" i="5"/>
  <c r="F30" i="5"/>
  <c r="F29" i="5"/>
  <c r="F28" i="5"/>
  <c r="F27" i="5"/>
  <c r="F26" i="5"/>
  <c r="F25" i="5"/>
  <c r="F23" i="5"/>
  <c r="F22" i="5"/>
  <c r="F21" i="5"/>
  <c r="F19" i="5"/>
  <c r="F18" i="5"/>
  <c r="F17" i="5"/>
  <c r="F15" i="5"/>
  <c r="F14" i="5"/>
  <c r="F13" i="5"/>
  <c r="J24" i="4"/>
  <c r="J23" i="4"/>
  <c r="J21" i="4"/>
  <c r="J20" i="4"/>
  <c r="K19" i="4"/>
  <c r="J19" i="4" s="1"/>
  <c r="K18" i="4"/>
  <c r="J18" i="4" s="1"/>
  <c r="K17" i="4"/>
  <c r="J17" i="4" s="1"/>
  <c r="K16" i="4"/>
  <c r="J16" i="4" s="1"/>
  <c r="K15" i="4"/>
  <c r="J15" i="4" s="1"/>
  <c r="C33" i="3"/>
  <c r="F32" i="3"/>
  <c r="E32" i="3"/>
  <c r="D32" i="3"/>
  <c r="F31" i="3"/>
  <c r="E31" i="3"/>
  <c r="D31" i="3"/>
  <c r="F30" i="3"/>
  <c r="E30" i="3"/>
  <c r="D30" i="3"/>
  <c r="F29" i="3"/>
  <c r="E29" i="3"/>
  <c r="D29" i="3"/>
  <c r="F28" i="3"/>
  <c r="E28" i="3"/>
  <c r="D28" i="3"/>
  <c r="F27" i="3"/>
  <c r="E27" i="3"/>
  <c r="D27" i="3"/>
  <c r="F26" i="3"/>
  <c r="E26" i="3"/>
  <c r="D26" i="3"/>
  <c r="F25" i="3"/>
  <c r="E25" i="3"/>
  <c r="D25" i="3"/>
  <c r="F24" i="3"/>
  <c r="E24" i="3"/>
  <c r="D24" i="3"/>
  <c r="F23" i="3"/>
  <c r="E23" i="3"/>
  <c r="D23" i="3"/>
  <c r="F22" i="3"/>
  <c r="E22" i="3"/>
  <c r="D22" i="3"/>
  <c r="F21" i="3"/>
  <c r="E21" i="3"/>
  <c r="D21" i="3"/>
  <c r="F20" i="3"/>
  <c r="E20" i="3"/>
  <c r="D20" i="3"/>
  <c r="F19" i="3"/>
  <c r="E19" i="3"/>
  <c r="D19" i="3"/>
  <c r="F18" i="3"/>
  <c r="E18" i="3"/>
  <c r="D18" i="3"/>
  <c r="F17" i="3"/>
  <c r="E17" i="3"/>
  <c r="D17" i="3"/>
  <c r="F16" i="3"/>
  <c r="E16" i="3"/>
  <c r="D16" i="3"/>
  <c r="F15" i="3"/>
  <c r="E15" i="3"/>
  <c r="D15" i="3"/>
  <c r="F14" i="3"/>
  <c r="E14" i="3"/>
  <c r="D14" i="3"/>
  <c r="F13" i="3"/>
  <c r="E13" i="3"/>
  <c r="E33" i="3" s="1"/>
  <c r="D13" i="3"/>
  <c r="E46" i="2"/>
  <c r="D46" i="2"/>
  <c r="E45" i="2"/>
  <c r="D45" i="2"/>
  <c r="E44" i="2"/>
  <c r="D44" i="2"/>
  <c r="E43" i="2"/>
  <c r="D43" i="2"/>
  <c r="E42" i="2"/>
  <c r="D42" i="2"/>
  <c r="E33" i="2"/>
  <c r="E32" i="2"/>
  <c r="E24" i="2"/>
  <c r="E20" i="2"/>
  <c r="E12" i="2"/>
</calcChain>
</file>

<file path=xl/sharedStrings.xml><?xml version="1.0" encoding="utf-8"?>
<sst xmlns="http://schemas.openxmlformats.org/spreadsheetml/2006/main" count="2936" uniqueCount="1018">
  <si>
    <t>Operations Analyst track · Practice exercises built on the same skills the QC audit checks, using different data and scenarios.</t>
  </si>
  <si>
    <t>Note: All numbers, names and cell addresses in this workbook are deliberately different from the audit paper. Focus on the METHOD – the same thinking works whatever the cells or values are.</t>
  </si>
  <si>
    <t>How to use this workbook</t>
  </si>
  <si>
    <t>1. Work through the sheets in order (Ex1 → Ex8). Each sheet has blue task boxes that tell you what to do.</t>
  </si>
  <si>
    <t>2. Type your formulas or answers ONLY in the light-yellow cells. Do not type the result as a number when a formula is asked for.</t>
  </si>
  <si>
    <t>3. For 'Why?' questions, write 1–3 sentences in the yellow answer box – the audit asks you to explain, not just compute.</t>
  </si>
  <si>
    <t>4. Some tasks use Excel features (Sort, Filter, Freeze Panes, Text to Columns, Remove Duplicates, PivotTable). Do them on the sheet itself.</t>
  </si>
  <si>
    <t>5. When finished, compare with the Solutions workbook given by your trainer.</t>
  </si>
  <si>
    <t>Colour legend</t>
  </si>
  <si>
    <t>Your input – type formula / answer here</t>
  </si>
  <si>
    <t>Task / instructions</t>
  </si>
  <si>
    <t>Model answer (Solutions workbook only)</t>
  </si>
  <si>
    <t>Exercise map</t>
  </si>
  <si>
    <t>Sheet</t>
  </si>
  <si>
    <t>Skills practised</t>
  </si>
  <si>
    <t>Ex1_Formulas</t>
  </si>
  <si>
    <t>SUM, COUNT, AVERAGE with blanks &amp; zeros; percentage variance</t>
  </si>
  <si>
    <t>Ex2_References</t>
  </si>
  <si>
    <t>Relative vs absolute ($) references; fixing a broken copied formula</t>
  </si>
  <si>
    <t>Ex3_SortFilter</t>
  </si>
  <si>
    <t>Sort, multi-level sort, Filter, Freeze Panes, % formatting</t>
  </si>
  <si>
    <t>Ex4_Errors</t>
  </si>
  <si>
    <t>Reading #N/A and #VALUE! correctly before 'fixing' them</t>
  </si>
  <si>
    <t>Ex5_TextClean</t>
  </si>
  <si>
    <t>TRIM, CLEAN, PROPER, Text to Columns, standardising IDs</t>
  </si>
  <si>
    <t>Ex6_Duplicates</t>
  </si>
  <si>
    <t>Remove Duplicates on the right fields; before/after validation</t>
  </si>
  <si>
    <t>Ex7_PivotRaw / Ex7_Pivot</t>
  </si>
  <si>
    <t>Structuring data, PivotTable, Slicer, PivotChart</t>
  </si>
  <si>
    <t>Ex8_Scenarios</t>
  </si>
  <si>
    <t>20 scenario MCQs in the audit style – choose the best action</t>
  </si>
  <si>
    <t>Ex1 – Core Formulas: SUM, COUNT, AVERAGE, % Variance</t>
  </si>
  <si>
    <t>Always reference cells – never type the numbers into the formula. Watch how blanks and zeros are treated.</t>
  </si>
  <si>
    <t>Audit skills: SUM vs typed numbers · COUNT includes zeros · AVERAGE ignores blanks · % variance = (Actual − Target) ÷ Target.</t>
  </si>
  <si>
    <t>A. Weekly dispatch count – total</t>
  </si>
  <si>
    <t>A colleague typed =265+340+195+415 to get the total. In E12 write a formula that will still be correct if any week's number changes later. Then change B13 to 455 and watch the total update (change it back afterwards).</t>
  </si>
  <si>
    <t>Week</t>
  </si>
  <si>
    <t>Dispatches</t>
  </si>
  <si>
    <t>Week 1</t>
  </si>
  <si>
    <t>Total (formula) →</t>
  </si>
  <si>
    <t>Week 2</t>
  </si>
  <si>
    <t>Why is this better than typing the numbers?</t>
  </si>
  <si>
    <t>Week 3</t>
  </si>
  <si>
    <t>SUM links the total to the cells, so it recalculates automatically if any value changes. Typed numbers are frozen and become wrong silently. Result = 1,215.</t>
  </si>
  <si>
    <t>Week 4</t>
  </si>
  <si>
    <t>B. Tickets resolved per agent – how many cells contain numbers?</t>
  </si>
  <si>
    <t>Some agents resolved 0 tickets; some cells are blank (agent absent). A teammate says 0 should not be counted. In the yellow cell (column E) write a formula that counts the cells containing numbers and state the result.</t>
  </si>
  <si>
    <t>Agent</t>
  </si>
  <si>
    <t>Tickets resolved</t>
  </si>
  <si>
    <t>Agent A</t>
  </si>
  <si>
    <t>Count of numeric cells →</t>
  </si>
  <si>
    <t>Agent B</t>
  </si>
  <si>
    <t>Should the zeros be counted? Why?</t>
  </si>
  <si>
    <t>Agent C</t>
  </si>
  <si>
    <t>Yes. 0 is a number, so COUNT includes it; only the 2 blank cells are ignored. Result = 6 (42, 0, 67, 85, 0, 33).</t>
  </si>
  <si>
    <t>Agent D</t>
  </si>
  <si>
    <t>Agent E</t>
  </si>
  <si>
    <t>Bonus: count the blank cells →</t>
  </si>
  <si>
    <t>Agent F</t>
  </si>
  <si>
    <t>Agent G</t>
  </si>
  <si>
    <t>Agent H</t>
  </si>
  <si>
    <t>C. Quality scores – average</t>
  </si>
  <si>
    <t>Two audits were not done yet (blank). A teammate calculates the average as total ÷ 6 because there are 6 cells. Write the correct formula in the first yellow cell, and in the second yellow cell show the WRONG result the teammate would get (use a formula).</t>
  </si>
  <si>
    <t>Audit</t>
  </si>
  <si>
    <t>Score</t>
  </si>
  <si>
    <t>Audit 1</t>
  </si>
  <si>
    <t>Correct average →</t>
  </si>
  <si>
    <t>Audit 2</t>
  </si>
  <si>
    <t>Teammate's wrong average →</t>
  </si>
  <si>
    <t>Audit 3</t>
  </si>
  <si>
    <t>Explain the difference</t>
  </si>
  <si>
    <t>Audit 4</t>
  </si>
  <si>
    <t>AVERAGE ignores genuinely blank cells: 316 ÷ 4 = 79. Dividing by 6 treats the two blanks as zeros and understates the average (52.67).</t>
  </si>
  <si>
    <t>Audit 5</t>
  </si>
  <si>
    <t>Audit 6</t>
  </si>
  <si>
    <t>D. Target vs Actual – percentage variance</t>
  </si>
  <si>
    <t>For each team, calculate % variance = (Actual − Target) ÷ Target in column D, format it as a percentage, and in column E write 'Above' or 'Below' target. One associate reported Team 1 as '39% variance' because 520 − 481 = 39. Explain why that is wrong.</t>
  </si>
  <si>
    <t>Team</t>
  </si>
  <si>
    <t>Target</t>
  </si>
  <si>
    <t>Actual</t>
  </si>
  <si>
    <t>% Variance</t>
  </si>
  <si>
    <t>Above / Below</t>
  </si>
  <si>
    <t>Team 1</t>
  </si>
  <si>
    <t>Team 2</t>
  </si>
  <si>
    <t>Team 3</t>
  </si>
  <si>
    <t>Team 4</t>
  </si>
  <si>
    <t>Team 5</t>
  </si>
  <si>
    <t>Why is '39% variance' wrong?</t>
  </si>
  <si>
    <t>39 is the difference in units, not a percentage. It must be divided by the target: −39 ÷ 520 = −7.5%, i.e. 7.5% below target.</t>
  </si>
  <si>
    <t>Ex2 – Relative vs Absolute References</t>
  </si>
  <si>
    <t>Relative references (F14) move when copied. Absolute references ($K$6) stay fixed. Mixed use is normal: each row's own amount, one fixed rate.</t>
  </si>
  <si>
    <t>Audit skills: absolute reference to a fixed rate · relative references adjust when copied · smallest fix to a broken copied formula.</t>
  </si>
  <si>
    <t>Commission rate</t>
  </si>
  <si>
    <t>Sales tax rate</t>
  </si>
  <si>
    <t>Task 1: Column D already contains a formula someone wrote in D13 as =C13*K6 and copied down. Look at the results – only the first row is right. In column E write a corrected formula in E13 and copy it down to E32.</t>
  </si>
  <si>
    <t>Task 2: In F13 calculate Sales tax on the sales amount using the Sales tax rate in K7, copy down. Task 3: Answer the questions below the table.</t>
  </si>
  <si>
    <t>Rep</t>
  </si>
  <si>
    <t>Region</t>
  </si>
  <si>
    <t>Sales Amount</t>
  </si>
  <si>
    <t>Commission (faulty – given)</t>
  </si>
  <si>
    <t>Commission (your fix)</t>
  </si>
  <si>
    <t>Sales tax (your formula)</t>
  </si>
  <si>
    <t>REP-101</t>
  </si>
  <si>
    <t>North</t>
  </si>
  <si>
    <t>REP-102</t>
  </si>
  <si>
    <t>REP-103</t>
  </si>
  <si>
    <t>West</t>
  </si>
  <si>
    <t>REP-104</t>
  </si>
  <si>
    <t>REP-105</t>
  </si>
  <si>
    <t>REP-106</t>
  </si>
  <si>
    <t>REP-107</t>
  </si>
  <si>
    <t>REP-108</t>
  </si>
  <si>
    <t>REP-109</t>
  </si>
  <si>
    <t>REP-110</t>
  </si>
  <si>
    <t>East</t>
  </si>
  <si>
    <t>REP-111</t>
  </si>
  <si>
    <t>REP-112</t>
  </si>
  <si>
    <t>REP-113</t>
  </si>
  <si>
    <t>REP-114</t>
  </si>
  <si>
    <t>REP-115</t>
  </si>
  <si>
    <t>REP-116</t>
  </si>
  <si>
    <t>REP-117</t>
  </si>
  <si>
    <t>REP-118</t>
  </si>
  <si>
    <t>REP-119</t>
  </si>
  <si>
    <t>REP-120</t>
  </si>
  <si>
    <t>Total</t>
  </si>
  <si>
    <t>Q1. Click D15. What did K6 become, and why are the faulty results wrong?</t>
  </si>
  <si>
    <t>D15 refers to K8 (blank) because the relative reference moved down with the copy. D14 even picked up the Sales tax rate in K7. Only D13 uses the real commission rate in K6.</t>
  </si>
  <si>
    <t>Q2. What is the smallest change to fix the faulty formula? Which part stays relative?</t>
  </si>
  <si>
    <t>Change K6 to $K$6: =C13*$K$6. C13 stays relative because each row must use its own sales amount; the rate is locked.</t>
  </si>
  <si>
    <t>Q3. A colleague says Excel 'broke' the formula when C13 became C14 on the next row. Is Excel wrong?</t>
  </si>
  <si>
    <t>No. C13 is a relative reference, so it correctly adjusts to C14 for the next row – that is exactly what we want for the row's own amount.</t>
  </si>
  <si>
    <t>Q4. What would $K6 and K$6 do differently from $K$6?</t>
  </si>
  <si>
    <t>$K6 locks only the column (row can change); K$6 locks only the row (column can change). $K$6 locks both. Copying down a column, K$6 would also work, but $K$6 is safest.</t>
  </si>
  <si>
    <t>Ex3 – Sort, Filter, Freeze Panes &amp; Formatting</t>
  </si>
  <si>
    <t>TASKS (do them on the data in A:G)</t>
  </si>
  <si>
    <t>T1. Your lead wants to review the 5 biggest transactions first but must still see ALL 420 rows. Which feature? Do it, then record the top 5 Txn IDs and amounts below.</t>
  </si>
  <si>
    <t>Audit skills: Sort keeps every row visible · Filter hides temporarily without deleting · Freeze Panes changes only the view · % formatting changes display, not value. The heading row of this dataset is row 9 – data runs from row 10 to row 429.</t>
  </si>
  <si>
    <t>Sort – Amount, Largest to Smallest. Filter would hide rows; Sort only reorders.</t>
  </si>
  <si>
    <t>T2. The Phoenix manager wants to see only Phoenix records for a call, and everything else must be back afterwards untouched. Do it, write how many rows were shown, then clear it.</t>
  </si>
  <si>
    <t>Filter on Branch → Phoenix. Records are only hidden, not deleted; Clear Filter restores them.</t>
  </si>
  <si>
    <t>T3. When you scroll to row 365 you cannot see the headings (row 9). Fix this without moving or copying any data. Careful: the headings are NOT in row 1.</t>
  </si>
  <si>
    <t>Select A10 → View → Freeze Panes → Freeze Panes (rows 1–9 stay visible). Freeze Top Row would only keep row 1, which is wrong here. Data is unchanged.</t>
  </si>
  <si>
    <t>T4. Discount Rate shows decimals (e.g. 0.085) but the report needs percentages (8.5%). Make the column display as % WITHOUT changing the stored value.</t>
  </si>
  <si>
    <t>Txn ID</t>
  </si>
  <si>
    <t>Date</t>
  </si>
  <si>
    <t>Branch</t>
  </si>
  <si>
    <t>Category</t>
  </si>
  <si>
    <t>Amount ($)</t>
  </si>
  <si>
    <t>Discount Rate</t>
  </si>
  <si>
    <t>Status</t>
  </si>
  <si>
    <t>Home → Number → Percentage (1 decimal). Value stays 0.085; do NOT retype it as 8.5.</t>
  </si>
  <si>
    <t>TXN-50001</t>
  </si>
  <si>
    <t>Seattle</t>
  </si>
  <si>
    <t>Stationery</t>
  </si>
  <si>
    <t>Delivered</t>
  </si>
  <si>
    <t>T5. Sort by Branch (A→Z) and within each branch by Amount (largest first). Which branch appears first, and what is its top amount?</t>
  </si>
  <si>
    <t>TXN-50002</t>
  </si>
  <si>
    <t>Denver</t>
  </si>
  <si>
    <t>Appliances</t>
  </si>
  <si>
    <t>Data → Sort → add level: Branch A-Z, then Amount Largest-Smallest. Austin comes first.</t>
  </si>
  <si>
    <t>TXN-50003</t>
  </si>
  <si>
    <t>Furniture</t>
  </si>
  <si>
    <t>TXN-50004</t>
  </si>
  <si>
    <t>In Transit</t>
  </si>
  <si>
    <t>Record your answers</t>
  </si>
  <si>
    <t>TXN-50005</t>
  </si>
  <si>
    <t>Austin</t>
  </si>
  <si>
    <t>T1 – Rank</t>
  </si>
  <si>
    <t>Amount</t>
  </si>
  <si>
    <t>TXN-50006</t>
  </si>
  <si>
    <t>Phoenix</t>
  </si>
  <si>
    <t>Top 1</t>
  </si>
  <si>
    <t>TXN-50007</t>
  </si>
  <si>
    <t>Top 2</t>
  </si>
  <si>
    <t>TXN-50008</t>
  </si>
  <si>
    <t>Electronics</t>
  </si>
  <si>
    <t>Cancelled</t>
  </si>
  <si>
    <t>Top 3</t>
  </si>
  <si>
    <t>TXN-50009</t>
  </si>
  <si>
    <t>Top 4</t>
  </si>
  <si>
    <t>TXN-50010</t>
  </si>
  <si>
    <t>Top 5</t>
  </si>
  <si>
    <t>TXN-50011</t>
  </si>
  <si>
    <t>Returned</t>
  </si>
  <si>
    <t>T2 – Phoenix rows shown</t>
  </si>
  <si>
    <t>TXN-50012</t>
  </si>
  <si>
    <t>T2 – Rows visible after clearing filter</t>
  </si>
  <si>
    <t>TXN-50013</t>
  </si>
  <si>
    <t>T5 – First branch after sort</t>
  </si>
  <si>
    <t>TXN-50014</t>
  </si>
  <si>
    <t>T5 – Its top amount</t>
  </si>
  <si>
    <t>TXN-50015</t>
  </si>
  <si>
    <t>T4 – Stored value of F10 after formatting</t>
  </si>
  <si>
    <t>TXN-50016</t>
  </si>
  <si>
    <t>TXN-50017</t>
  </si>
  <si>
    <t>Note: the formulas above are only checks – in the audit you do the Sort/Filter with the Excel feature itself.</t>
  </si>
  <si>
    <t>TXN-50018</t>
  </si>
  <si>
    <t>TXN-50019</t>
  </si>
  <si>
    <t>TXN-50020</t>
  </si>
  <si>
    <t>TXN-50021</t>
  </si>
  <si>
    <t>TXN-50022</t>
  </si>
  <si>
    <t>TXN-50023</t>
  </si>
  <si>
    <t>TXN-50024</t>
  </si>
  <si>
    <t>TXN-50025</t>
  </si>
  <si>
    <t>TXN-50026</t>
  </si>
  <si>
    <t>TXN-50027</t>
  </si>
  <si>
    <t>TXN-50028</t>
  </si>
  <si>
    <t>TXN-50029</t>
  </si>
  <si>
    <t>TXN-50030</t>
  </si>
  <si>
    <t>TXN-50031</t>
  </si>
  <si>
    <t>TXN-50032</t>
  </si>
  <si>
    <t>TXN-50033</t>
  </si>
  <si>
    <t>TXN-50034</t>
  </si>
  <si>
    <t>TXN-50035</t>
  </si>
  <si>
    <t>TXN-50036</t>
  </si>
  <si>
    <t>TXN-50037</t>
  </si>
  <si>
    <t>TXN-50038</t>
  </si>
  <si>
    <t>TXN-50039</t>
  </si>
  <si>
    <t>TXN-50040</t>
  </si>
  <si>
    <t>TXN-50041</t>
  </si>
  <si>
    <t>TXN-50042</t>
  </si>
  <si>
    <t>TXN-50043</t>
  </si>
  <si>
    <t>TXN-50044</t>
  </si>
  <si>
    <t>TXN-50045</t>
  </si>
  <si>
    <t>TXN-50046</t>
  </si>
  <si>
    <t>TXN-50047</t>
  </si>
  <si>
    <t>TXN-50048</t>
  </si>
  <si>
    <t>TXN-50049</t>
  </si>
  <si>
    <t>TXN-50050</t>
  </si>
  <si>
    <t>TXN-50051</t>
  </si>
  <si>
    <t>TXN-50052</t>
  </si>
  <si>
    <t>TXN-50053</t>
  </si>
  <si>
    <t>TXN-50054</t>
  </si>
  <si>
    <t>TXN-50055</t>
  </si>
  <si>
    <t>TXN-50056</t>
  </si>
  <si>
    <t>TXN-50057</t>
  </si>
  <si>
    <t>TXN-50058</t>
  </si>
  <si>
    <t>TXN-50059</t>
  </si>
  <si>
    <t>TXN-50060</t>
  </si>
  <si>
    <t>TXN-50061</t>
  </si>
  <si>
    <t>TXN-50062</t>
  </si>
  <si>
    <t>TXN-50063</t>
  </si>
  <si>
    <t>TXN-50064</t>
  </si>
  <si>
    <t>TXN-50065</t>
  </si>
  <si>
    <t>TXN-50066</t>
  </si>
  <si>
    <t>TXN-50067</t>
  </si>
  <si>
    <t>TXN-50068</t>
  </si>
  <si>
    <t>TXN-50069</t>
  </si>
  <si>
    <t>TXN-50070</t>
  </si>
  <si>
    <t>TXN-50071</t>
  </si>
  <si>
    <t>TXN-50072</t>
  </si>
  <si>
    <t>TXN-50073</t>
  </si>
  <si>
    <t>TXN-50074</t>
  </si>
  <si>
    <t>TXN-50075</t>
  </si>
  <si>
    <t>TXN-50076</t>
  </si>
  <si>
    <t>TXN-50077</t>
  </si>
  <si>
    <t>TXN-50078</t>
  </si>
  <si>
    <t>TXN-50079</t>
  </si>
  <si>
    <t>TXN-50080</t>
  </si>
  <si>
    <t>TXN-50081</t>
  </si>
  <si>
    <t>TXN-50082</t>
  </si>
  <si>
    <t>TXN-50083</t>
  </si>
  <si>
    <t>TXN-50084</t>
  </si>
  <si>
    <t>TXN-50085</t>
  </si>
  <si>
    <t>TXN-50086</t>
  </si>
  <si>
    <t>TXN-50087</t>
  </si>
  <si>
    <t>TXN-50088</t>
  </si>
  <si>
    <t>TXN-50089</t>
  </si>
  <si>
    <t>TXN-50090</t>
  </si>
  <si>
    <t>TXN-50091</t>
  </si>
  <si>
    <t>TXN-50092</t>
  </si>
  <si>
    <t>TXN-50093</t>
  </si>
  <si>
    <t>TXN-50094</t>
  </si>
  <si>
    <t>TXN-50095</t>
  </si>
  <si>
    <t>TXN-50096</t>
  </si>
  <si>
    <t>TXN-50097</t>
  </si>
  <si>
    <t>TXN-50098</t>
  </si>
  <si>
    <t>TXN-50099</t>
  </si>
  <si>
    <t>TXN-50100</t>
  </si>
  <si>
    <t>TXN-50101</t>
  </si>
  <si>
    <t>TXN-50102</t>
  </si>
  <si>
    <t>TXN-50103</t>
  </si>
  <si>
    <t>TXN-50104</t>
  </si>
  <si>
    <t>TXN-50105</t>
  </si>
  <si>
    <t>TXN-50106</t>
  </si>
  <si>
    <t>TXN-50107</t>
  </si>
  <si>
    <t>TXN-50108</t>
  </si>
  <si>
    <t>TXN-50109</t>
  </si>
  <si>
    <t>TXN-50110</t>
  </si>
  <si>
    <t>TXN-50111</t>
  </si>
  <si>
    <t>TXN-50112</t>
  </si>
  <si>
    <t>TXN-50113</t>
  </si>
  <si>
    <t>TXN-50114</t>
  </si>
  <si>
    <t>TXN-50115</t>
  </si>
  <si>
    <t>TXN-50116</t>
  </si>
  <si>
    <t>TXN-50117</t>
  </si>
  <si>
    <t>TXN-50118</t>
  </si>
  <si>
    <t>TXN-50119</t>
  </si>
  <si>
    <t>TXN-50120</t>
  </si>
  <si>
    <t>TXN-50121</t>
  </si>
  <si>
    <t>TXN-50122</t>
  </si>
  <si>
    <t>TXN-50123</t>
  </si>
  <si>
    <t>TXN-50124</t>
  </si>
  <si>
    <t>TXN-50125</t>
  </si>
  <si>
    <t>TXN-50126</t>
  </si>
  <si>
    <t>TXN-50127</t>
  </si>
  <si>
    <t>TXN-50128</t>
  </si>
  <si>
    <t>TXN-50129</t>
  </si>
  <si>
    <t>TXN-50130</t>
  </si>
  <si>
    <t>TXN-50131</t>
  </si>
  <si>
    <t>TXN-50132</t>
  </si>
  <si>
    <t>TXN-50133</t>
  </si>
  <si>
    <t>TXN-50134</t>
  </si>
  <si>
    <t>TXN-50135</t>
  </si>
  <si>
    <t>TXN-50136</t>
  </si>
  <si>
    <t>TXN-50137</t>
  </si>
  <si>
    <t>TXN-50138</t>
  </si>
  <si>
    <t>TXN-50139</t>
  </si>
  <si>
    <t>TXN-50140</t>
  </si>
  <si>
    <t>TXN-50141</t>
  </si>
  <si>
    <t>TXN-50142</t>
  </si>
  <si>
    <t>TXN-50143</t>
  </si>
  <si>
    <t>TXN-50144</t>
  </si>
  <si>
    <t>TXN-50145</t>
  </si>
  <si>
    <t>TXN-50146</t>
  </si>
  <si>
    <t>TXN-50147</t>
  </si>
  <si>
    <t>TXN-50148</t>
  </si>
  <si>
    <t>TXN-50149</t>
  </si>
  <si>
    <t>TXN-50150</t>
  </si>
  <si>
    <t>TXN-50151</t>
  </si>
  <si>
    <t>TXN-50152</t>
  </si>
  <si>
    <t>TXN-50153</t>
  </si>
  <si>
    <t>TXN-50154</t>
  </si>
  <si>
    <t>TXN-50155</t>
  </si>
  <si>
    <t>TXN-50156</t>
  </si>
  <si>
    <t>TXN-50157</t>
  </si>
  <si>
    <t>TXN-50158</t>
  </si>
  <si>
    <t>TXN-50159</t>
  </si>
  <si>
    <t>TXN-50160</t>
  </si>
  <si>
    <t>TXN-50161</t>
  </si>
  <si>
    <t>TXN-50162</t>
  </si>
  <si>
    <t>TXN-50163</t>
  </si>
  <si>
    <t>TXN-50164</t>
  </si>
  <si>
    <t>TXN-50165</t>
  </si>
  <si>
    <t>TXN-50166</t>
  </si>
  <si>
    <t>TXN-50167</t>
  </si>
  <si>
    <t>TXN-50168</t>
  </si>
  <si>
    <t>TXN-50169</t>
  </si>
  <si>
    <t>TXN-50170</t>
  </si>
  <si>
    <t>TXN-50171</t>
  </si>
  <si>
    <t>TXN-50172</t>
  </si>
  <si>
    <t>TXN-50173</t>
  </si>
  <si>
    <t>TXN-50174</t>
  </si>
  <si>
    <t>TXN-50175</t>
  </si>
  <si>
    <t>TXN-50176</t>
  </si>
  <si>
    <t>TXN-50177</t>
  </si>
  <si>
    <t>TXN-50178</t>
  </si>
  <si>
    <t>TXN-50179</t>
  </si>
  <si>
    <t>TXN-50180</t>
  </si>
  <si>
    <t>TXN-50181</t>
  </si>
  <si>
    <t>TXN-50182</t>
  </si>
  <si>
    <t>TXN-50183</t>
  </si>
  <si>
    <t>TXN-50184</t>
  </si>
  <si>
    <t>TXN-50185</t>
  </si>
  <si>
    <t>TXN-50186</t>
  </si>
  <si>
    <t>TXN-50187</t>
  </si>
  <si>
    <t>TXN-50188</t>
  </si>
  <si>
    <t>TXN-50189</t>
  </si>
  <si>
    <t>TXN-50190</t>
  </si>
  <si>
    <t>TXN-50191</t>
  </si>
  <si>
    <t>TXN-50192</t>
  </si>
  <si>
    <t>TXN-50193</t>
  </si>
  <si>
    <t>TXN-50194</t>
  </si>
  <si>
    <t>TXN-50195</t>
  </si>
  <si>
    <t>TXN-50196</t>
  </si>
  <si>
    <t>TXN-50197</t>
  </si>
  <si>
    <t>TXN-50198</t>
  </si>
  <si>
    <t>TXN-50199</t>
  </si>
  <si>
    <t>TXN-50200</t>
  </si>
  <si>
    <t>TXN-50201</t>
  </si>
  <si>
    <t>TXN-50202</t>
  </si>
  <si>
    <t>TXN-50203</t>
  </si>
  <si>
    <t>TXN-50204</t>
  </si>
  <si>
    <t>TXN-50205</t>
  </si>
  <si>
    <t>TXN-50206</t>
  </si>
  <si>
    <t>TXN-50207</t>
  </si>
  <si>
    <t>TXN-50208</t>
  </si>
  <si>
    <t>TXN-50209</t>
  </si>
  <si>
    <t>TXN-50210</t>
  </si>
  <si>
    <t>TXN-50211</t>
  </si>
  <si>
    <t>TXN-50212</t>
  </si>
  <si>
    <t>TXN-50213</t>
  </si>
  <si>
    <t>TXN-50214</t>
  </si>
  <si>
    <t>TXN-50215</t>
  </si>
  <si>
    <t>TXN-50216</t>
  </si>
  <si>
    <t>TXN-50217</t>
  </si>
  <si>
    <t>TXN-50218</t>
  </si>
  <si>
    <t>TXN-50219</t>
  </si>
  <si>
    <t>TXN-50220</t>
  </si>
  <si>
    <t>TXN-50221</t>
  </si>
  <si>
    <t>TXN-50222</t>
  </si>
  <si>
    <t>TXN-50223</t>
  </si>
  <si>
    <t>TXN-50224</t>
  </si>
  <si>
    <t>TXN-50225</t>
  </si>
  <si>
    <t>TXN-50226</t>
  </si>
  <si>
    <t>TXN-50227</t>
  </si>
  <si>
    <t>TXN-50228</t>
  </si>
  <si>
    <t>TXN-50229</t>
  </si>
  <si>
    <t>TXN-50230</t>
  </si>
  <si>
    <t>TXN-50231</t>
  </si>
  <si>
    <t>TXN-50232</t>
  </si>
  <si>
    <t>TXN-50233</t>
  </si>
  <si>
    <t>TXN-50234</t>
  </si>
  <si>
    <t>TXN-50235</t>
  </si>
  <si>
    <t>TXN-50236</t>
  </si>
  <si>
    <t>TXN-50237</t>
  </si>
  <si>
    <t>TXN-50238</t>
  </si>
  <si>
    <t>TXN-50239</t>
  </si>
  <si>
    <t>TXN-50240</t>
  </si>
  <si>
    <t>TXN-50241</t>
  </si>
  <si>
    <t>TXN-50242</t>
  </si>
  <si>
    <t>TXN-50243</t>
  </si>
  <si>
    <t>TXN-50244</t>
  </si>
  <si>
    <t>TXN-50245</t>
  </si>
  <si>
    <t>TXN-50246</t>
  </si>
  <si>
    <t>TXN-50247</t>
  </si>
  <si>
    <t>TXN-50248</t>
  </si>
  <si>
    <t>TXN-50249</t>
  </si>
  <si>
    <t>TXN-50250</t>
  </si>
  <si>
    <t>TXN-50251</t>
  </si>
  <si>
    <t>TXN-50252</t>
  </si>
  <si>
    <t>TXN-50253</t>
  </si>
  <si>
    <t>TXN-50254</t>
  </si>
  <si>
    <t>TXN-50255</t>
  </si>
  <si>
    <t>TXN-50256</t>
  </si>
  <si>
    <t>TXN-50257</t>
  </si>
  <si>
    <t>TXN-50258</t>
  </si>
  <si>
    <t>TXN-50259</t>
  </si>
  <si>
    <t>TXN-50260</t>
  </si>
  <si>
    <t>TXN-50261</t>
  </si>
  <si>
    <t>TXN-50262</t>
  </si>
  <si>
    <t>TXN-50263</t>
  </si>
  <si>
    <t>TXN-50264</t>
  </si>
  <si>
    <t>TXN-50265</t>
  </si>
  <si>
    <t>TXN-50266</t>
  </si>
  <si>
    <t>TXN-50267</t>
  </si>
  <si>
    <t>TXN-50268</t>
  </si>
  <si>
    <t>TXN-50269</t>
  </si>
  <si>
    <t>TXN-50270</t>
  </si>
  <si>
    <t>TXN-50271</t>
  </si>
  <si>
    <t>TXN-50272</t>
  </si>
  <si>
    <t>TXN-50273</t>
  </si>
  <si>
    <t>TXN-50274</t>
  </si>
  <si>
    <t>TXN-50275</t>
  </si>
  <si>
    <t>TXN-50276</t>
  </si>
  <si>
    <t>TXN-50277</t>
  </si>
  <si>
    <t>TXN-50278</t>
  </si>
  <si>
    <t>TXN-50279</t>
  </si>
  <si>
    <t>TXN-50280</t>
  </si>
  <si>
    <t>TXN-50281</t>
  </si>
  <si>
    <t>TXN-50282</t>
  </si>
  <si>
    <t>TXN-50283</t>
  </si>
  <si>
    <t>TXN-50284</t>
  </si>
  <si>
    <t>TXN-50285</t>
  </si>
  <si>
    <t>TXN-50286</t>
  </si>
  <si>
    <t>TXN-50287</t>
  </si>
  <si>
    <t>TXN-50288</t>
  </si>
  <si>
    <t>TXN-50289</t>
  </si>
  <si>
    <t>TXN-50290</t>
  </si>
  <si>
    <t>TXN-50291</t>
  </si>
  <si>
    <t>TXN-50292</t>
  </si>
  <si>
    <t>TXN-50293</t>
  </si>
  <si>
    <t>TXN-50294</t>
  </si>
  <si>
    <t>TXN-50295</t>
  </si>
  <si>
    <t>TXN-50296</t>
  </si>
  <si>
    <t>TXN-50297</t>
  </si>
  <si>
    <t>TXN-50298</t>
  </si>
  <si>
    <t>TXN-50299</t>
  </si>
  <si>
    <t>TXN-50300</t>
  </si>
  <si>
    <t>TXN-50301</t>
  </si>
  <si>
    <t>TXN-50302</t>
  </si>
  <si>
    <t>TXN-50303</t>
  </si>
  <si>
    <t>TXN-50304</t>
  </si>
  <si>
    <t>TXN-50305</t>
  </si>
  <si>
    <t>TXN-50306</t>
  </si>
  <si>
    <t>TXN-50307</t>
  </si>
  <si>
    <t>TXN-50308</t>
  </si>
  <si>
    <t>TXN-50309</t>
  </si>
  <si>
    <t>TXN-50310</t>
  </si>
  <si>
    <t>TXN-50311</t>
  </si>
  <si>
    <t>TXN-50312</t>
  </si>
  <si>
    <t>TXN-50313</t>
  </si>
  <si>
    <t>TXN-50314</t>
  </si>
  <si>
    <t>TXN-50315</t>
  </si>
  <si>
    <t>TXN-50316</t>
  </si>
  <si>
    <t>TXN-50317</t>
  </si>
  <si>
    <t>TXN-50318</t>
  </si>
  <si>
    <t>TXN-50319</t>
  </si>
  <si>
    <t>TXN-50320</t>
  </si>
  <si>
    <t>TXN-50321</t>
  </si>
  <si>
    <t>TXN-50322</t>
  </si>
  <si>
    <t>TXN-50323</t>
  </si>
  <si>
    <t>TXN-50324</t>
  </si>
  <si>
    <t>TXN-50325</t>
  </si>
  <si>
    <t>TXN-50326</t>
  </si>
  <si>
    <t>TXN-50327</t>
  </si>
  <si>
    <t>TXN-50328</t>
  </si>
  <si>
    <t>TXN-50329</t>
  </si>
  <si>
    <t>TXN-50330</t>
  </si>
  <si>
    <t>TXN-50331</t>
  </si>
  <si>
    <t>TXN-50332</t>
  </si>
  <si>
    <t>TXN-50333</t>
  </si>
  <si>
    <t>TXN-50334</t>
  </si>
  <si>
    <t>TXN-50335</t>
  </si>
  <si>
    <t>TXN-50336</t>
  </si>
  <si>
    <t>TXN-50337</t>
  </si>
  <si>
    <t>TXN-50338</t>
  </si>
  <si>
    <t>TXN-50339</t>
  </si>
  <si>
    <t>TXN-50340</t>
  </si>
  <si>
    <t>TXN-50341</t>
  </si>
  <si>
    <t>TXN-50342</t>
  </si>
  <si>
    <t>TXN-50343</t>
  </si>
  <si>
    <t>TXN-50344</t>
  </si>
  <si>
    <t>TXN-50345</t>
  </si>
  <si>
    <t>TXN-50346</t>
  </si>
  <si>
    <t>TXN-50347</t>
  </si>
  <si>
    <t>TXN-50348</t>
  </si>
  <si>
    <t>TXN-50349</t>
  </si>
  <si>
    <t>TXN-50350</t>
  </si>
  <si>
    <t>TXN-50351</t>
  </si>
  <si>
    <t>TXN-50352</t>
  </si>
  <si>
    <t>TXN-50353</t>
  </si>
  <si>
    <t>TXN-50354</t>
  </si>
  <si>
    <t>TXN-50355</t>
  </si>
  <si>
    <t>TXN-50356</t>
  </si>
  <si>
    <t>TXN-50357</t>
  </si>
  <si>
    <t>TXN-50358</t>
  </si>
  <si>
    <t>TXN-50359</t>
  </si>
  <si>
    <t>TXN-50360</t>
  </si>
  <si>
    <t>TXN-50361</t>
  </si>
  <si>
    <t>TXN-50362</t>
  </si>
  <si>
    <t>TXN-50363</t>
  </si>
  <si>
    <t>TXN-50364</t>
  </si>
  <si>
    <t>TXN-50365</t>
  </si>
  <si>
    <t>TXN-50366</t>
  </si>
  <si>
    <t>TXN-50367</t>
  </si>
  <si>
    <t>TXN-50368</t>
  </si>
  <si>
    <t>TXN-50369</t>
  </si>
  <si>
    <t>TXN-50370</t>
  </si>
  <si>
    <t>TXN-50371</t>
  </si>
  <si>
    <t>TXN-50372</t>
  </si>
  <si>
    <t>TXN-50373</t>
  </si>
  <si>
    <t>TXN-50374</t>
  </si>
  <si>
    <t>TXN-50375</t>
  </si>
  <si>
    <t>TXN-50376</t>
  </si>
  <si>
    <t>TXN-50377</t>
  </si>
  <si>
    <t>TXN-50378</t>
  </si>
  <si>
    <t>TXN-50379</t>
  </si>
  <si>
    <t>TXN-50380</t>
  </si>
  <si>
    <t>TXN-50381</t>
  </si>
  <si>
    <t>TXN-50382</t>
  </si>
  <si>
    <t>TXN-50383</t>
  </si>
  <si>
    <t>TXN-50384</t>
  </si>
  <si>
    <t>TXN-50385</t>
  </si>
  <si>
    <t>TXN-50386</t>
  </si>
  <si>
    <t>TXN-50387</t>
  </si>
  <si>
    <t>TXN-50388</t>
  </si>
  <si>
    <t>TXN-50389</t>
  </si>
  <si>
    <t>TXN-50390</t>
  </si>
  <si>
    <t>TXN-50391</t>
  </si>
  <si>
    <t>TXN-50392</t>
  </si>
  <si>
    <t>TXN-50393</t>
  </si>
  <si>
    <t>TXN-50394</t>
  </si>
  <si>
    <t>TXN-50395</t>
  </si>
  <si>
    <t>TXN-50396</t>
  </si>
  <si>
    <t>TXN-50397</t>
  </si>
  <si>
    <t>TXN-50398</t>
  </si>
  <si>
    <t>TXN-50399</t>
  </si>
  <si>
    <t>TXN-50400</t>
  </si>
  <si>
    <t>TXN-50401</t>
  </si>
  <si>
    <t>TXN-50402</t>
  </si>
  <si>
    <t>TXN-50403</t>
  </si>
  <si>
    <t>TXN-50404</t>
  </si>
  <si>
    <t>TXN-50405</t>
  </si>
  <si>
    <t>TXN-50406</t>
  </si>
  <si>
    <t>TXN-50407</t>
  </si>
  <si>
    <t>TXN-50408</t>
  </si>
  <si>
    <t>TXN-50409</t>
  </si>
  <si>
    <t>TXN-50410</t>
  </si>
  <si>
    <t>TXN-50411</t>
  </si>
  <si>
    <t>TXN-50412</t>
  </si>
  <si>
    <t>TXN-50413</t>
  </si>
  <si>
    <t>TXN-50414</t>
  </si>
  <si>
    <t>TXN-50415</t>
  </si>
  <si>
    <t>TXN-50416</t>
  </si>
  <si>
    <t>TXN-50417</t>
  </si>
  <si>
    <t>TXN-50418</t>
  </si>
  <si>
    <t>TXN-50419</t>
  </si>
  <si>
    <t>TXN-50420</t>
  </si>
  <si>
    <t>Ex4 – Reading Errors Correctly (#N/A and #VALUE!)</t>
  </si>
  <si>
    <t>An error is a message. Read what it is telling you before you hide it or rewrite the formula.</t>
  </si>
  <si>
    <t>Audit skills: #N/A = no match found (investigate before hiding) · #VALUE! = a value of the wrong type (text in a calculation) – check the data, not the operator.</t>
  </si>
  <si>
    <t>A. Lookup – Employee master vs requests</t>
  </si>
  <si>
    <t>In F13 write a lookup that returns the employee name for the ID in E13 from the master list (A:C). Copy down. most of the 18 IDs work, but 3 return #N/A. Do NOT wrap in IFERROR yet – in column H write WHY each #N/A happened.</t>
  </si>
  <si>
    <t>Emp ID</t>
  </si>
  <si>
    <t>Name</t>
  </si>
  <si>
    <t>Dept</t>
  </si>
  <si>
    <t>Request ID</t>
  </si>
  <si>
    <t>Name (lookup)</t>
  </si>
  <si>
    <t>Result / Status</t>
  </si>
  <si>
    <t>Reason (if #N/A)</t>
  </si>
  <si>
    <t>E1021</t>
  </si>
  <si>
    <t>Emily Carter</t>
  </si>
  <si>
    <t>Ops</t>
  </si>
  <si>
    <t>E1024</t>
  </si>
  <si>
    <t>Found</t>
  </si>
  <si>
    <t>E1022</t>
  </si>
  <si>
    <t>James Walker</t>
  </si>
  <si>
    <t>Finance</t>
  </si>
  <si>
    <t>E1030</t>
  </si>
  <si>
    <t>E1023</t>
  </si>
  <si>
    <t>Olivia Brooks</t>
  </si>
  <si>
    <t>HR</t>
  </si>
  <si>
    <t>Michael Reed</t>
  </si>
  <si>
    <t>E1047</t>
  </si>
  <si>
    <t>#N/A (expected)</t>
  </si>
  <si>
    <t>Not found</t>
  </si>
  <si>
    <t>E1047 is not in the master list at all – genuinely missing (check with source team).</t>
  </si>
  <si>
    <t>E1025</t>
  </si>
  <si>
    <t>Sophia Turner</t>
  </si>
  <si>
    <t>E1033</t>
  </si>
  <si>
    <t>E1026</t>
  </si>
  <si>
    <t>Daniel Hughes</t>
  </si>
  <si>
    <t>E1038</t>
  </si>
  <si>
    <t>E1027</t>
  </si>
  <si>
    <t>Ava Mitchell</t>
  </si>
  <si>
    <t>E1028</t>
  </si>
  <si>
    <t>Ryan Cooper</t>
  </si>
  <si>
    <t xml:space="preserve">E1032 </t>
  </si>
  <si>
    <t>Trailing space – 'E1032 ' ≠ 'E1032'. Fix with TRIM, not by hiding the error.</t>
  </si>
  <si>
    <t>E1029</t>
  </si>
  <si>
    <t>Grace Bennett</t>
  </si>
  <si>
    <t>Tyler Morgan</t>
  </si>
  <si>
    <t>E1040</t>
  </si>
  <si>
    <t>E1031</t>
  </si>
  <si>
    <t>Hannah Price</t>
  </si>
  <si>
    <t>E1032</t>
  </si>
  <si>
    <t>Kevin Foster</t>
  </si>
  <si>
    <t>E1-035</t>
  </si>
  <si>
    <t>Entered in a different format (E1-035 vs E1035). Standardise the ID.</t>
  </si>
  <si>
    <t>Lauren Hayes</t>
  </si>
  <si>
    <t>E1034</t>
  </si>
  <si>
    <t>Brandon Ellis</t>
  </si>
  <si>
    <t>E1039</t>
  </si>
  <si>
    <t>E1035</t>
  </si>
  <si>
    <t>Megan Ward</t>
  </si>
  <si>
    <t>E1036</t>
  </si>
  <si>
    <t>Justin Perry</t>
  </si>
  <si>
    <t>E1037</t>
  </si>
  <si>
    <t>Rachel Coleman</t>
  </si>
  <si>
    <t>Nathan Bryant</t>
  </si>
  <si>
    <t>Natalie Sanders</t>
  </si>
  <si>
    <t>Eric Russell</t>
  </si>
  <si>
    <t>Q. Your teammate wants to wrap the formula in IFERROR(…,0) immediately because 'it works for the others'. What is the risk?</t>
  </si>
  <si>
    <t>#N/A means 'no match found'. Replacing it with 0 hides that a record is missing or mis-keyed, and 0 looks like a real value. First investigate each #N/A (missing, extra space, different format); only then decide how to handle it.</t>
  </si>
  <si>
    <t>B. #VALUE! – Order value</t>
  </si>
  <si>
    <t>In column E write =Qty × Unit Price for each order and copy down. Some rows return #VALUE!. In F, explain what Excel is telling you. Do NOT change the * operator – find the real cause.</t>
  </si>
  <si>
    <t>Order</t>
  </si>
  <si>
    <t>Qty</t>
  </si>
  <si>
    <t>Unit Price</t>
  </si>
  <si>
    <t>Order Value</t>
  </si>
  <si>
    <t>What is wrong?</t>
  </si>
  <si>
    <t>ORD-1</t>
  </si>
  <si>
    <t>OK</t>
  </si>
  <si>
    <t>ORD-2</t>
  </si>
  <si>
    <t>TBD</t>
  </si>
  <si>
    <t>#VALUE! (expected)</t>
  </si>
  <si>
    <t>'TBD' is text, not a number – multiplication cannot use text. Get the real value from source; the formula is fine.</t>
  </si>
  <si>
    <t>ORD-3</t>
  </si>
  <si>
    <t>ORD-4</t>
  </si>
  <si>
    <t>Pending</t>
  </si>
  <si>
    <t>'Pending' is text, not a number – multiplication cannot use text. Get the real value from source; the formula is fine.</t>
  </si>
  <si>
    <t>ORD-5</t>
  </si>
  <si>
    <t>ORD-6</t>
  </si>
  <si>
    <t>N/A</t>
  </si>
  <si>
    <t>'N/A' is text, not a number – multiplication cannot use text. Get the real value from source; the formula is fine.</t>
  </si>
  <si>
    <t>ORD-7</t>
  </si>
  <si>
    <t>Q. A teammate changes =B*C to =PRODUCT(B,C) and the error disappears (shows only Qty). Is the problem solved?</t>
  </si>
  <si>
    <t>No. PRODUCT simply ignores the text, so it returns a wrong value (e.g. 9 instead of 9 × price) with no warning. The data issue (missing price/qty) is still there and is now hidden – worse than the error.</t>
  </si>
  <si>
    <t>Ex5 – Text Cleaning: TRIM, CLEAN, PROPER, Text to Columns, ID format</t>
  </si>
  <si>
    <t>Each function fixes a different problem. Use LEN() to prove the cleaning worked.</t>
  </si>
  <si>
    <t>Audit skills: TRIM (spaces) · CLEAN (hidden characters) · PROPER (capitalisation) · Text to Columns with a delimiter · standardise ID formats before comparing.</t>
  </si>
  <si>
    <t>A. Customer names imported from a portal</t>
  </si>
  <si>
    <t>Fill columns C–G for each row. C: remove extra spaces. D: remove hidden non-printing characters (tabs / line breaks). E: fix capitalisation. F: do all three in one formula. G: LEN of your final name. Compare G with B (LEN of raw).</t>
  </si>
  <si>
    <t>Raw Name</t>
  </si>
  <si>
    <t>LEN (raw)</t>
  </si>
  <si>
    <t>TRIM only</t>
  </si>
  <si>
    <t>CLEAN only</t>
  </si>
  <si>
    <t>PROPER only</t>
  </si>
  <si>
    <t>Fully cleaned</t>
  </si>
  <si>
    <t>LEN (clean)</t>
  </si>
  <si>
    <t xml:space="preserve">  aMANDA   wilson </t>
  </si>
  <si>
    <t xml:space="preserve">ROBERT  JOHNSON	</t>
  </si>
  <si>
    <t xml:space="preserve">
 katie anderson</t>
  </si>
  <si>
    <t xml:space="preserve">  cHRIS   lee</t>
  </si>
  <si>
    <t xml:space="preserve">Nicole Martin	  </t>
  </si>
  <si>
    <t xml:space="preserve">matthew  THOMPSON  </t>
  </si>
  <si>
    <t xml:space="preserve">  bRITTANY clark
</t>
  </si>
  <si>
    <t xml:space="preserve">JOSHUA davis    </t>
  </si>
  <si>
    <t>Q. Row 'Nicole Martin&lt;tab&gt;': compare LEN after TRIM only. Why does TRIM alone not fully fix it? Which function does?</t>
  </si>
  <si>
    <t>TRIM removes extra spaces only; the tab is a non-printing character, so CLEAN is needed to remove it. Use TRIM(CLEAN()) to handle both, PROPER for capitalisation, and confirm with LEN.</t>
  </si>
  <si>
    <t>B. Shipment codes – split into separate columns</t>
  </si>
  <si>
    <t>Each code has the pattern OrderID/City/Status. The '/' is only a separator. Select the codes in column A and use Data → Text to Columns → Delimited → Other: '/' with Destination = the first yellow cell in column C. Expected: 3 clean columns (Order ID, City, Status).</t>
  </si>
  <si>
    <t>Shipment Code</t>
  </si>
  <si>
    <t>Order ID</t>
  </si>
  <si>
    <t>City</t>
  </si>
  <si>
    <t>SHP-7781/Denver/Dispatched</t>
  </si>
  <si>
    <t>SHP-7781</t>
  </si>
  <si>
    <t>Dispatched</t>
  </si>
  <si>
    <t>SHP-7782/Austin/Packed</t>
  </si>
  <si>
    <t>SHP-7782</t>
  </si>
  <si>
    <t>Packed</t>
  </si>
  <si>
    <t>SHP-7783/Seattle/Delivered</t>
  </si>
  <si>
    <t>SHP-7783</t>
  </si>
  <si>
    <t>SHP-7784/Phoenix/On Hold</t>
  </si>
  <si>
    <t>SHP-7784</t>
  </si>
  <si>
    <t>On Hold</t>
  </si>
  <si>
    <t>SHP-7785/Austin/Delivered</t>
  </si>
  <si>
    <t>SHP-7785</t>
  </si>
  <si>
    <t>SHP-7786/Denver/Packed</t>
  </si>
  <si>
    <t>SHP-7786</t>
  </si>
  <si>
    <t>SHP-7787/Phoenix/Dispatched</t>
  </si>
  <si>
    <t>SHP-7787</t>
  </si>
  <si>
    <t>Q. A colleague plans three LEFT/MID/RIGHT formulas per row. Why is Text to Columns simpler here?</t>
  </si>
  <si>
    <t>The separator is consistent ('/') in every row, so Text to Columns splits all rows in one step with no formulas to maintain, even though the parts have different lengths.</t>
  </si>
  <si>
    <t>C. Matching IDs from two systems</t>
  </si>
  <si>
    <t>System A stores IDs as 5-character text with leading zeros (00412). System B stores the same IDs as numbers (412). The business confirms they are the same IDs. In C convert System B to the System A format, then in D check whether they match.</t>
  </si>
  <si>
    <t>System A ID (text)</t>
  </si>
  <si>
    <t>System B ID</t>
  </si>
  <si>
    <t>B in A-format</t>
  </si>
  <si>
    <t>Match?</t>
  </si>
  <si>
    <t>00412</t>
  </si>
  <si>
    <t>00064</t>
  </si>
  <si>
    <t>01375</t>
  </si>
  <si>
    <t>00009</t>
  </si>
  <si>
    <t>00733</t>
  </si>
  <si>
    <t>02041</t>
  </si>
  <si>
    <t>00560</t>
  </si>
  <si>
    <t>Q. After standardising, which ID still does not match, and what does that tell you?</t>
  </si>
  <si>
    <t>00733 vs 737. After the format is aligned, the remaining difference is a real data difference (likely a keying error) – raise it, don't 'fix' it silently.</t>
  </si>
  <si>
    <t>Ex6 – Removing Duplicates Safely &amp; Validating the Result</t>
  </si>
  <si>
    <t>Remove true duplicate rows – not every repeated value. Then prove the change is explainable.</t>
  </si>
  <si>
    <t>Audit skills: Remove Duplicates on the fields that identify a record · same amount ≠ duplicate · validate row count and totals before and after cleaning.</t>
  </si>
  <si>
    <t>Invoice No</t>
  </si>
  <si>
    <t>Vendor</t>
  </si>
  <si>
    <t>Item</t>
  </si>
  <si>
    <t>Invoice Date</t>
  </si>
  <si>
    <t>Step 1 – BEFORE cleaning: record row count and total amount below. Type them as VALUES (or paste-special values) so they don't change later.</t>
  </si>
  <si>
    <t>INV-3151</t>
  </si>
  <si>
    <t>Delta Logistics</t>
  </si>
  <si>
    <t>Office Chair</t>
  </si>
  <si>
    <t>Step 2 – Data → Remove Duplicates on A9:E71 using ALL columns (a true duplicate matches on every field).</t>
  </si>
  <si>
    <t>INV-3138</t>
  </si>
  <si>
    <t>Monitor</t>
  </si>
  <si>
    <t>Step 3 – AFTER cleaning: record the new row count and total; complete the validation table.</t>
  </si>
  <si>
    <t>INV-3144</t>
  </si>
  <si>
    <t>Cables</t>
  </si>
  <si>
    <t>Step 4 – Answer the questions.</t>
  </si>
  <si>
    <t>INV-3150</t>
  </si>
  <si>
    <t>Crystal Office</t>
  </si>
  <si>
    <t>Laptop Stand</t>
  </si>
  <si>
    <t>INV-3145</t>
  </si>
  <si>
    <t>Validation check</t>
  </si>
  <si>
    <t>Before</t>
  </si>
  <si>
    <t>After</t>
  </si>
  <si>
    <t>INV-3127</t>
  </si>
  <si>
    <t>Row count (data rows)</t>
  </si>
  <si>
    <t>INV-3105</t>
  </si>
  <si>
    <t>Apex Supplies</t>
  </si>
  <si>
    <t>Courier Charges</t>
  </si>
  <si>
    <t>Total Amount ($)</t>
  </si>
  <si>
    <t>INV-3139</t>
  </si>
  <si>
    <t>Evergreen IT</t>
  </si>
  <si>
    <t>A4 Paper</t>
  </si>
  <si>
    <t>Rows removed (formula)</t>
  </si>
  <si>
    <t>INV-3123</t>
  </si>
  <si>
    <t>Printer Toner</t>
  </si>
  <si>
    <t>Duplicates expected to be removed</t>
  </si>
  <si>
    <t>← given by data owner</t>
  </si>
  <si>
    <t>INV-3134</t>
  </si>
  <si>
    <t>Check: removed = expected?</t>
  </si>
  <si>
    <t>INV-3109</t>
  </si>
  <si>
    <t>Amount removed (formula)</t>
  </si>
  <si>
    <t>INV-3142</t>
  </si>
  <si>
    <t>INV-3129</t>
  </si>
  <si>
    <t>Liberty Traders</t>
  </si>
  <si>
    <t>Q1. A teammate wants to Remove Duplicates using only the Amount column. How many rows would remain and why is that risky?</t>
  </si>
  <si>
    <t>INV-3137</t>
  </si>
  <si>
    <t>Only 52 rows would remain – 4 extra genuine invoices (different invoice no./item, same amount) would be deleted. Same amount ≠ duplicate record; use the fields that identify the record.</t>
  </si>
  <si>
    <t>INV-3103</t>
  </si>
  <si>
    <t>Q2. The file has fewer rows after cleaning. Is that enough to say the cleaning was correct?</t>
  </si>
  <si>
    <t>INV-3202</t>
  </si>
  <si>
    <t>No. Compare before/after row counts and totals and confirm the reduction (6 rows) matches what was expected. A lower count is only correct if it is explained by the cleaning done.</t>
  </si>
  <si>
    <t>INV-3112</t>
  </si>
  <si>
    <t>Q3. After TRIM and ID standardisation the totals did not change but the row count did. Is that a problem?</t>
  </si>
  <si>
    <t>INV-3141</t>
  </si>
  <si>
    <t>Not necessarily – those steps change text, not amounts. But every change in row count must be traced to a specific step (e.g. duplicate removal) before reporting.</t>
  </si>
  <si>
    <t>INV-3147</t>
  </si>
  <si>
    <t>INV-3124</t>
  </si>
  <si>
    <t>INV-3121</t>
  </si>
  <si>
    <t>INV-3140</t>
  </si>
  <si>
    <t>INV-3110</t>
  </si>
  <si>
    <t>INV-3111</t>
  </si>
  <si>
    <t>INV-3102</t>
  </si>
  <si>
    <t>INV-3135</t>
  </si>
  <si>
    <t>INV-3116</t>
  </si>
  <si>
    <t>INV-3203</t>
  </si>
  <si>
    <t>INV-3104</t>
  </si>
  <si>
    <t>INV-3136</t>
  </si>
  <si>
    <t>INV-3133</t>
  </si>
  <si>
    <t>INV-3108</t>
  </si>
  <si>
    <t>INV-3106</t>
  </si>
  <si>
    <t>INV-3126</t>
  </si>
  <si>
    <t>INV-3117</t>
  </si>
  <si>
    <t>INV-3120</t>
  </si>
  <si>
    <t>INV-3101</t>
  </si>
  <si>
    <t>INV-3149</t>
  </si>
  <si>
    <t>INV-3125</t>
  </si>
  <si>
    <t>INV-3146</t>
  </si>
  <si>
    <t>INV-3128</t>
  </si>
  <si>
    <t>INV-3115</t>
  </si>
  <si>
    <t>INV-3201</t>
  </si>
  <si>
    <t>INV-3204</t>
  </si>
  <si>
    <t>INV-3152</t>
  </si>
  <si>
    <t>INV-3114</t>
  </si>
  <si>
    <t>INV-3113</t>
  </si>
  <si>
    <t>INV-3143</t>
  </si>
  <si>
    <t>INV-3131</t>
  </si>
  <si>
    <t>INV-3132</t>
  </si>
  <si>
    <t>INV-3119</t>
  </si>
  <si>
    <t>INV-3122</t>
  </si>
  <si>
    <t>Software Licence</t>
  </si>
  <si>
    <t>INV-3107</t>
  </si>
  <si>
    <t>INV-3130</t>
  </si>
  <si>
    <t>INV-3148</t>
  </si>
  <si>
    <t>INV-3118</t>
  </si>
  <si>
    <t>Ex7 – Raw sales data (needs restructuring)</t>
  </si>
  <si>
    <t>TASK 1 – Before building any PivotTable, inspect this sheet. It has blank rows and a repeated heading row in the middle. Delete them so there is ONE heading row and one continuous block of data.</t>
  </si>
  <si>
    <t>Data heading is in row 9.</t>
  </si>
  <si>
    <t>Expected after cleaning: 1 heading row + 144 data rows (rows 10–153). Quick check: =COUNTA(A10:A500) should give 144.</t>
  </si>
  <si>
    <t>TASK 2 – Insert → PivotTable (new sheet). Rows: Region; Values: Sum of Amount. You should get one total per region, not 144 detail rows.</t>
  </si>
  <si>
    <t>TASK 3 – Add a Slicer for Category so a manager can click between categories without rebuilding the report.</t>
  </si>
  <si>
    <t>Month</t>
  </si>
  <si>
    <t>TASK 4 – Build a second PivotTable with Month in Rows and Sum of Amount, then add a PivotChart (Line) to show whether sales are rising or falling.</t>
  </si>
  <si>
    <t>Jan</t>
  </si>
  <si>
    <t>Training</t>
  </si>
  <si>
    <t>TASK 5 – If your PivotTable shows every single row, you have put Amount (or an ID) in Rows. Move Amount to Values and set it to Sum.</t>
  </si>
  <si>
    <t>Software</t>
  </si>
  <si>
    <t>South</t>
  </si>
  <si>
    <t>Services</t>
  </si>
  <si>
    <t>Record your PivotTable results on sheet Ex7_Pivot.</t>
  </si>
  <si>
    <t>Hardware</t>
  </si>
  <si>
    <t>Feb</t>
  </si>
  <si>
    <t>Mar</t>
  </si>
  <si>
    <t>Apr</t>
  </si>
  <si>
    <t>May</t>
  </si>
  <si>
    <t>Jun</t>
  </si>
  <si>
    <t>Jul</t>
  </si>
  <si>
    <t>Aug</t>
  </si>
  <si>
    <t>Sep</t>
  </si>
  <si>
    <t>Oct</t>
  </si>
  <si>
    <t>Nov</t>
  </si>
  <si>
    <t>Dec</t>
  </si>
  <si>
    <t>Ex7 – PivotTable Results &amp; Questions</t>
  </si>
  <si>
    <t>Fill in the totals from YOUR PivotTable. (Solutions file shows SUMIFS check formulas – they should equal the PivotTable.)</t>
  </si>
  <si>
    <t>Audit skills: clean structure first (one heading row, no blank rows) · PivotTable to summarise · Slicer/Filter to switch · PivotChart to see trend.</t>
  </si>
  <si>
    <t>Sum of Amount</t>
  </si>
  <si>
    <t>Grand Total</t>
  </si>
  <si>
    <t>Q1. Why must the blank rows and repeated heading be removed before inserting the PivotTable?</t>
  </si>
  <si>
    <t>A PivotTable needs one heading row and one continuous, consistent block of data. Blank rows can cut the source range short, and a repeated heading becomes a fake 'Month' item and text in the Amount column.</t>
  </si>
  <si>
    <t>Q2. Your manager says: 'I don't need the 144 rows, just one total per region.' Which feature and which layout?</t>
  </si>
  <si>
    <t>PivotTable: Region in Rows, Amount in Values summarised by Sum. Source data stays unchanged.</t>
  </si>
  <si>
    <t>Q3. The manager wants to switch between Hardware, Software, etc. during a meeting. A colleague suggests one sheet per category. Better option?</t>
  </si>
  <si>
    <t>One PivotTable with a Slicer (or Report Filter) on Category – click to switch; no duplicated sheets to maintain.</t>
  </si>
  <si>
    <t>Q4. 'I can read the 12 monthly totals but want to see the direction at a glance.' What do you add, and what does it show here?</t>
  </si>
  <si>
    <t>A PivotChart (line/column) based on the monthly PivotTable. Here it shows a generally rising trend through the year.</t>
  </si>
  <si>
    <t>Q5. Do the Region Grand Total and the Month Grand Total agree? Why is that a useful check?</t>
  </si>
  <si>
    <t>Yes – both equal the total of all data rows. Matching grand totals confirm no rows were lost or double-counted when restructuring.</t>
  </si>
  <si>
    <t>Ex8 – Scenario Questions (audit style)</t>
  </si>
  <si>
    <t>Read each situation and choose the BEST action from the dropdown in column G. In column H, write one line on why.</t>
  </si>
  <si>
    <t>All 20 situations mirror audit topics, but with different numbers and cell addresses. Pick the BEST action – think about what the requirement really asks.</t>
  </si>
  <si>
    <t>#</t>
  </si>
  <si>
    <t>Scenario</t>
  </si>
  <si>
    <t>A</t>
  </si>
  <si>
    <t>B</t>
  </si>
  <si>
    <t>C</t>
  </si>
  <si>
    <t>D</t>
  </si>
  <si>
    <t>Your answer</t>
  </si>
  <si>
    <t>Why? (Solutions: explanation)</t>
  </si>
  <si>
    <t>Cells E12:E17 hold 16, 23, blank, 0, 37, blank. Your manager asks how many cells contain numbers.</t>
  </si>
  <si>
    <t>=COUNT(E12:E17) → 3</t>
  </si>
  <si>
    <t>=COUNT(E12:E17) → 4</t>
  </si>
  <si>
    <t>=COUNTBLANK(E12:E17) → 2</t>
  </si>
  <si>
    <t>Count manually → 6</t>
  </si>
  <si>
    <t>COUNT includes the 0 as a number: 16, 23, 0, 37 = 4.</t>
  </si>
  <si>
    <t>F11:F14 hold 92, blank, 74, 83. A colleague averages by dividing the total by 4.</t>
  </si>
  <si>
    <t>Result 62.25 is correct</t>
  </si>
  <si>
    <t>=AVERAGE(F11:F14) → 83</t>
  </si>
  <si>
    <t>Replace blank with 0 first</t>
  </si>
  <si>
    <t>=SUM(F11:F14)/3 is the only way</t>
  </si>
  <si>
    <t>AVERAGE ignores blanks: 249 ÷ 3 = 83.</t>
  </si>
  <si>
    <t>Budget $2,400; actual spend $2,760. What is the % variance?</t>
  </si>
  <si>
    <t>360%</t>
  </si>
  <si>
    <t>15% over budget</t>
  </si>
  <si>
    <t>13% over budget</t>
  </si>
  <si>
    <t>-15%</t>
  </si>
  <si>
    <t>(2760−2400)/2400 = 15% above budget.</t>
  </si>
  <si>
    <t>You need to apply a fixed tax rate in M3 to 500 rows by copying one formula down.</t>
  </si>
  <si>
    <t>=A5*M3</t>
  </si>
  <si>
    <t>=A5*M$3 or =A5*$M$3</t>
  </si>
  <si>
    <t>=$A$5*$M$3</t>
  </si>
  <si>
    <t>Type the rate in each row</t>
  </si>
  <si>
    <t>Lock the rate row; keep A5 relative so each row uses its own value.</t>
  </si>
  <si>
    <t>A formula =F23*1.1 is copied from row 23 to row 24 and becomes =F24*1.1.</t>
  </si>
  <si>
    <t>Excel error – undo</t>
  </si>
  <si>
    <t>Correct – relative reference</t>
  </si>
  <si>
    <t>Must change to $F$23</t>
  </si>
  <si>
    <t>Turn off auto-calc</t>
  </si>
  <si>
    <t>Relative references adjust to the matching row – intended.</t>
  </si>
  <si>
    <t>You must view only 'Returned' orders for 10 minutes; other rows must remain for later.</t>
  </si>
  <si>
    <t>Delete other rows</t>
  </si>
  <si>
    <t>Sort by Status</t>
  </si>
  <si>
    <t>Filter Status = Returned</t>
  </si>
  <si>
    <t>Copy to new file</t>
  </si>
  <si>
    <t>Filter hides temporarily without changing data.</t>
  </si>
  <si>
    <t>A list of 940 claims must show the largest claims first, with all claims still visible.</t>
  </si>
  <si>
    <t>Filter top 10</t>
  </si>
  <si>
    <t>Sort Largest → Smallest</t>
  </si>
  <si>
    <t>Freeze Panes</t>
  </si>
  <si>
    <t>Conditional delete</t>
  </si>
  <si>
    <t>Sort reorders without hiding anything.</t>
  </si>
  <si>
    <t>On row 1,500 you can't tell which column is 'Due Date'. Data is correct.</t>
  </si>
  <si>
    <t>Copy headings every 65 rows</t>
  </si>
  <si>
    <t>Freeze Top Row</t>
  </si>
  <si>
    <t>Sort by heading</t>
  </si>
  <si>
    <t>Remove blanks</t>
  </si>
  <si>
    <t>Freeze Panes is a view change only.</t>
  </si>
  <si>
    <t>A cell holds 0.065 and must display 6.5% without changing the value.</t>
  </si>
  <si>
    <t>Retype it as 6.5</t>
  </si>
  <si>
    <t>Type 6.5% in a new cell</t>
  </si>
  <si>
    <t>Apply Percentage format (1 dp)</t>
  </si>
  <si>
    <t>Use TEXT and delete original</t>
  </si>
  <si>
    <t>Formatting changes display; stored value stays 0.065.</t>
  </si>
  <si>
    <t>A lookup works for 49 IDs but gives #N/A for one ID.</t>
  </si>
  <si>
    <t>Wrap in IFERROR(…,0) immediately</t>
  </si>
  <si>
    <t>Check whether the ID exists / is typed differently</t>
  </si>
  <si>
    <t>Delete the row</t>
  </si>
  <si>
    <t>Rewrite the formula</t>
  </si>
  <si>
    <t>#N/A = no match found; investigate before hiding.</t>
  </si>
  <si>
    <t>=K9+L9 gives #VALUE!; K9 = 480, L9 = 'Awaited'.</t>
  </si>
  <si>
    <t>The + operator is wrong</t>
  </si>
  <si>
    <t>L9 contains text, not a number</t>
  </si>
  <si>
    <t>Excel needs recalculating</t>
  </si>
  <si>
    <t>Use SUM to hide it</t>
  </si>
  <si>
    <t>Text cannot be added; fix the data, not the operator.</t>
  </si>
  <si>
    <t>Names look like '  sARAH   miller ' and some contain hidden line breaks.</t>
  </si>
  <si>
    <t>TRIM + CLEAN + PROPER</t>
  </si>
  <si>
    <t>Retype manually</t>
  </si>
  <si>
    <t>Each fixes a different issue: spaces, hidden characters, capitalisation.</t>
  </si>
  <si>
    <t>Values look like 'C210;Austin;Open' in one column and must be split into 3 columns.</t>
  </si>
  <si>
    <t>Text to Columns with ';' delimiter</t>
  </si>
  <si>
    <t>Text to Columns with ',' delimiter</t>
  </si>
  <si>
    <t>Remove Duplicates</t>
  </si>
  <si>
    <t>PROPER</t>
  </si>
  <si>
    <t>The semicolon is the consistent separator.</t>
  </si>
  <si>
    <t>List A has ID '000562', List B has 562. Business confirms same ID. Lookup says different.</t>
  </si>
  <si>
    <t>IDs are different – report it</t>
  </si>
  <si>
    <t>Standardise the format, then compare</t>
  </si>
  <si>
    <t>Delete leading zeros by hand in one row</t>
  </si>
  <si>
    <t>Ignore the list</t>
  </si>
  <si>
    <t>It's a format difference until proven otherwise.</t>
  </si>
  <si>
    <t>Two rows have amount $4,500 but different invoice numbers and items.</t>
  </si>
  <si>
    <t>Remove one as duplicate</t>
  </si>
  <si>
    <t>Keep both – not duplicates</t>
  </si>
  <si>
    <t>Average them</t>
  </si>
  <si>
    <t>Filter them out</t>
  </si>
  <si>
    <t>Same amount ≠ same record; duplicates must match on identifying fields.</t>
  </si>
  <si>
    <t>Rows: 2,400 before cleaning, 2,388 after. Owner expected 9 duplicates.</t>
  </si>
  <si>
    <t>Fine – fewer rows expected</t>
  </si>
  <si>
    <t>Investigate the 3 extra rows removed</t>
  </si>
  <si>
    <t>Add 3 blank rows</t>
  </si>
  <si>
    <t>Re-run Remove Duplicates</t>
  </si>
  <si>
    <t>12 removed vs 9 expected – the difference must be explained.</t>
  </si>
  <si>
    <t>Data has a second header row midway and blank rows; you're asked for a PivotTable.</t>
  </si>
  <si>
    <t>Insert PivotTable now</t>
  </si>
  <si>
    <t>Restructure into one clean table first</t>
  </si>
  <si>
    <t>Use Freeze Panes</t>
  </si>
  <si>
    <t>Sort by Month</t>
  </si>
  <si>
    <t>PivotTables need one header row and continuous data.</t>
  </si>
  <si>
    <t>500 rows of Department + Cost; manager wants one total per department.</t>
  </si>
  <si>
    <t>Sort by Department</t>
  </si>
  <si>
    <t>PivotTable: Department in Rows, Sum of Cost</t>
  </si>
  <si>
    <t>Filter each department</t>
  </si>
  <si>
    <t>Text to Columns</t>
  </si>
  <si>
    <t>PivotTable summarises without altering the data.</t>
  </si>
  <si>
    <t>Manager wants to flip between departments in an existing PivotTable during a call.</t>
  </si>
  <si>
    <t>Rebuild the Pivot each time</t>
  </si>
  <si>
    <t>Add a Slicer for Department</t>
  </si>
  <si>
    <t>Create one sheet per dept</t>
  </si>
  <si>
    <t>Sort Pivot</t>
  </si>
  <si>
    <t>Slicer = one-click switching on the same report.</t>
  </si>
  <si>
    <t>A PivotTable shows 12 monthly totals; manager wants to see the trend quickly.</t>
  </si>
  <si>
    <t>Add a PivotChart</t>
  </si>
  <si>
    <t>Add more decimals</t>
  </si>
  <si>
    <t>A chart makes rise/fall patterns visible at a glance.</t>
  </si>
  <si>
    <t>Answer key is shown in column G (green).</t>
  </si>
  <si>
    <t>Excel Practice Workbook –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</si>
</sst>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m\-yyyy"/>
    <numFmt numFmtId="166" formatCode="0.000"/>
  </numFmts>
  <fonts count="10" x14ac:knownFonts="1">
    <font>
      <sz val="11"/>
      <color theme="1"/>
      <name val="Calibri"/>
      <family val="2"/>
      <charset val="1"/>
    </font>
    <font>
      <b/>
      <sz val="14"/>
      <color rgb="FFFFFFFF"/>
      <name val="Arial"/>
      <family val="2"/>
    </font>
    <font>
      <i/>
      <sz val="10"/>
      <name val="Arial"/>
      <family val="2"/>
    </font>
    <font>
      <sz val="10"/>
      <color rgb="FF404040"/>
      <name val="Arial"/>
      <family val="2"/>
    </font>
    <font>
      <b/>
      <sz val="11"/>
      <color rgb="FF1F3864"/>
      <name val="Arial"/>
      <family val="2"/>
    </font>
    <font>
      <sz val="10"/>
      <name val="Arial"/>
      <family val="2"/>
    </font>
    <font>
      <b/>
      <sz val="10"/>
      <color rgb="FFFFFFFF"/>
      <name val="Arial"/>
      <family val="2"/>
    </font>
    <font>
      <b/>
      <sz val="10"/>
      <name val="Arial"/>
      <family val="2"/>
    </font>
    <font>
      <i/>
      <sz val="10"/>
      <color rgb="FF006100"/>
      <name val="Arial"/>
      <family val="2"/>
    </font>
    <font>
      <i/>
      <sz val="9"/>
      <name val="Arial"/>
      <family val="2"/>
    </font>
  </fonts>
  <fills count="8">
    <fill>
      <patternFill patternType="none"/>
    </fill>
    <fill>
      <patternFill patternType="gray125"/>
    </fill>
    <fill>
      <patternFill patternType="solid">
        <fgColor rgb="FF1F3864"/>
        <bgColor rgb="FF404040"/>
      </patternFill>
    </fill>
    <fill>
      <patternFill patternType="solid">
        <fgColor rgb="FFF2F2F2"/>
        <bgColor rgb="FFE2EFDA"/>
      </patternFill>
    </fill>
    <fill>
      <patternFill patternType="solid">
        <fgColor rgb="FFFFF2CC"/>
        <bgColor rgb="FFF2F2F2"/>
      </patternFill>
    </fill>
    <fill>
      <patternFill patternType="solid">
        <fgColor rgb="FFDEEAF6"/>
        <bgColor rgb="FFE2EFDA"/>
      </patternFill>
    </fill>
    <fill>
      <patternFill patternType="solid">
        <fgColor rgb="FFE2EFDA"/>
        <bgColor rgb="FFDEEAF6"/>
      </patternFill>
    </fill>
    <fill>
      <patternFill patternType="solid">
        <fgColor rgb="FF2F5597"/>
        <b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46">
    <xf numFmtId="0" fontId="0" fillId="0" borderId="0" xfId="0"/>
    <xf numFmtId="0" fontId="7" fillId="0" borderId="0" xfId="0" applyFont="1" applyAlignment="1">
      <alignment vertical="top" wrapText="1"/>
    </xf>
    <xf numFmtId="0" fontId="8" fillId="6" borderId="2" xfId="0" applyFont="1" applyFill="1" applyBorder="1" applyAlignment="1">
      <alignment vertical="top" wrapText="1"/>
    </xf>
    <xf numFmtId="0" fontId="8" fillId="6" borderId="2" xfId="0" applyFont="1" applyFill="1" applyBorder="1"/>
    <xf numFmtId="0" fontId="6" fillId="7" borderId="1" xfId="0" applyFont="1" applyFill="1" applyBorder="1" applyAlignment="1">
      <alignment horizontal="center" vertical="center" wrapText="1"/>
    </xf>
    <xf numFmtId="0" fontId="1" fillId="2" borderId="0" xfId="0" applyFont="1" applyFill="1"/>
    <xf numFmtId="0" fontId="7" fillId="0" borderId="0" xfId="0" applyFont="1"/>
    <xf numFmtId="0" fontId="8" fillId="6" borderId="1" xfId="0" applyFont="1" applyFill="1" applyBorder="1" applyAlignment="1">
      <alignment vertical="top" wrapText="1"/>
    </xf>
    <xf numFmtId="0" fontId="5" fillId="5" borderId="0" xfId="0" applyFont="1" applyFill="1" applyAlignment="1">
      <alignment vertical="top" wrapText="1"/>
    </xf>
    <xf numFmtId="0" fontId="5" fillId="0" borderId="0" xfId="0" applyFont="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1" fillId="2" borderId="0" xfId="0" applyFont="1" applyFill="1" applyAlignment="1">
      <alignment vertical="center"/>
    </xf>
    <xf numFmtId="0" fontId="4" fillId="0" borderId="0" xfId="0" applyFont="1"/>
    <xf numFmtId="0" fontId="0" fillId="4" borderId="1" xfId="0" applyFill="1" applyBorder="1"/>
    <xf numFmtId="0" fontId="5" fillId="0" borderId="0" xfId="0" applyFont="1"/>
    <xf numFmtId="0" fontId="0" fillId="5" borderId="1" xfId="0" applyFill="1" applyBorder="1"/>
    <xf numFmtId="0" fontId="0" fillId="6" borderId="1" xfId="0" applyFill="1" applyBorder="1"/>
    <xf numFmtId="0" fontId="6" fillId="7" borderId="1" xfId="0" applyFont="1" applyFill="1" applyBorder="1" applyAlignment="1">
      <alignment horizontal="center" vertical="center" wrapText="1"/>
    </xf>
    <xf numFmtId="0" fontId="7" fillId="0" borderId="1" xfId="0" applyFont="1" applyBorder="1"/>
    <xf numFmtId="0" fontId="5" fillId="0" borderId="1" xfId="0" applyFont="1" applyBorder="1" applyAlignment="1">
      <alignment vertical="top" wrapText="1"/>
    </xf>
    <xf numFmtId="0" fontId="5" fillId="0" borderId="1" xfId="0" applyFont="1" applyBorder="1"/>
    <xf numFmtId="0" fontId="5" fillId="5" borderId="0" xfId="0" applyFont="1" applyFill="1" applyAlignment="1">
      <alignment vertical="top" wrapText="1"/>
    </xf>
    <xf numFmtId="3" fontId="5" fillId="0" borderId="1" xfId="0" applyNumberFormat="1" applyFont="1" applyBorder="1"/>
    <xf numFmtId="0" fontId="7" fillId="0" borderId="0" xfId="0" applyFont="1"/>
    <xf numFmtId="3" fontId="8" fillId="6" borderId="1" xfId="0" applyNumberFormat="1" applyFont="1" applyFill="1" applyBorder="1"/>
    <xf numFmtId="0" fontId="8" fillId="6" borderId="1" xfId="0" applyFont="1" applyFill="1" applyBorder="1" applyAlignment="1">
      <alignment vertical="top" wrapText="1"/>
    </xf>
    <xf numFmtId="0" fontId="8" fillId="6" borderId="1" xfId="0" applyFont="1" applyFill="1" applyBorder="1"/>
    <xf numFmtId="2" fontId="8" fillId="6" borderId="1" xfId="0" applyNumberFormat="1" applyFont="1" applyFill="1" applyBorder="1"/>
    <xf numFmtId="164" fontId="8" fillId="6" borderId="1" xfId="0" applyNumberFormat="1" applyFont="1" applyFill="1" applyBorder="1"/>
    <xf numFmtId="164" fontId="5" fillId="0" borderId="1" xfId="0" applyNumberFormat="1" applyFont="1" applyBorder="1"/>
    <xf numFmtId="10" fontId="5" fillId="0" borderId="1" xfId="0" applyNumberFormat="1" applyFont="1" applyBorder="1"/>
    <xf numFmtId="4" fontId="5" fillId="0" borderId="1" xfId="0" applyNumberFormat="1" applyFont="1" applyBorder="1"/>
    <xf numFmtId="4" fontId="8" fillId="6" borderId="1" xfId="0" applyNumberFormat="1" applyFont="1" applyFill="1" applyBorder="1"/>
    <xf numFmtId="3" fontId="7" fillId="0" borderId="1" xfId="0" applyNumberFormat="1" applyFont="1" applyBorder="1"/>
    <xf numFmtId="165" fontId="5" fillId="0" borderId="0" xfId="0" applyNumberFormat="1" applyFont="1"/>
    <xf numFmtId="3" fontId="5" fillId="0" borderId="0" xfId="0" applyNumberFormat="1" applyFont="1"/>
    <xf numFmtId="166" fontId="5" fillId="0" borderId="0" xfId="0" applyNumberFormat="1" applyFont="1"/>
    <xf numFmtId="166" fontId="8" fillId="6" borderId="1" xfId="0" applyNumberFormat="1" applyFont="1" applyFill="1" applyBorder="1"/>
    <xf numFmtId="0" fontId="8" fillId="0" borderId="0" xfId="0" applyFont="1"/>
    <xf numFmtId="0" fontId="5" fillId="4" borderId="1" xfId="0" applyFont="1" applyFill="1" applyBorder="1"/>
    <xf numFmtId="0" fontId="5" fillId="0" borderId="1" xfId="0" applyFont="1" applyBorder="1" applyAlignment="1">
      <alignment wrapText="1"/>
    </xf>
    <xf numFmtId="0" fontId="8" fillId="6" borderId="1" xfId="0" applyFont="1" applyFill="1" applyBorder="1" applyAlignment="1">
      <alignment wrapText="1"/>
    </xf>
    <xf numFmtId="49" fontId="5" fillId="0" borderId="1" xfId="0" applyNumberFormat="1" applyFont="1" applyBorder="1"/>
    <xf numFmtId="0" fontId="9" fillId="0" borderId="0" xfId="0" applyFont="1"/>
    <xf numFmtId="0" fontId="8" fillId="6"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59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showGridLines="0" tabSelected="1" zoomScaleNormal="100" workbookViewId="0">
      <selection activeCell="I20" sqref="I20"/>
    </sheetView>
  </sheetViews>
  <sheetFormatPr baseColWidth="10" defaultColWidth="8.6640625" defaultRowHeight="15" x14ac:dyDescent="0.2"/>
  <cols>
    <col min="1" max="1" width="6" customWidth="1"/>
    <col min="2" max="2" width="26" customWidth="1"/>
    <col min="3" max="3" width="62" customWidth="1"/>
    <col min="4" max="4" width="18" customWidth="1"/>
    <col min="5" max="6" width="4" customWidth="1"/>
  </cols>
  <sheetData>
    <row r="1" spans="1:6" ht="25.5" customHeight="1" x14ac:dyDescent="0.2">
      <c r="A1" s="12" t="s">
        <v>1017</v>
      </c>
      <c r="B1" s="12"/>
      <c r="C1" s="12"/>
      <c r="D1" s="12"/>
      <c r="E1" s="12"/>
      <c r="F1" s="12"/>
    </row>
    <row r="2" spans="1:6" ht="30" customHeight="1" x14ac:dyDescent="0.2">
      <c r="A2" s="11" t="s">
        <v>0</v>
      </c>
      <c r="B2" s="11"/>
      <c r="C2" s="11"/>
      <c r="D2" s="11"/>
      <c r="E2" s="11"/>
      <c r="F2" s="11"/>
    </row>
    <row r="4" spans="1:6" ht="15" customHeight="1" x14ac:dyDescent="0.2">
      <c r="A4" s="10" t="s">
        <v>1</v>
      </c>
      <c r="B4" s="10"/>
      <c r="C4" s="10"/>
      <c r="D4" s="10"/>
    </row>
    <row r="5" spans="1:6" x14ac:dyDescent="0.2">
      <c r="A5" s="10"/>
      <c r="B5" s="10"/>
      <c r="C5" s="10"/>
      <c r="D5" s="10"/>
    </row>
    <row r="6" spans="1:6" x14ac:dyDescent="0.2">
      <c r="A6" s="10"/>
      <c r="B6" s="10"/>
      <c r="C6" s="10"/>
      <c r="D6" s="10"/>
    </row>
    <row r="7" spans="1:6" x14ac:dyDescent="0.2">
      <c r="A7" s="10"/>
      <c r="B7" s="10"/>
      <c r="C7" s="10"/>
      <c r="D7" s="10"/>
    </row>
    <row r="9" spans="1:6" x14ac:dyDescent="0.2">
      <c r="A9" s="13" t="s">
        <v>2</v>
      </c>
    </row>
    <row r="10" spans="1:6" ht="27.75" customHeight="1" x14ac:dyDescent="0.2">
      <c r="B10" s="9" t="s">
        <v>3</v>
      </c>
      <c r="C10" s="9"/>
      <c r="D10" s="9"/>
    </row>
    <row r="11" spans="1:6" ht="27.75" customHeight="1" x14ac:dyDescent="0.2">
      <c r="B11" s="9" t="s">
        <v>4</v>
      </c>
      <c r="C11" s="9"/>
      <c r="D11" s="9"/>
    </row>
    <row r="12" spans="1:6" ht="27.75" customHeight="1" x14ac:dyDescent="0.2">
      <c r="B12" s="9" t="s">
        <v>5</v>
      </c>
      <c r="C12" s="9"/>
      <c r="D12" s="9"/>
    </row>
    <row r="13" spans="1:6" ht="27.75" customHeight="1" x14ac:dyDescent="0.2">
      <c r="B13" s="9" t="s">
        <v>6</v>
      </c>
      <c r="C13" s="9"/>
      <c r="D13" s="9"/>
    </row>
    <row r="14" spans="1:6" ht="27.75" customHeight="1" x14ac:dyDescent="0.2">
      <c r="B14" s="9" t="s">
        <v>7</v>
      </c>
      <c r="C14" s="9"/>
      <c r="D14" s="9"/>
    </row>
    <row r="16" spans="1:6" x14ac:dyDescent="0.2">
      <c r="A16" s="13" t="s">
        <v>8</v>
      </c>
    </row>
    <row r="17" spans="1:4" x14ac:dyDescent="0.2">
      <c r="B17" s="14"/>
      <c r="C17" s="15" t="s">
        <v>9</v>
      </c>
    </row>
    <row r="18" spans="1:4" x14ac:dyDescent="0.2">
      <c r="B18" s="16"/>
      <c r="C18" s="15" t="s">
        <v>10</v>
      </c>
    </row>
    <row r="19" spans="1:4" x14ac:dyDescent="0.2">
      <c r="B19" s="17"/>
      <c r="C19" s="15" t="s">
        <v>11</v>
      </c>
    </row>
    <row r="21" spans="1:4" x14ac:dyDescent="0.2">
      <c r="A21" s="13" t="s">
        <v>12</v>
      </c>
    </row>
    <row r="22" spans="1:4" x14ac:dyDescent="0.2">
      <c r="B22" s="18" t="s">
        <v>13</v>
      </c>
      <c r="C22" s="18" t="s">
        <v>14</v>
      </c>
      <c r="D22" s="18"/>
    </row>
    <row r="23" spans="1:4" ht="27.75" customHeight="1" x14ac:dyDescent="0.2">
      <c r="B23" s="19" t="s">
        <v>15</v>
      </c>
      <c r="C23" s="20" t="s">
        <v>16</v>
      </c>
      <c r="D23" s="21"/>
    </row>
    <row r="24" spans="1:4" ht="27.75" customHeight="1" x14ac:dyDescent="0.2">
      <c r="B24" s="19" t="s">
        <v>17</v>
      </c>
      <c r="C24" s="20" t="s">
        <v>18</v>
      </c>
      <c r="D24" s="21"/>
    </row>
    <row r="25" spans="1:4" ht="27.75" customHeight="1" x14ac:dyDescent="0.2">
      <c r="B25" s="19" t="s">
        <v>19</v>
      </c>
      <c r="C25" s="20" t="s">
        <v>20</v>
      </c>
      <c r="D25" s="21"/>
    </row>
    <row r="26" spans="1:4" ht="27.75" customHeight="1" x14ac:dyDescent="0.2">
      <c r="B26" s="19" t="s">
        <v>21</v>
      </c>
      <c r="C26" s="20" t="s">
        <v>22</v>
      </c>
      <c r="D26" s="21"/>
    </row>
    <row r="27" spans="1:4" ht="27.75" customHeight="1" x14ac:dyDescent="0.2">
      <c r="B27" s="19" t="s">
        <v>23</v>
      </c>
      <c r="C27" s="20" t="s">
        <v>24</v>
      </c>
      <c r="D27" s="21"/>
    </row>
    <row r="28" spans="1:4" ht="27.75" customHeight="1" x14ac:dyDescent="0.2">
      <c r="B28" s="19" t="s">
        <v>25</v>
      </c>
      <c r="C28" s="20" t="s">
        <v>26</v>
      </c>
      <c r="D28" s="21"/>
    </row>
    <row r="29" spans="1:4" ht="27.75" customHeight="1" x14ac:dyDescent="0.2">
      <c r="B29" s="19" t="s">
        <v>27</v>
      </c>
      <c r="C29" s="20" t="s">
        <v>28</v>
      </c>
      <c r="D29" s="21"/>
    </row>
    <row r="30" spans="1:4" ht="27.75" customHeight="1" x14ac:dyDescent="0.2">
      <c r="B30" s="19" t="s">
        <v>29</v>
      </c>
      <c r="C30" s="20" t="s">
        <v>30</v>
      </c>
      <c r="D30" s="21"/>
    </row>
  </sheetData>
  <mergeCells count="8">
    <mergeCell ref="B12:D12"/>
    <mergeCell ref="B13:D13"/>
    <mergeCell ref="B14:D14"/>
    <mergeCell ref="A1:F1"/>
    <mergeCell ref="A2:F2"/>
    <mergeCell ref="A4:D7"/>
    <mergeCell ref="B10:D10"/>
    <mergeCell ref="B11:D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showGridLines="0" zoomScaleNormal="100" workbookViewId="0"/>
  </sheetViews>
  <sheetFormatPr baseColWidth="10" defaultColWidth="8.6640625" defaultRowHeight="15" x14ac:dyDescent="0.2"/>
  <cols>
    <col min="1" max="1" width="24" customWidth="1"/>
    <col min="2" max="2" width="14" customWidth="1"/>
    <col min="3" max="3" width="4" customWidth="1"/>
    <col min="4" max="8" width="22" customWidth="1"/>
  </cols>
  <sheetData>
    <row r="1" spans="1:8" ht="25.5" customHeight="1" x14ac:dyDescent="0.2">
      <c r="A1" s="12" t="s">
        <v>31</v>
      </c>
      <c r="B1" s="12"/>
      <c r="C1" s="12"/>
      <c r="D1" s="12"/>
      <c r="E1" s="12"/>
      <c r="F1" s="12"/>
      <c r="G1" s="12"/>
      <c r="H1" s="12"/>
    </row>
    <row r="2" spans="1:8" ht="30" customHeight="1" x14ac:dyDescent="0.2">
      <c r="A2" s="11" t="s">
        <v>32</v>
      </c>
      <c r="B2" s="11"/>
      <c r="C2" s="11"/>
      <c r="D2" s="11"/>
      <c r="E2" s="11"/>
      <c r="F2" s="11"/>
      <c r="G2" s="11"/>
      <c r="H2" s="11"/>
    </row>
    <row r="4" spans="1:8" ht="15" customHeight="1" x14ac:dyDescent="0.2">
      <c r="A4" s="10" t="s">
        <v>33</v>
      </c>
      <c r="B4" s="10"/>
      <c r="C4" s="10"/>
      <c r="D4" s="10"/>
      <c r="E4" s="10"/>
      <c r="F4" s="10"/>
      <c r="G4" s="10"/>
      <c r="H4" s="10"/>
    </row>
    <row r="5" spans="1:8" x14ac:dyDescent="0.2">
      <c r="A5" s="10"/>
      <c r="B5" s="10"/>
      <c r="C5" s="10"/>
      <c r="D5" s="10"/>
      <c r="E5" s="10"/>
      <c r="F5" s="10"/>
      <c r="G5" s="10"/>
      <c r="H5" s="10"/>
    </row>
    <row r="6" spans="1:8" x14ac:dyDescent="0.2">
      <c r="A6" s="10"/>
      <c r="B6" s="10"/>
      <c r="C6" s="10"/>
      <c r="D6" s="10"/>
      <c r="E6" s="10"/>
      <c r="F6" s="10"/>
      <c r="G6" s="10"/>
      <c r="H6" s="10"/>
    </row>
    <row r="7" spans="1:8" x14ac:dyDescent="0.2">
      <c r="A7" s="10"/>
      <c r="B7" s="10"/>
      <c r="C7" s="10"/>
      <c r="D7" s="10"/>
      <c r="E7" s="10"/>
      <c r="F7" s="10"/>
      <c r="G7" s="10"/>
      <c r="H7" s="10"/>
    </row>
    <row r="9" spans="1:8" x14ac:dyDescent="0.2">
      <c r="A9" s="13" t="s">
        <v>34</v>
      </c>
    </row>
    <row r="10" spans="1:8" ht="42" customHeight="1" x14ac:dyDescent="0.2">
      <c r="A10" s="8" t="s">
        <v>35</v>
      </c>
      <c r="B10" s="8"/>
      <c r="C10" s="8"/>
      <c r="D10" s="8"/>
      <c r="E10" s="8"/>
      <c r="F10" s="8"/>
      <c r="G10" s="8"/>
      <c r="H10" s="8"/>
    </row>
    <row r="11" spans="1:8" x14ac:dyDescent="0.2">
      <c r="A11" s="18" t="s">
        <v>36</v>
      </c>
      <c r="B11" s="18" t="s">
        <v>37</v>
      </c>
    </row>
    <row r="12" spans="1:8" x14ac:dyDescent="0.2">
      <c r="A12" s="21" t="s">
        <v>38</v>
      </c>
      <c r="B12" s="23">
        <v>265</v>
      </c>
      <c r="D12" s="24" t="s">
        <v>39</v>
      </c>
      <c r="E12" s="25">
        <f>SUM(B12:B15)</f>
        <v>1215</v>
      </c>
    </row>
    <row r="13" spans="1:8" x14ac:dyDescent="0.2">
      <c r="A13" s="21" t="s">
        <v>40</v>
      </c>
      <c r="B13" s="23">
        <v>340</v>
      </c>
      <c r="D13" s="15" t="s">
        <v>41</v>
      </c>
    </row>
    <row r="14" spans="1:8" ht="45" customHeight="1" x14ac:dyDescent="0.2">
      <c r="A14" s="21" t="s">
        <v>42</v>
      </c>
      <c r="B14" s="23">
        <v>195</v>
      </c>
      <c r="D14" s="7" t="s">
        <v>43</v>
      </c>
      <c r="E14" s="7"/>
      <c r="F14" s="7"/>
      <c r="G14" s="7"/>
    </row>
    <row r="15" spans="1:8" x14ac:dyDescent="0.2">
      <c r="A15" s="21" t="s">
        <v>44</v>
      </c>
      <c r="B15" s="23">
        <v>415</v>
      </c>
    </row>
    <row r="17" spans="1:8" x14ac:dyDescent="0.2">
      <c r="A17" s="13" t="s">
        <v>45</v>
      </c>
    </row>
    <row r="18" spans="1:8" ht="30" customHeight="1" x14ac:dyDescent="0.2">
      <c r="A18" s="8" t="s">
        <v>46</v>
      </c>
      <c r="B18" s="8"/>
      <c r="C18" s="8"/>
      <c r="D18" s="8"/>
      <c r="E18" s="8"/>
      <c r="F18" s="8"/>
      <c r="G18" s="8"/>
      <c r="H18" s="8"/>
    </row>
    <row r="19" spans="1:8" ht="28" x14ac:dyDescent="0.2">
      <c r="A19" s="18" t="s">
        <v>47</v>
      </c>
      <c r="B19" s="18" t="s">
        <v>48</v>
      </c>
    </row>
    <row r="20" spans="1:8" x14ac:dyDescent="0.2">
      <c r="A20" s="21" t="s">
        <v>49</v>
      </c>
      <c r="B20" s="21">
        <v>42</v>
      </c>
      <c r="D20" s="24" t="s">
        <v>50</v>
      </c>
      <c r="E20" s="27">
        <f>COUNT(B20:B27)</f>
        <v>6</v>
      </c>
    </row>
    <row r="21" spans="1:8" x14ac:dyDescent="0.2">
      <c r="A21" s="21" t="s">
        <v>51</v>
      </c>
      <c r="B21" s="21"/>
      <c r="D21" s="15" t="s">
        <v>52</v>
      </c>
    </row>
    <row r="22" spans="1:8" ht="45" customHeight="1" x14ac:dyDescent="0.2">
      <c r="A22" s="21" t="s">
        <v>53</v>
      </c>
      <c r="B22" s="21">
        <v>0</v>
      </c>
      <c r="D22" s="7" t="s">
        <v>54</v>
      </c>
      <c r="E22" s="7"/>
      <c r="F22" s="7"/>
      <c r="G22" s="7"/>
    </row>
    <row r="23" spans="1:8" x14ac:dyDescent="0.2">
      <c r="A23" s="21" t="s">
        <v>55</v>
      </c>
      <c r="B23" s="21">
        <v>67</v>
      </c>
    </row>
    <row r="24" spans="1:8" x14ac:dyDescent="0.2">
      <c r="A24" s="21" t="s">
        <v>56</v>
      </c>
      <c r="B24" s="21"/>
      <c r="D24" s="15" t="s">
        <v>57</v>
      </c>
      <c r="E24" s="27">
        <f>COUNTBLANK(B20:B27)</f>
        <v>2</v>
      </c>
    </row>
    <row r="25" spans="1:8" x14ac:dyDescent="0.2">
      <c r="A25" s="21" t="s">
        <v>58</v>
      </c>
      <c r="B25" s="21">
        <v>85</v>
      </c>
    </row>
    <row r="26" spans="1:8" x14ac:dyDescent="0.2">
      <c r="A26" s="21" t="s">
        <v>59</v>
      </c>
      <c r="B26" s="21">
        <v>0</v>
      </c>
    </row>
    <row r="27" spans="1:8" x14ac:dyDescent="0.2">
      <c r="A27" s="21" t="s">
        <v>60</v>
      </c>
      <c r="B27" s="21">
        <v>33</v>
      </c>
    </row>
    <row r="29" spans="1:8" x14ac:dyDescent="0.2">
      <c r="A29" s="13" t="s">
        <v>61</v>
      </c>
    </row>
    <row r="30" spans="1:8" ht="30" customHeight="1" x14ac:dyDescent="0.2">
      <c r="A30" s="8" t="s">
        <v>62</v>
      </c>
      <c r="B30" s="8"/>
      <c r="C30" s="8"/>
      <c r="D30" s="8"/>
      <c r="E30" s="8"/>
      <c r="F30" s="8"/>
      <c r="G30" s="8"/>
      <c r="H30" s="8"/>
    </row>
    <row r="31" spans="1:8" x14ac:dyDescent="0.2">
      <c r="A31" s="18" t="s">
        <v>63</v>
      </c>
      <c r="B31" s="18" t="s">
        <v>64</v>
      </c>
    </row>
    <row r="32" spans="1:8" x14ac:dyDescent="0.2">
      <c r="A32" s="21" t="s">
        <v>65</v>
      </c>
      <c r="B32" s="21">
        <v>72</v>
      </c>
      <c r="D32" s="24" t="s">
        <v>66</v>
      </c>
      <c r="E32" s="28">
        <f>AVERAGE(B32:B37)</f>
        <v>79</v>
      </c>
    </row>
    <row r="33" spans="1:8" x14ac:dyDescent="0.2">
      <c r="A33" s="21" t="s">
        <v>67</v>
      </c>
      <c r="B33" s="21"/>
      <c r="D33" s="15" t="s">
        <v>68</v>
      </c>
      <c r="E33" s="28">
        <f>SUM(B32:B37)/6</f>
        <v>52.666666666666664</v>
      </c>
    </row>
    <row r="34" spans="1:8" x14ac:dyDescent="0.2">
      <c r="A34" s="21" t="s">
        <v>69</v>
      </c>
      <c r="B34" s="21">
        <v>86</v>
      </c>
      <c r="D34" s="15" t="s">
        <v>70</v>
      </c>
    </row>
    <row r="35" spans="1:8" ht="45" customHeight="1" x14ac:dyDescent="0.2">
      <c r="A35" s="21" t="s">
        <v>71</v>
      </c>
      <c r="B35" s="21">
        <v>64</v>
      </c>
      <c r="D35" s="7" t="s">
        <v>72</v>
      </c>
      <c r="E35" s="7"/>
      <c r="F35" s="7"/>
      <c r="G35" s="7"/>
    </row>
    <row r="36" spans="1:8" x14ac:dyDescent="0.2">
      <c r="A36" s="21" t="s">
        <v>73</v>
      </c>
      <c r="B36" s="21"/>
    </row>
    <row r="37" spans="1:8" x14ac:dyDescent="0.2">
      <c r="A37" s="21" t="s">
        <v>74</v>
      </c>
      <c r="B37" s="21">
        <v>94</v>
      </c>
    </row>
    <row r="39" spans="1:8" x14ac:dyDescent="0.2">
      <c r="A39" s="13" t="s">
        <v>75</v>
      </c>
    </row>
    <row r="40" spans="1:8" ht="42" customHeight="1" x14ac:dyDescent="0.2">
      <c r="A40" s="8" t="s">
        <v>76</v>
      </c>
      <c r="B40" s="8"/>
      <c r="C40" s="8"/>
      <c r="D40" s="8"/>
      <c r="E40" s="8"/>
      <c r="F40" s="8"/>
      <c r="G40" s="8"/>
      <c r="H40" s="8"/>
    </row>
    <row r="41" spans="1:8" ht="28" x14ac:dyDescent="0.2">
      <c r="A41" s="18" t="s">
        <v>77</v>
      </c>
      <c r="B41" s="18" t="s">
        <v>78</v>
      </c>
      <c r="C41" s="18" t="s">
        <v>79</v>
      </c>
      <c r="D41" s="18" t="s">
        <v>80</v>
      </c>
      <c r="E41" s="18" t="s">
        <v>81</v>
      </c>
    </row>
    <row r="42" spans="1:8" x14ac:dyDescent="0.2">
      <c r="A42" s="21" t="s">
        <v>82</v>
      </c>
      <c r="B42" s="23">
        <v>520</v>
      </c>
      <c r="C42" s="23">
        <v>481</v>
      </c>
      <c r="D42" s="29">
        <f>(C42-B42)/B42</f>
        <v>-7.4999999999999997E-2</v>
      </c>
      <c r="E42" s="27" t="str">
        <f>IF(C42&gt;B42,"Above",IF(C42&lt;B42,"Below","On target"))</f>
        <v>Below</v>
      </c>
    </row>
    <row r="43" spans="1:8" x14ac:dyDescent="0.2">
      <c r="A43" s="21" t="s">
        <v>83</v>
      </c>
      <c r="B43" s="23">
        <v>260</v>
      </c>
      <c r="C43" s="23">
        <v>325</v>
      </c>
      <c r="D43" s="29">
        <f>(C43-B43)/B43</f>
        <v>0.25</v>
      </c>
      <c r="E43" s="27" t="str">
        <f>IF(C43&gt;B43,"Above",IF(C43&lt;B43,"Below","On target"))</f>
        <v>Above</v>
      </c>
    </row>
    <row r="44" spans="1:8" x14ac:dyDescent="0.2">
      <c r="A44" s="21" t="s">
        <v>84</v>
      </c>
      <c r="B44" s="23">
        <v>1400</v>
      </c>
      <c r="C44" s="23">
        <v>1526</v>
      </c>
      <c r="D44" s="29">
        <f>(C44-B44)/B44</f>
        <v>0.09</v>
      </c>
      <c r="E44" s="27" t="str">
        <f>IF(C44&gt;B44,"Above",IF(C44&lt;B44,"Below","On target"))</f>
        <v>Above</v>
      </c>
    </row>
    <row r="45" spans="1:8" x14ac:dyDescent="0.2">
      <c r="A45" s="21" t="s">
        <v>85</v>
      </c>
      <c r="B45" s="23">
        <v>84</v>
      </c>
      <c r="C45" s="23">
        <v>63</v>
      </c>
      <c r="D45" s="29">
        <f>(C45-B45)/B45</f>
        <v>-0.25</v>
      </c>
      <c r="E45" s="27" t="str">
        <f>IF(C45&gt;B45,"Above",IF(C45&lt;B45,"Below","On target"))</f>
        <v>Below</v>
      </c>
    </row>
    <row r="46" spans="1:8" x14ac:dyDescent="0.2">
      <c r="A46" s="21" t="s">
        <v>86</v>
      </c>
      <c r="B46" s="23">
        <v>650</v>
      </c>
      <c r="C46" s="23">
        <v>650</v>
      </c>
      <c r="D46" s="29">
        <f>(C46-B46)/B46</f>
        <v>0</v>
      </c>
      <c r="E46" s="27" t="str">
        <f>IF(C46&gt;B46,"Above",IF(C46&lt;B46,"Below","On target"))</f>
        <v>On target</v>
      </c>
    </row>
    <row r="47" spans="1:8" x14ac:dyDescent="0.2">
      <c r="A47" s="15" t="s">
        <v>87</v>
      </c>
    </row>
    <row r="48" spans="1:8" ht="45" customHeight="1" x14ac:dyDescent="0.2">
      <c r="A48" s="7" t="s">
        <v>88</v>
      </c>
      <c r="B48" s="7"/>
      <c r="C48" s="7"/>
      <c r="D48" s="7"/>
      <c r="E48" s="7"/>
    </row>
  </sheetData>
  <mergeCells count="11">
    <mergeCell ref="A48:E48"/>
    <mergeCell ref="A18:H18"/>
    <mergeCell ref="D22:G22"/>
    <mergeCell ref="A30:H30"/>
    <mergeCell ref="D35:G35"/>
    <mergeCell ref="A40:H40"/>
    <mergeCell ref="A1:H1"/>
    <mergeCell ref="A2:H2"/>
    <mergeCell ref="A4:H7"/>
    <mergeCell ref="A10:H10"/>
    <mergeCell ref="D14:G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
  <sheetViews>
    <sheetView showGridLines="0" zoomScaleNormal="100" workbookViewId="0"/>
  </sheetViews>
  <sheetFormatPr baseColWidth="10" defaultColWidth="8.6640625" defaultRowHeight="15" x14ac:dyDescent="0.2"/>
  <cols>
    <col min="1" max="1" width="16" customWidth="1"/>
    <col min="2" max="2" width="14" customWidth="1"/>
    <col min="3" max="3" width="16" customWidth="1"/>
    <col min="4" max="6" width="18" customWidth="1"/>
    <col min="7" max="9" width="4" customWidth="1"/>
    <col min="10" max="10" width="18" customWidth="1"/>
    <col min="11" max="11" width="12" customWidth="1"/>
  </cols>
  <sheetData>
    <row r="1" spans="1:11" ht="25.5" customHeight="1" x14ac:dyDescent="0.2">
      <c r="A1" s="12" t="s">
        <v>89</v>
      </c>
      <c r="B1" s="12"/>
      <c r="C1" s="12"/>
      <c r="D1" s="12"/>
      <c r="E1" s="12"/>
      <c r="F1" s="12"/>
      <c r="G1" s="12"/>
      <c r="H1" s="12"/>
    </row>
    <row r="2" spans="1:11" ht="30" customHeight="1" x14ac:dyDescent="0.2">
      <c r="A2" s="11" t="s">
        <v>90</v>
      </c>
      <c r="B2" s="11"/>
      <c r="C2" s="11"/>
      <c r="D2" s="11"/>
      <c r="E2" s="11"/>
      <c r="F2" s="11"/>
      <c r="G2" s="11"/>
      <c r="H2" s="11"/>
    </row>
    <row r="4" spans="1:11" ht="15" customHeight="1" x14ac:dyDescent="0.2">
      <c r="A4" s="10" t="s">
        <v>91</v>
      </c>
      <c r="B4" s="10"/>
      <c r="C4" s="10"/>
      <c r="D4" s="10"/>
      <c r="E4" s="10"/>
      <c r="F4" s="10"/>
    </row>
    <row r="5" spans="1:11" x14ac:dyDescent="0.2">
      <c r="A5" s="10"/>
      <c r="B5" s="10"/>
      <c r="C5" s="10"/>
      <c r="D5" s="10"/>
      <c r="E5" s="10"/>
      <c r="F5" s="10"/>
    </row>
    <row r="6" spans="1:11" x14ac:dyDescent="0.2">
      <c r="A6" s="10"/>
      <c r="B6" s="10"/>
      <c r="C6" s="10"/>
      <c r="D6" s="10"/>
      <c r="E6" s="10"/>
      <c r="F6" s="10"/>
      <c r="J6" s="24" t="s">
        <v>92</v>
      </c>
      <c r="K6" s="30">
        <v>4.4999999999999998E-2</v>
      </c>
    </row>
    <row r="7" spans="1:11" x14ac:dyDescent="0.2">
      <c r="A7" s="10"/>
      <c r="B7" s="10"/>
      <c r="C7" s="10"/>
      <c r="D7" s="10"/>
      <c r="E7" s="10"/>
      <c r="F7" s="10"/>
      <c r="J7" s="24" t="s">
        <v>93</v>
      </c>
      <c r="K7" s="31">
        <v>7.2499999999999995E-2</v>
      </c>
    </row>
    <row r="9" spans="1:11" ht="45" customHeight="1" x14ac:dyDescent="0.2">
      <c r="A9" s="8" t="s">
        <v>94</v>
      </c>
      <c r="B9" s="8"/>
      <c r="C9" s="8"/>
      <c r="D9" s="8"/>
      <c r="E9" s="8"/>
      <c r="F9" s="8"/>
    </row>
    <row r="10" spans="1:11" ht="30" customHeight="1" x14ac:dyDescent="0.2">
      <c r="A10" s="8" t="s">
        <v>95</v>
      </c>
      <c r="B10" s="8"/>
      <c r="C10" s="8"/>
      <c r="D10" s="8"/>
      <c r="E10" s="8"/>
      <c r="F10" s="8"/>
    </row>
    <row r="12" spans="1:11" ht="28" x14ac:dyDescent="0.2">
      <c r="A12" s="18" t="s">
        <v>96</v>
      </c>
      <c r="B12" s="18" t="s">
        <v>97</v>
      </c>
      <c r="C12" s="18" t="s">
        <v>98</v>
      </c>
      <c r="D12" s="18" t="s">
        <v>99</v>
      </c>
      <c r="E12" s="18" t="s">
        <v>100</v>
      </c>
      <c r="F12" s="18" t="s">
        <v>101</v>
      </c>
    </row>
    <row r="13" spans="1:11" x14ac:dyDescent="0.2">
      <c r="A13" s="21" t="s">
        <v>102</v>
      </c>
      <c r="B13" s="21" t="s">
        <v>103</v>
      </c>
      <c r="C13" s="23">
        <v>58750</v>
      </c>
      <c r="D13" s="32">
        <f t="shared" ref="D13:D32" si="0">C13*K6</f>
        <v>2643.75</v>
      </c>
      <c r="E13" s="33">
        <f t="shared" ref="E13:E32" si="1">C13*$K$6</f>
        <v>2643.75</v>
      </c>
      <c r="F13" s="33">
        <f t="shared" ref="F13:F32" si="2">C13*$K$7</f>
        <v>4259.375</v>
      </c>
    </row>
    <row r="14" spans="1:11" x14ac:dyDescent="0.2">
      <c r="A14" s="21" t="s">
        <v>104</v>
      </c>
      <c r="B14" s="21" t="s">
        <v>103</v>
      </c>
      <c r="C14" s="23">
        <v>46500</v>
      </c>
      <c r="D14" s="32">
        <f t="shared" si="0"/>
        <v>3371.2499999999995</v>
      </c>
      <c r="E14" s="33">
        <f t="shared" si="1"/>
        <v>2092.5</v>
      </c>
      <c r="F14" s="33">
        <f t="shared" si="2"/>
        <v>3371.2499999999995</v>
      </c>
    </row>
    <row r="15" spans="1:11" x14ac:dyDescent="0.2">
      <c r="A15" s="21" t="s">
        <v>105</v>
      </c>
      <c r="B15" s="21" t="s">
        <v>106</v>
      </c>
      <c r="C15" s="23">
        <v>91250</v>
      </c>
      <c r="D15" s="32">
        <f t="shared" si="0"/>
        <v>0</v>
      </c>
      <c r="E15" s="33">
        <f t="shared" si="1"/>
        <v>4106.25</v>
      </c>
      <c r="F15" s="33">
        <f t="shared" si="2"/>
        <v>6615.6249999999991</v>
      </c>
    </row>
    <row r="16" spans="1:11" x14ac:dyDescent="0.2">
      <c r="A16" s="21" t="s">
        <v>107</v>
      </c>
      <c r="B16" s="21" t="s">
        <v>106</v>
      </c>
      <c r="C16" s="23">
        <v>93000</v>
      </c>
      <c r="D16" s="32">
        <f t="shared" si="0"/>
        <v>0</v>
      </c>
      <c r="E16" s="33">
        <f t="shared" si="1"/>
        <v>4185</v>
      </c>
      <c r="F16" s="33">
        <f t="shared" si="2"/>
        <v>6742.4999999999991</v>
      </c>
    </row>
    <row r="17" spans="1:6" x14ac:dyDescent="0.2">
      <c r="A17" s="21" t="s">
        <v>108</v>
      </c>
      <c r="B17" s="21" t="s">
        <v>106</v>
      </c>
      <c r="C17" s="23">
        <v>48500</v>
      </c>
      <c r="D17" s="32">
        <f t="shared" si="0"/>
        <v>0</v>
      </c>
      <c r="E17" s="33">
        <f t="shared" si="1"/>
        <v>2182.5</v>
      </c>
      <c r="F17" s="33">
        <f t="shared" si="2"/>
        <v>3516.2499999999995</v>
      </c>
    </row>
    <row r="18" spans="1:6" x14ac:dyDescent="0.2">
      <c r="A18" s="21" t="s">
        <v>109</v>
      </c>
      <c r="B18" s="21" t="s">
        <v>103</v>
      </c>
      <c r="C18" s="23">
        <v>28250</v>
      </c>
      <c r="D18" s="32">
        <f t="shared" si="0"/>
        <v>0</v>
      </c>
      <c r="E18" s="33">
        <f t="shared" si="1"/>
        <v>1271.25</v>
      </c>
      <c r="F18" s="33">
        <f t="shared" si="2"/>
        <v>2048.125</v>
      </c>
    </row>
    <row r="19" spans="1:6" x14ac:dyDescent="0.2">
      <c r="A19" s="21" t="s">
        <v>110</v>
      </c>
      <c r="B19" s="21" t="s">
        <v>103</v>
      </c>
      <c r="C19" s="23">
        <v>54750</v>
      </c>
      <c r="D19" s="32">
        <f t="shared" si="0"/>
        <v>0</v>
      </c>
      <c r="E19" s="33">
        <f t="shared" si="1"/>
        <v>2463.75</v>
      </c>
      <c r="F19" s="33">
        <f t="shared" si="2"/>
        <v>3969.3749999999995</v>
      </c>
    </row>
    <row r="20" spans="1:6" x14ac:dyDescent="0.2">
      <c r="A20" s="21" t="s">
        <v>111</v>
      </c>
      <c r="B20" s="21" t="s">
        <v>103</v>
      </c>
      <c r="C20" s="23">
        <v>75500</v>
      </c>
      <c r="D20" s="32">
        <f t="shared" si="0"/>
        <v>0</v>
      </c>
      <c r="E20" s="33">
        <f t="shared" si="1"/>
        <v>3397.5</v>
      </c>
      <c r="F20" s="33">
        <f t="shared" si="2"/>
        <v>5473.75</v>
      </c>
    </row>
    <row r="21" spans="1:6" x14ac:dyDescent="0.2">
      <c r="A21" s="21" t="s">
        <v>112</v>
      </c>
      <c r="B21" s="21" t="s">
        <v>103</v>
      </c>
      <c r="C21" s="23">
        <v>80750</v>
      </c>
      <c r="D21" s="32">
        <f t="shared" si="0"/>
        <v>0</v>
      </c>
      <c r="E21" s="33">
        <f t="shared" si="1"/>
        <v>3633.75</v>
      </c>
      <c r="F21" s="33">
        <f t="shared" si="2"/>
        <v>5854.375</v>
      </c>
    </row>
    <row r="22" spans="1:6" x14ac:dyDescent="0.2">
      <c r="A22" s="21" t="s">
        <v>113</v>
      </c>
      <c r="B22" s="21" t="s">
        <v>114</v>
      </c>
      <c r="C22" s="23">
        <v>44750</v>
      </c>
      <c r="D22" s="32">
        <f t="shared" si="0"/>
        <v>0</v>
      </c>
      <c r="E22" s="33">
        <f t="shared" si="1"/>
        <v>2013.75</v>
      </c>
      <c r="F22" s="33">
        <f t="shared" si="2"/>
        <v>3244.375</v>
      </c>
    </row>
    <row r="23" spans="1:6" x14ac:dyDescent="0.2">
      <c r="A23" s="21" t="s">
        <v>115</v>
      </c>
      <c r="B23" s="21" t="s">
        <v>106</v>
      </c>
      <c r="C23" s="23">
        <v>50000</v>
      </c>
      <c r="D23" s="32">
        <f t="shared" si="0"/>
        <v>0</v>
      </c>
      <c r="E23" s="33">
        <f t="shared" si="1"/>
        <v>2250</v>
      </c>
      <c r="F23" s="33">
        <f t="shared" si="2"/>
        <v>3624.9999999999995</v>
      </c>
    </row>
    <row r="24" spans="1:6" x14ac:dyDescent="0.2">
      <c r="A24" s="21" t="s">
        <v>116</v>
      </c>
      <c r="B24" s="21" t="s">
        <v>114</v>
      </c>
      <c r="C24" s="23">
        <v>63500</v>
      </c>
      <c r="D24" s="32">
        <f t="shared" si="0"/>
        <v>0</v>
      </c>
      <c r="E24" s="33">
        <f t="shared" si="1"/>
        <v>2857.5</v>
      </c>
      <c r="F24" s="33">
        <f t="shared" si="2"/>
        <v>4603.75</v>
      </c>
    </row>
    <row r="25" spans="1:6" x14ac:dyDescent="0.2">
      <c r="A25" s="21" t="s">
        <v>117</v>
      </c>
      <c r="B25" s="21" t="s">
        <v>106</v>
      </c>
      <c r="C25" s="23">
        <v>83500</v>
      </c>
      <c r="D25" s="32">
        <f t="shared" si="0"/>
        <v>0</v>
      </c>
      <c r="E25" s="33">
        <f t="shared" si="1"/>
        <v>3757.5</v>
      </c>
      <c r="F25" s="33">
        <f t="shared" si="2"/>
        <v>6053.75</v>
      </c>
    </row>
    <row r="26" spans="1:6" x14ac:dyDescent="0.2">
      <c r="A26" s="21" t="s">
        <v>118</v>
      </c>
      <c r="B26" s="21" t="s">
        <v>103</v>
      </c>
      <c r="C26" s="23">
        <v>61500</v>
      </c>
      <c r="D26" s="32">
        <f t="shared" si="0"/>
        <v>0</v>
      </c>
      <c r="E26" s="33">
        <f t="shared" si="1"/>
        <v>2767.5</v>
      </c>
      <c r="F26" s="33">
        <f t="shared" si="2"/>
        <v>4458.75</v>
      </c>
    </row>
    <row r="27" spans="1:6" x14ac:dyDescent="0.2">
      <c r="A27" s="21" t="s">
        <v>119</v>
      </c>
      <c r="B27" s="21" t="s">
        <v>103</v>
      </c>
      <c r="C27" s="23">
        <v>89250</v>
      </c>
      <c r="D27" s="32">
        <f t="shared" si="0"/>
        <v>0</v>
      </c>
      <c r="E27" s="33">
        <f t="shared" si="1"/>
        <v>4016.25</v>
      </c>
      <c r="F27" s="33">
        <f t="shared" si="2"/>
        <v>6470.625</v>
      </c>
    </row>
    <row r="28" spans="1:6" x14ac:dyDescent="0.2">
      <c r="A28" s="21" t="s">
        <v>120</v>
      </c>
      <c r="B28" s="21" t="s">
        <v>114</v>
      </c>
      <c r="C28" s="23">
        <v>54750</v>
      </c>
      <c r="D28" s="32">
        <f t="shared" si="0"/>
        <v>0</v>
      </c>
      <c r="E28" s="33">
        <f t="shared" si="1"/>
        <v>2463.75</v>
      </c>
      <c r="F28" s="33">
        <f t="shared" si="2"/>
        <v>3969.3749999999995</v>
      </c>
    </row>
    <row r="29" spans="1:6" x14ac:dyDescent="0.2">
      <c r="A29" s="21" t="s">
        <v>121</v>
      </c>
      <c r="B29" s="21" t="s">
        <v>106</v>
      </c>
      <c r="C29" s="23">
        <v>36000</v>
      </c>
      <c r="D29" s="32">
        <f t="shared" si="0"/>
        <v>0</v>
      </c>
      <c r="E29" s="33">
        <f t="shared" si="1"/>
        <v>1620</v>
      </c>
      <c r="F29" s="33">
        <f t="shared" si="2"/>
        <v>2610</v>
      </c>
    </row>
    <row r="30" spans="1:6" x14ac:dyDescent="0.2">
      <c r="A30" s="21" t="s">
        <v>122</v>
      </c>
      <c r="B30" s="21" t="s">
        <v>114</v>
      </c>
      <c r="C30" s="23">
        <v>21000</v>
      </c>
      <c r="D30" s="32">
        <f t="shared" si="0"/>
        <v>0</v>
      </c>
      <c r="E30" s="33">
        <f t="shared" si="1"/>
        <v>945</v>
      </c>
      <c r="F30" s="33">
        <f t="shared" si="2"/>
        <v>1522.5</v>
      </c>
    </row>
    <row r="31" spans="1:6" x14ac:dyDescent="0.2">
      <c r="A31" s="21" t="s">
        <v>123</v>
      </c>
      <c r="B31" s="21" t="s">
        <v>114</v>
      </c>
      <c r="C31" s="23">
        <v>64500</v>
      </c>
      <c r="D31" s="32">
        <f t="shared" si="0"/>
        <v>0</v>
      </c>
      <c r="E31" s="33">
        <f t="shared" si="1"/>
        <v>2902.5</v>
      </c>
      <c r="F31" s="33">
        <f t="shared" si="2"/>
        <v>4676.25</v>
      </c>
    </row>
    <row r="32" spans="1:6" x14ac:dyDescent="0.2">
      <c r="A32" s="21" t="s">
        <v>124</v>
      </c>
      <c r="B32" s="21" t="s">
        <v>106</v>
      </c>
      <c r="C32" s="23">
        <v>72000</v>
      </c>
      <c r="D32" s="32">
        <f t="shared" si="0"/>
        <v>0</v>
      </c>
      <c r="E32" s="33">
        <f t="shared" si="1"/>
        <v>3240</v>
      </c>
      <c r="F32" s="33">
        <f t="shared" si="2"/>
        <v>5220</v>
      </c>
    </row>
    <row r="33" spans="1:6" x14ac:dyDescent="0.2">
      <c r="B33" s="19" t="s">
        <v>125</v>
      </c>
      <c r="C33" s="34">
        <f>SUM(C13:C32)</f>
        <v>1218000</v>
      </c>
      <c r="E33" s="33">
        <f>SUM(E13:E32)</f>
        <v>54810</v>
      </c>
    </row>
    <row r="35" spans="1:6" x14ac:dyDescent="0.2">
      <c r="A35" s="6" t="s">
        <v>126</v>
      </c>
      <c r="B35" s="6"/>
      <c r="C35" s="6"/>
      <c r="D35" s="6"/>
      <c r="E35" s="6"/>
      <c r="F35" s="6"/>
    </row>
    <row r="36" spans="1:6" ht="36" customHeight="1" x14ac:dyDescent="0.2">
      <c r="A36" s="7" t="s">
        <v>127</v>
      </c>
      <c r="B36" s="7"/>
      <c r="C36" s="7"/>
      <c r="D36" s="7"/>
      <c r="E36" s="7"/>
      <c r="F36" s="7"/>
    </row>
    <row r="37" spans="1:6" x14ac:dyDescent="0.2">
      <c r="A37" s="6" t="s">
        <v>128</v>
      </c>
      <c r="B37" s="6"/>
      <c r="C37" s="6"/>
      <c r="D37" s="6"/>
      <c r="E37" s="6"/>
      <c r="F37" s="6"/>
    </row>
    <row r="38" spans="1:6" ht="36" customHeight="1" x14ac:dyDescent="0.2">
      <c r="A38" s="7" t="s">
        <v>129</v>
      </c>
      <c r="B38" s="7"/>
      <c r="C38" s="7"/>
      <c r="D38" s="7"/>
      <c r="E38" s="7"/>
      <c r="F38" s="7"/>
    </row>
    <row r="39" spans="1:6" x14ac:dyDescent="0.2">
      <c r="A39" s="6" t="s">
        <v>130</v>
      </c>
      <c r="B39" s="6"/>
      <c r="C39" s="6"/>
      <c r="D39" s="6"/>
      <c r="E39" s="6"/>
      <c r="F39" s="6"/>
    </row>
    <row r="40" spans="1:6" ht="36" customHeight="1" x14ac:dyDescent="0.2">
      <c r="A40" s="7" t="s">
        <v>131</v>
      </c>
      <c r="B40" s="7"/>
      <c r="C40" s="7"/>
      <c r="D40" s="7"/>
      <c r="E40" s="7"/>
      <c r="F40" s="7"/>
    </row>
    <row r="41" spans="1:6" x14ac:dyDescent="0.2">
      <c r="A41" s="6" t="s">
        <v>132</v>
      </c>
      <c r="B41" s="6"/>
      <c r="C41" s="6"/>
      <c r="D41" s="6"/>
      <c r="E41" s="6"/>
      <c r="F41" s="6"/>
    </row>
    <row r="42" spans="1:6" ht="36" customHeight="1" x14ac:dyDescent="0.2">
      <c r="A42" s="7" t="s">
        <v>133</v>
      </c>
      <c r="B42" s="7"/>
      <c r="C42" s="7"/>
      <c r="D42" s="7"/>
      <c r="E42" s="7"/>
      <c r="F42" s="7"/>
    </row>
  </sheetData>
  <mergeCells count="13">
    <mergeCell ref="A40:F40"/>
    <mergeCell ref="A41:F41"/>
    <mergeCell ref="A42:F42"/>
    <mergeCell ref="A35:F35"/>
    <mergeCell ref="A36:F36"/>
    <mergeCell ref="A37:F37"/>
    <mergeCell ref="A38:F38"/>
    <mergeCell ref="A39:F39"/>
    <mergeCell ref="A1:H1"/>
    <mergeCell ref="A2:H2"/>
    <mergeCell ref="A4:F7"/>
    <mergeCell ref="A9:F9"/>
    <mergeCell ref="A10:F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29"/>
  <sheetViews>
    <sheetView zoomScaleNormal="100" workbookViewId="0"/>
  </sheetViews>
  <sheetFormatPr baseColWidth="10" defaultColWidth="8.6640625" defaultRowHeight="15" x14ac:dyDescent="0.2"/>
  <cols>
    <col min="1" max="2" width="13" customWidth="1"/>
    <col min="3" max="3" width="12" customWidth="1"/>
    <col min="4" max="6" width="13" customWidth="1"/>
    <col min="7" max="7" width="12" customWidth="1"/>
    <col min="8" max="8" width="3" customWidth="1"/>
    <col min="9" max="9" width="46" customWidth="1"/>
    <col min="10" max="10" width="18" customWidth="1"/>
    <col min="11" max="11" width="16" customWidth="1"/>
  </cols>
  <sheetData>
    <row r="1" spans="1:11" ht="18" x14ac:dyDescent="0.2">
      <c r="A1" s="5" t="s">
        <v>134</v>
      </c>
      <c r="B1" s="5"/>
      <c r="C1" s="5"/>
      <c r="D1" s="5"/>
      <c r="E1" s="5"/>
      <c r="F1" s="5"/>
      <c r="G1" s="5"/>
      <c r="I1" s="13" t="s">
        <v>135</v>
      </c>
    </row>
    <row r="2" spans="1:11" ht="51.75" customHeight="1" x14ac:dyDescent="0.2">
      <c r="I2" s="8" t="s">
        <v>136</v>
      </c>
      <c r="J2" s="8"/>
      <c r="K2" s="8"/>
    </row>
    <row r="3" spans="1:11" ht="31.5" customHeight="1" x14ac:dyDescent="0.2">
      <c r="A3" s="10" t="s">
        <v>137</v>
      </c>
      <c r="B3" s="10"/>
      <c r="C3" s="10"/>
      <c r="D3" s="10"/>
      <c r="E3" s="10"/>
      <c r="F3" s="10"/>
      <c r="G3" s="10"/>
      <c r="I3" s="7" t="s">
        <v>138</v>
      </c>
      <c r="J3" s="7"/>
      <c r="K3" s="7"/>
    </row>
    <row r="4" spans="1:11" ht="51.75" customHeight="1" x14ac:dyDescent="0.2">
      <c r="A4" s="10"/>
      <c r="B4" s="10"/>
      <c r="C4" s="10"/>
      <c r="D4" s="10"/>
      <c r="E4" s="10"/>
      <c r="F4" s="10"/>
      <c r="G4" s="10"/>
      <c r="I4" s="8" t="s">
        <v>139</v>
      </c>
      <c r="J4" s="8"/>
      <c r="K4" s="8"/>
    </row>
    <row r="5" spans="1:11" ht="31.5" customHeight="1" x14ac:dyDescent="0.2">
      <c r="A5" s="10"/>
      <c r="B5" s="10"/>
      <c r="C5" s="10"/>
      <c r="D5" s="10"/>
      <c r="E5" s="10"/>
      <c r="F5" s="10"/>
      <c r="G5" s="10"/>
      <c r="I5" s="7" t="s">
        <v>140</v>
      </c>
      <c r="J5" s="7"/>
      <c r="K5" s="7"/>
    </row>
    <row r="6" spans="1:11" ht="51.75" customHeight="1" x14ac:dyDescent="0.2">
      <c r="A6" s="10"/>
      <c r="B6" s="10"/>
      <c r="C6" s="10"/>
      <c r="D6" s="10"/>
      <c r="E6" s="10"/>
      <c r="F6" s="10"/>
      <c r="G6" s="10"/>
      <c r="I6" s="8" t="s">
        <v>141</v>
      </c>
      <c r="J6" s="8"/>
      <c r="K6" s="8"/>
    </row>
    <row r="7" spans="1:11" ht="31.5" customHeight="1" x14ac:dyDescent="0.2">
      <c r="A7" s="10"/>
      <c r="B7" s="10"/>
      <c r="C7" s="10"/>
      <c r="D7" s="10"/>
      <c r="E7" s="10"/>
      <c r="F7" s="10"/>
      <c r="G7" s="10"/>
      <c r="I7" s="7" t="s">
        <v>142</v>
      </c>
      <c r="J7" s="7"/>
      <c r="K7" s="7"/>
    </row>
    <row r="8" spans="1:11" ht="51.75" customHeight="1" x14ac:dyDescent="0.2">
      <c r="I8" s="8" t="s">
        <v>143</v>
      </c>
      <c r="J8" s="8"/>
      <c r="K8" s="8"/>
    </row>
    <row r="9" spans="1:11" ht="31.5" customHeight="1" x14ac:dyDescent="0.2">
      <c r="A9" s="18" t="s">
        <v>144</v>
      </c>
      <c r="B9" s="18" t="s">
        <v>145</v>
      </c>
      <c r="C9" s="18" t="s">
        <v>146</v>
      </c>
      <c r="D9" s="18" t="s">
        <v>147</v>
      </c>
      <c r="E9" s="18" t="s">
        <v>148</v>
      </c>
      <c r="F9" s="18" t="s">
        <v>149</v>
      </c>
      <c r="G9" s="18" t="s">
        <v>150</v>
      </c>
      <c r="I9" s="7" t="s">
        <v>151</v>
      </c>
      <c r="J9" s="7"/>
      <c r="K9" s="7"/>
    </row>
    <row r="10" spans="1:11" ht="51.75" customHeight="1" x14ac:dyDescent="0.2">
      <c r="A10" s="15" t="s">
        <v>152</v>
      </c>
      <c r="B10" s="35">
        <v>46203</v>
      </c>
      <c r="C10" s="15" t="s">
        <v>153</v>
      </c>
      <c r="D10" s="15" t="s">
        <v>154</v>
      </c>
      <c r="E10" s="36">
        <v>11595</v>
      </c>
      <c r="F10" s="37">
        <v>8.5000000000000006E-2</v>
      </c>
      <c r="G10" s="15" t="s">
        <v>155</v>
      </c>
      <c r="I10" s="8" t="s">
        <v>156</v>
      </c>
      <c r="J10" s="8"/>
      <c r="K10" s="8"/>
    </row>
    <row r="11" spans="1:11" ht="31.5" customHeight="1" x14ac:dyDescent="0.2">
      <c r="A11" s="15" t="s">
        <v>157</v>
      </c>
      <c r="B11" s="35">
        <v>46145</v>
      </c>
      <c r="C11" s="15" t="s">
        <v>158</v>
      </c>
      <c r="D11" s="15" t="s">
        <v>159</v>
      </c>
      <c r="E11" s="36">
        <v>46931</v>
      </c>
      <c r="F11" s="37">
        <v>6.5000000000000002E-2</v>
      </c>
      <c r="G11" s="15" t="s">
        <v>155</v>
      </c>
      <c r="I11" s="7" t="s">
        <v>160</v>
      </c>
      <c r="J11" s="7"/>
      <c r="K11" s="7"/>
    </row>
    <row r="12" spans="1:11" x14ac:dyDescent="0.2">
      <c r="A12" s="15" t="s">
        <v>161</v>
      </c>
      <c r="B12" s="35">
        <v>46220</v>
      </c>
      <c r="C12" s="15" t="s">
        <v>153</v>
      </c>
      <c r="D12" s="15" t="s">
        <v>162</v>
      </c>
      <c r="E12" s="36">
        <v>68372</v>
      </c>
      <c r="F12" s="37">
        <v>0.02</v>
      </c>
      <c r="G12" s="15" t="s">
        <v>155</v>
      </c>
    </row>
    <row r="13" spans="1:11" x14ac:dyDescent="0.2">
      <c r="A13" s="15" t="s">
        <v>163</v>
      </c>
      <c r="B13" s="35">
        <v>46251</v>
      </c>
      <c r="C13" s="15" t="s">
        <v>153</v>
      </c>
      <c r="D13" s="15" t="s">
        <v>159</v>
      </c>
      <c r="E13" s="36">
        <v>64788</v>
      </c>
      <c r="F13" s="37">
        <v>4.4999999999999998E-2</v>
      </c>
      <c r="G13" s="15" t="s">
        <v>164</v>
      </c>
      <c r="I13" s="13" t="s">
        <v>165</v>
      </c>
    </row>
    <row r="14" spans="1:11" x14ac:dyDescent="0.2">
      <c r="A14" s="15" t="s">
        <v>166</v>
      </c>
      <c r="B14" s="35">
        <v>46171</v>
      </c>
      <c r="C14" s="15" t="s">
        <v>167</v>
      </c>
      <c r="D14" s="15" t="s">
        <v>154</v>
      </c>
      <c r="E14" s="36">
        <v>58362</v>
      </c>
      <c r="F14" s="37">
        <v>8.5000000000000006E-2</v>
      </c>
      <c r="G14" s="15" t="s">
        <v>155</v>
      </c>
      <c r="I14" s="18" t="s">
        <v>168</v>
      </c>
      <c r="J14" s="18" t="s">
        <v>144</v>
      </c>
      <c r="K14" s="18" t="s">
        <v>169</v>
      </c>
    </row>
    <row r="15" spans="1:11" x14ac:dyDescent="0.2">
      <c r="A15" s="15" t="s">
        <v>170</v>
      </c>
      <c r="B15" s="35">
        <v>46180</v>
      </c>
      <c r="C15" s="15" t="s">
        <v>171</v>
      </c>
      <c r="D15" s="15" t="s">
        <v>162</v>
      </c>
      <c r="E15" s="36">
        <v>14549</v>
      </c>
      <c r="F15" s="37">
        <v>0.11</v>
      </c>
      <c r="G15" s="15" t="s">
        <v>155</v>
      </c>
      <c r="I15" s="21" t="s">
        <v>172</v>
      </c>
      <c r="J15" s="27" t="str">
        <f>INDEX($A$10:$A$429,MATCH(K15,$E$10:$E$429,0))</f>
        <v>TXN-50105</v>
      </c>
      <c r="K15" s="25">
        <f>LARGE($E$10:$E$429,1)</f>
        <v>97814</v>
      </c>
    </row>
    <row r="16" spans="1:11" x14ac:dyDescent="0.2">
      <c r="A16" s="15" t="s">
        <v>173</v>
      </c>
      <c r="B16" s="35">
        <v>46158</v>
      </c>
      <c r="C16" s="15" t="s">
        <v>153</v>
      </c>
      <c r="D16" s="15" t="s">
        <v>154</v>
      </c>
      <c r="E16" s="36">
        <v>49990</v>
      </c>
      <c r="F16" s="37">
        <v>4.4999999999999998E-2</v>
      </c>
      <c r="G16" s="15" t="s">
        <v>164</v>
      </c>
      <c r="I16" s="21" t="s">
        <v>174</v>
      </c>
      <c r="J16" s="27" t="str">
        <f>INDEX($A$10:$A$429,MATCH(K16,$E$10:$E$429,0))</f>
        <v>TXN-50226</v>
      </c>
      <c r="K16" s="25">
        <f>LARGE($E$10:$E$429,2)</f>
        <v>97415</v>
      </c>
    </row>
    <row r="17" spans="1:11" x14ac:dyDescent="0.2">
      <c r="A17" s="15" t="s">
        <v>175</v>
      </c>
      <c r="B17" s="35">
        <v>46194</v>
      </c>
      <c r="C17" s="15" t="s">
        <v>167</v>
      </c>
      <c r="D17" s="15" t="s">
        <v>176</v>
      </c>
      <c r="E17" s="36">
        <v>59272</v>
      </c>
      <c r="F17" s="37">
        <v>0.11</v>
      </c>
      <c r="G17" s="15" t="s">
        <v>177</v>
      </c>
      <c r="I17" s="21" t="s">
        <v>178</v>
      </c>
      <c r="J17" s="27" t="str">
        <f>INDEX($A$10:$A$429,MATCH(K17,$E$10:$E$429,0))</f>
        <v>TXN-50336</v>
      </c>
      <c r="K17" s="25">
        <f>LARGE($E$10:$E$429,3)</f>
        <v>97233</v>
      </c>
    </row>
    <row r="18" spans="1:11" x14ac:dyDescent="0.2">
      <c r="A18" s="15" t="s">
        <v>179</v>
      </c>
      <c r="B18" s="35">
        <v>46233</v>
      </c>
      <c r="C18" s="15" t="s">
        <v>167</v>
      </c>
      <c r="D18" s="15" t="s">
        <v>162</v>
      </c>
      <c r="E18" s="36">
        <v>93236</v>
      </c>
      <c r="F18" s="37">
        <v>0.11</v>
      </c>
      <c r="G18" s="15" t="s">
        <v>155</v>
      </c>
      <c r="I18" s="21" t="s">
        <v>180</v>
      </c>
      <c r="J18" s="27" t="str">
        <f>INDEX($A$10:$A$429,MATCH(K18,$E$10:$E$429,0))</f>
        <v>TXN-50124</v>
      </c>
      <c r="K18" s="25">
        <f>LARGE($E$10:$E$429,4)</f>
        <v>97114</v>
      </c>
    </row>
    <row r="19" spans="1:11" x14ac:dyDescent="0.2">
      <c r="A19" s="15" t="s">
        <v>181</v>
      </c>
      <c r="B19" s="35">
        <v>46151</v>
      </c>
      <c r="C19" s="15" t="s">
        <v>171</v>
      </c>
      <c r="D19" s="15" t="s">
        <v>159</v>
      </c>
      <c r="E19" s="36">
        <v>87230</v>
      </c>
      <c r="F19" s="37">
        <v>0.11</v>
      </c>
      <c r="G19" s="15" t="s">
        <v>177</v>
      </c>
      <c r="I19" s="21" t="s">
        <v>182</v>
      </c>
      <c r="J19" s="27" t="str">
        <f>INDEX($A$10:$A$429,MATCH(K19,$E$10:$E$429,0))</f>
        <v>TXN-50183</v>
      </c>
      <c r="K19" s="25">
        <f>LARGE($E$10:$E$429,5)</f>
        <v>96820</v>
      </c>
    </row>
    <row r="20" spans="1:11" x14ac:dyDescent="0.2">
      <c r="A20" s="15" t="s">
        <v>183</v>
      </c>
      <c r="B20" s="35">
        <v>46172</v>
      </c>
      <c r="C20" s="15" t="s">
        <v>153</v>
      </c>
      <c r="D20" s="15" t="s">
        <v>154</v>
      </c>
      <c r="E20" s="36">
        <v>70031</v>
      </c>
      <c r="F20" s="37">
        <v>4.4999999999999998E-2</v>
      </c>
      <c r="G20" s="15" t="s">
        <v>184</v>
      </c>
      <c r="I20" s="21" t="s">
        <v>185</v>
      </c>
      <c r="J20" s="27">
        <f>COUNTIF($C$10:$C$429,"Phoenix")</f>
        <v>105</v>
      </c>
    </row>
    <row r="21" spans="1:11" x14ac:dyDescent="0.2">
      <c r="A21" s="15" t="s">
        <v>186</v>
      </c>
      <c r="B21" s="35">
        <v>46208</v>
      </c>
      <c r="C21" s="15" t="s">
        <v>158</v>
      </c>
      <c r="D21" s="15" t="s">
        <v>159</v>
      </c>
      <c r="E21" s="36">
        <v>57515</v>
      </c>
      <c r="F21" s="37">
        <v>8.5000000000000006E-2</v>
      </c>
      <c r="G21" s="15" t="s">
        <v>184</v>
      </c>
      <c r="I21" s="21" t="s">
        <v>187</v>
      </c>
      <c r="J21" s="27">
        <f>COUNTA($A$10:$A$429)</f>
        <v>420</v>
      </c>
    </row>
    <row r="22" spans="1:11" x14ac:dyDescent="0.2">
      <c r="A22" s="15" t="s">
        <v>188</v>
      </c>
      <c r="B22" s="35">
        <v>46261</v>
      </c>
      <c r="C22" s="15" t="s">
        <v>158</v>
      </c>
      <c r="D22" s="15" t="s">
        <v>162</v>
      </c>
      <c r="E22" s="36">
        <v>46861</v>
      </c>
      <c r="F22" s="37">
        <v>0.11</v>
      </c>
      <c r="G22" s="15" t="s">
        <v>155</v>
      </c>
      <c r="I22" s="21" t="s">
        <v>189</v>
      </c>
      <c r="J22" s="27" t="s">
        <v>167</v>
      </c>
    </row>
    <row r="23" spans="1:11" x14ac:dyDescent="0.2">
      <c r="A23" s="15" t="s">
        <v>190</v>
      </c>
      <c r="B23" s="35">
        <v>46237</v>
      </c>
      <c r="C23" s="15" t="s">
        <v>171</v>
      </c>
      <c r="D23" s="15" t="s">
        <v>154</v>
      </c>
      <c r="E23" s="36">
        <v>61365</v>
      </c>
      <c r="F23" s="37">
        <v>0.14000000000000001</v>
      </c>
      <c r="G23" s="15" t="s">
        <v>177</v>
      </c>
      <c r="I23" s="21" t="s">
        <v>191</v>
      </c>
      <c r="J23" s="25">
        <f>_xlfn.MAXIFS($E$10:$E$429,$C$10:$C$429,"Austin")</f>
        <v>97814</v>
      </c>
    </row>
    <row r="24" spans="1:11" x14ac:dyDescent="0.2">
      <c r="A24" s="15" t="s">
        <v>192</v>
      </c>
      <c r="B24" s="35">
        <v>46246</v>
      </c>
      <c r="C24" s="15" t="s">
        <v>153</v>
      </c>
      <c r="D24" s="15" t="s">
        <v>176</v>
      </c>
      <c r="E24" s="36">
        <v>30859</v>
      </c>
      <c r="F24" s="37">
        <v>0.11</v>
      </c>
      <c r="G24" s="15" t="s">
        <v>155</v>
      </c>
      <c r="I24" s="21" t="s">
        <v>193</v>
      </c>
      <c r="J24" s="38">
        <f>F10</f>
        <v>8.5000000000000006E-2</v>
      </c>
    </row>
    <row r="25" spans="1:11" x14ac:dyDescent="0.2">
      <c r="A25" s="15" t="s">
        <v>194</v>
      </c>
      <c r="B25" s="35">
        <v>46189</v>
      </c>
      <c r="C25" s="15" t="s">
        <v>158</v>
      </c>
      <c r="D25" s="15" t="s">
        <v>154</v>
      </c>
      <c r="E25" s="36">
        <v>49360</v>
      </c>
      <c r="F25" s="37">
        <v>0.02</v>
      </c>
      <c r="G25" s="15" t="s">
        <v>164</v>
      </c>
    </row>
    <row r="26" spans="1:11" x14ac:dyDescent="0.2">
      <c r="A26" s="15" t="s">
        <v>195</v>
      </c>
      <c r="B26" s="35">
        <v>46138</v>
      </c>
      <c r="C26" s="15" t="s">
        <v>171</v>
      </c>
      <c r="D26" s="15" t="s">
        <v>176</v>
      </c>
      <c r="E26" s="36">
        <v>65880</v>
      </c>
      <c r="F26" s="37">
        <v>8.5000000000000006E-2</v>
      </c>
      <c r="G26" s="15" t="s">
        <v>155</v>
      </c>
      <c r="I26" s="39" t="s">
        <v>196</v>
      </c>
    </row>
    <row r="27" spans="1:11" x14ac:dyDescent="0.2">
      <c r="A27" s="15" t="s">
        <v>197</v>
      </c>
      <c r="B27" s="35">
        <v>46262</v>
      </c>
      <c r="C27" s="15" t="s">
        <v>158</v>
      </c>
      <c r="D27" s="15" t="s">
        <v>176</v>
      </c>
      <c r="E27" s="36">
        <v>56157</v>
      </c>
      <c r="F27" s="37">
        <v>6.5000000000000002E-2</v>
      </c>
      <c r="G27" s="15" t="s">
        <v>155</v>
      </c>
    </row>
    <row r="28" spans="1:11" x14ac:dyDescent="0.2">
      <c r="A28" s="15" t="s">
        <v>198</v>
      </c>
      <c r="B28" s="35">
        <v>46245</v>
      </c>
      <c r="C28" s="15" t="s">
        <v>171</v>
      </c>
      <c r="D28" s="15" t="s">
        <v>162</v>
      </c>
      <c r="E28" s="36">
        <v>60028</v>
      </c>
      <c r="F28" s="37">
        <v>8.5000000000000006E-2</v>
      </c>
      <c r="G28" s="15" t="s">
        <v>155</v>
      </c>
    </row>
    <row r="29" spans="1:11" x14ac:dyDescent="0.2">
      <c r="A29" s="15" t="s">
        <v>199</v>
      </c>
      <c r="B29" s="35">
        <v>46149</v>
      </c>
      <c r="C29" s="15" t="s">
        <v>153</v>
      </c>
      <c r="D29" s="15" t="s">
        <v>154</v>
      </c>
      <c r="E29" s="36">
        <v>60602</v>
      </c>
      <c r="F29" s="37">
        <v>8.5000000000000006E-2</v>
      </c>
      <c r="G29" s="15" t="s">
        <v>155</v>
      </c>
    </row>
    <row r="30" spans="1:11" x14ac:dyDescent="0.2">
      <c r="A30" s="15" t="s">
        <v>200</v>
      </c>
      <c r="B30" s="35">
        <v>46123</v>
      </c>
      <c r="C30" s="15" t="s">
        <v>153</v>
      </c>
      <c r="D30" s="15" t="s">
        <v>162</v>
      </c>
      <c r="E30" s="36">
        <v>93537</v>
      </c>
      <c r="F30" s="37">
        <v>0.02</v>
      </c>
      <c r="G30" s="15" t="s">
        <v>184</v>
      </c>
    </row>
    <row r="31" spans="1:11" x14ac:dyDescent="0.2">
      <c r="A31" s="15" t="s">
        <v>201</v>
      </c>
      <c r="B31" s="35">
        <v>46188</v>
      </c>
      <c r="C31" s="15" t="s">
        <v>153</v>
      </c>
      <c r="D31" s="15" t="s">
        <v>154</v>
      </c>
      <c r="E31" s="36">
        <v>4105</v>
      </c>
      <c r="F31" s="37">
        <v>0.02</v>
      </c>
      <c r="G31" s="15" t="s">
        <v>177</v>
      </c>
    </row>
    <row r="32" spans="1:11" x14ac:dyDescent="0.2">
      <c r="A32" s="15" t="s">
        <v>202</v>
      </c>
      <c r="B32" s="35">
        <v>46161</v>
      </c>
      <c r="C32" s="15" t="s">
        <v>171</v>
      </c>
      <c r="D32" s="15" t="s">
        <v>176</v>
      </c>
      <c r="E32" s="36">
        <v>67203</v>
      </c>
      <c r="F32" s="37">
        <v>0.14000000000000001</v>
      </c>
      <c r="G32" s="15" t="s">
        <v>164</v>
      </c>
    </row>
    <row r="33" spans="1:7" x14ac:dyDescent="0.2">
      <c r="A33" s="15" t="s">
        <v>203</v>
      </c>
      <c r="B33" s="35">
        <v>46235</v>
      </c>
      <c r="C33" s="15" t="s">
        <v>171</v>
      </c>
      <c r="D33" s="15" t="s">
        <v>154</v>
      </c>
      <c r="E33" s="36">
        <v>26946</v>
      </c>
      <c r="F33" s="37">
        <v>0.14000000000000001</v>
      </c>
      <c r="G33" s="15" t="s">
        <v>164</v>
      </c>
    </row>
    <row r="34" spans="1:7" x14ac:dyDescent="0.2">
      <c r="A34" s="15" t="s">
        <v>204</v>
      </c>
      <c r="B34" s="35">
        <v>46250</v>
      </c>
      <c r="C34" s="15" t="s">
        <v>167</v>
      </c>
      <c r="D34" s="15" t="s">
        <v>176</v>
      </c>
      <c r="E34" s="36">
        <v>89029</v>
      </c>
      <c r="F34" s="37">
        <v>0.02</v>
      </c>
      <c r="G34" s="15" t="s">
        <v>155</v>
      </c>
    </row>
    <row r="35" spans="1:7" x14ac:dyDescent="0.2">
      <c r="A35" s="15" t="s">
        <v>205</v>
      </c>
      <c r="B35" s="35">
        <v>46150</v>
      </c>
      <c r="C35" s="15" t="s">
        <v>167</v>
      </c>
      <c r="D35" s="15" t="s">
        <v>176</v>
      </c>
      <c r="E35" s="36">
        <v>15991</v>
      </c>
      <c r="F35" s="37">
        <v>8.5000000000000006E-2</v>
      </c>
      <c r="G35" s="15" t="s">
        <v>164</v>
      </c>
    </row>
    <row r="36" spans="1:7" x14ac:dyDescent="0.2">
      <c r="A36" s="15" t="s">
        <v>206</v>
      </c>
      <c r="B36" s="35">
        <v>46113</v>
      </c>
      <c r="C36" s="15" t="s">
        <v>171</v>
      </c>
      <c r="D36" s="15" t="s">
        <v>176</v>
      </c>
      <c r="E36" s="36">
        <v>95028</v>
      </c>
      <c r="F36" s="37">
        <v>4.4999999999999998E-2</v>
      </c>
      <c r="G36" s="15" t="s">
        <v>155</v>
      </c>
    </row>
    <row r="37" spans="1:7" x14ac:dyDescent="0.2">
      <c r="A37" s="15" t="s">
        <v>207</v>
      </c>
      <c r="B37" s="35">
        <v>46249</v>
      </c>
      <c r="C37" s="15" t="s">
        <v>167</v>
      </c>
      <c r="D37" s="15" t="s">
        <v>162</v>
      </c>
      <c r="E37" s="36">
        <v>6800</v>
      </c>
      <c r="F37" s="37">
        <v>0.02</v>
      </c>
      <c r="G37" s="15" t="s">
        <v>155</v>
      </c>
    </row>
    <row r="38" spans="1:7" x14ac:dyDescent="0.2">
      <c r="A38" s="15" t="s">
        <v>208</v>
      </c>
      <c r="B38" s="35">
        <v>46196</v>
      </c>
      <c r="C38" s="15" t="s">
        <v>158</v>
      </c>
      <c r="D38" s="15" t="s">
        <v>176</v>
      </c>
      <c r="E38" s="36">
        <v>82015</v>
      </c>
      <c r="F38" s="37">
        <v>6.5000000000000002E-2</v>
      </c>
      <c r="G38" s="15" t="s">
        <v>155</v>
      </c>
    </row>
    <row r="39" spans="1:7" x14ac:dyDescent="0.2">
      <c r="A39" s="15" t="s">
        <v>209</v>
      </c>
      <c r="B39" s="35">
        <v>46190</v>
      </c>
      <c r="C39" s="15" t="s">
        <v>153</v>
      </c>
      <c r="D39" s="15" t="s">
        <v>154</v>
      </c>
      <c r="E39" s="36">
        <v>61204</v>
      </c>
      <c r="F39" s="37">
        <v>6.5000000000000002E-2</v>
      </c>
      <c r="G39" s="15" t="s">
        <v>184</v>
      </c>
    </row>
    <row r="40" spans="1:7" x14ac:dyDescent="0.2">
      <c r="A40" s="15" t="s">
        <v>210</v>
      </c>
      <c r="B40" s="35">
        <v>46143</v>
      </c>
      <c r="C40" s="15" t="s">
        <v>153</v>
      </c>
      <c r="D40" s="15" t="s">
        <v>162</v>
      </c>
      <c r="E40" s="36">
        <v>78095</v>
      </c>
      <c r="F40" s="37">
        <v>0.14000000000000001</v>
      </c>
      <c r="G40" s="15" t="s">
        <v>155</v>
      </c>
    </row>
    <row r="41" spans="1:7" x14ac:dyDescent="0.2">
      <c r="A41" s="15" t="s">
        <v>211</v>
      </c>
      <c r="B41" s="35">
        <v>46229</v>
      </c>
      <c r="C41" s="15" t="s">
        <v>171</v>
      </c>
      <c r="D41" s="15" t="s">
        <v>154</v>
      </c>
      <c r="E41" s="36">
        <v>12960</v>
      </c>
      <c r="F41" s="37">
        <v>0</v>
      </c>
      <c r="G41" s="15" t="s">
        <v>155</v>
      </c>
    </row>
    <row r="42" spans="1:7" x14ac:dyDescent="0.2">
      <c r="A42" s="15" t="s">
        <v>212</v>
      </c>
      <c r="B42" s="35">
        <v>46135</v>
      </c>
      <c r="C42" s="15" t="s">
        <v>171</v>
      </c>
      <c r="D42" s="15" t="s">
        <v>154</v>
      </c>
      <c r="E42" s="36">
        <v>83464</v>
      </c>
      <c r="F42" s="37">
        <v>4.4999999999999998E-2</v>
      </c>
      <c r="G42" s="15" t="s">
        <v>164</v>
      </c>
    </row>
    <row r="43" spans="1:7" x14ac:dyDescent="0.2">
      <c r="A43" s="15" t="s">
        <v>213</v>
      </c>
      <c r="B43" s="35">
        <v>46170</v>
      </c>
      <c r="C43" s="15" t="s">
        <v>167</v>
      </c>
      <c r="D43" s="15" t="s">
        <v>159</v>
      </c>
      <c r="E43" s="36">
        <v>72565</v>
      </c>
      <c r="F43" s="37">
        <v>8.5000000000000006E-2</v>
      </c>
      <c r="G43" s="15" t="s">
        <v>155</v>
      </c>
    </row>
    <row r="44" spans="1:7" x14ac:dyDescent="0.2">
      <c r="A44" s="15" t="s">
        <v>214</v>
      </c>
      <c r="B44" s="35">
        <v>46195</v>
      </c>
      <c r="C44" s="15" t="s">
        <v>171</v>
      </c>
      <c r="D44" s="15" t="s">
        <v>159</v>
      </c>
      <c r="E44" s="36">
        <v>50445</v>
      </c>
      <c r="F44" s="37">
        <v>6.5000000000000002E-2</v>
      </c>
      <c r="G44" s="15" t="s">
        <v>155</v>
      </c>
    </row>
    <row r="45" spans="1:7" x14ac:dyDescent="0.2">
      <c r="A45" s="15" t="s">
        <v>215</v>
      </c>
      <c r="B45" s="35">
        <v>46163</v>
      </c>
      <c r="C45" s="15" t="s">
        <v>171</v>
      </c>
      <c r="D45" s="15" t="s">
        <v>162</v>
      </c>
      <c r="E45" s="36">
        <v>55107</v>
      </c>
      <c r="F45" s="37">
        <v>0.14000000000000001</v>
      </c>
      <c r="G45" s="15" t="s">
        <v>164</v>
      </c>
    </row>
    <row r="46" spans="1:7" x14ac:dyDescent="0.2">
      <c r="A46" s="15" t="s">
        <v>216</v>
      </c>
      <c r="B46" s="35">
        <v>46202</v>
      </c>
      <c r="C46" s="15" t="s">
        <v>171</v>
      </c>
      <c r="D46" s="15" t="s">
        <v>154</v>
      </c>
      <c r="E46" s="36">
        <v>17531</v>
      </c>
      <c r="F46" s="37">
        <v>6.5000000000000002E-2</v>
      </c>
      <c r="G46" s="15" t="s">
        <v>184</v>
      </c>
    </row>
    <row r="47" spans="1:7" x14ac:dyDescent="0.2">
      <c r="A47" s="15" t="s">
        <v>217</v>
      </c>
      <c r="B47" s="35">
        <v>46210</v>
      </c>
      <c r="C47" s="15" t="s">
        <v>167</v>
      </c>
      <c r="D47" s="15" t="s">
        <v>159</v>
      </c>
      <c r="E47" s="36">
        <v>56486</v>
      </c>
      <c r="F47" s="37">
        <v>0.11</v>
      </c>
      <c r="G47" s="15" t="s">
        <v>155</v>
      </c>
    </row>
    <row r="48" spans="1:7" x14ac:dyDescent="0.2">
      <c r="A48" s="15" t="s">
        <v>218</v>
      </c>
      <c r="B48" s="35">
        <v>46145</v>
      </c>
      <c r="C48" s="15" t="s">
        <v>158</v>
      </c>
      <c r="D48" s="15" t="s">
        <v>154</v>
      </c>
      <c r="E48" s="36">
        <v>27450</v>
      </c>
      <c r="F48" s="37">
        <v>0.14000000000000001</v>
      </c>
      <c r="G48" s="15" t="s">
        <v>155</v>
      </c>
    </row>
    <row r="49" spans="1:7" x14ac:dyDescent="0.2">
      <c r="A49" s="15" t="s">
        <v>219</v>
      </c>
      <c r="B49" s="35">
        <v>46181</v>
      </c>
      <c r="C49" s="15" t="s">
        <v>171</v>
      </c>
      <c r="D49" s="15" t="s">
        <v>159</v>
      </c>
      <c r="E49" s="36">
        <v>15193</v>
      </c>
      <c r="F49" s="37">
        <v>4.4999999999999998E-2</v>
      </c>
      <c r="G49" s="15" t="s">
        <v>155</v>
      </c>
    </row>
    <row r="50" spans="1:7" x14ac:dyDescent="0.2">
      <c r="A50" s="15" t="s">
        <v>220</v>
      </c>
      <c r="B50" s="35">
        <v>46181</v>
      </c>
      <c r="C50" s="15" t="s">
        <v>167</v>
      </c>
      <c r="D50" s="15" t="s">
        <v>162</v>
      </c>
      <c r="E50" s="36">
        <v>73069</v>
      </c>
      <c r="F50" s="37">
        <v>8.5000000000000006E-2</v>
      </c>
      <c r="G50" s="15" t="s">
        <v>164</v>
      </c>
    </row>
    <row r="51" spans="1:7" x14ac:dyDescent="0.2">
      <c r="A51" s="15" t="s">
        <v>221</v>
      </c>
      <c r="B51" s="35">
        <v>46181</v>
      </c>
      <c r="C51" s="15" t="s">
        <v>158</v>
      </c>
      <c r="D51" s="15" t="s">
        <v>159</v>
      </c>
      <c r="E51" s="36">
        <v>81560</v>
      </c>
      <c r="F51" s="37">
        <v>0.11</v>
      </c>
      <c r="G51" s="15" t="s">
        <v>155</v>
      </c>
    </row>
    <row r="52" spans="1:7" x14ac:dyDescent="0.2">
      <c r="A52" s="15" t="s">
        <v>222</v>
      </c>
      <c r="B52" s="35">
        <v>46118</v>
      </c>
      <c r="C52" s="15" t="s">
        <v>153</v>
      </c>
      <c r="D52" s="15" t="s">
        <v>154</v>
      </c>
      <c r="E52" s="36">
        <v>53588</v>
      </c>
      <c r="F52" s="37">
        <v>0.11</v>
      </c>
      <c r="G52" s="15" t="s">
        <v>155</v>
      </c>
    </row>
    <row r="53" spans="1:7" x14ac:dyDescent="0.2">
      <c r="A53" s="15" t="s">
        <v>223</v>
      </c>
      <c r="B53" s="35">
        <v>46137</v>
      </c>
      <c r="C53" s="15" t="s">
        <v>153</v>
      </c>
      <c r="D53" s="15" t="s">
        <v>159</v>
      </c>
      <c r="E53" s="36">
        <v>78529</v>
      </c>
      <c r="F53" s="37">
        <v>0.11</v>
      </c>
      <c r="G53" s="15" t="s">
        <v>184</v>
      </c>
    </row>
    <row r="54" spans="1:7" x14ac:dyDescent="0.2">
      <c r="A54" s="15" t="s">
        <v>224</v>
      </c>
      <c r="B54" s="35">
        <v>46252</v>
      </c>
      <c r="C54" s="15" t="s">
        <v>153</v>
      </c>
      <c r="D54" s="15" t="s">
        <v>159</v>
      </c>
      <c r="E54" s="36">
        <v>55030</v>
      </c>
      <c r="F54" s="37">
        <v>4.4999999999999998E-2</v>
      </c>
      <c r="G54" s="15" t="s">
        <v>164</v>
      </c>
    </row>
    <row r="55" spans="1:7" x14ac:dyDescent="0.2">
      <c r="A55" s="15" t="s">
        <v>225</v>
      </c>
      <c r="B55" s="35">
        <v>46128</v>
      </c>
      <c r="C55" s="15" t="s">
        <v>171</v>
      </c>
      <c r="D55" s="15" t="s">
        <v>162</v>
      </c>
      <c r="E55" s="36">
        <v>83142</v>
      </c>
      <c r="F55" s="37">
        <v>0</v>
      </c>
      <c r="G55" s="15" t="s">
        <v>155</v>
      </c>
    </row>
    <row r="56" spans="1:7" x14ac:dyDescent="0.2">
      <c r="A56" s="15" t="s">
        <v>226</v>
      </c>
      <c r="B56" s="35">
        <v>46177</v>
      </c>
      <c r="C56" s="15" t="s">
        <v>167</v>
      </c>
      <c r="D56" s="15" t="s">
        <v>159</v>
      </c>
      <c r="E56" s="36">
        <v>63773</v>
      </c>
      <c r="F56" s="37">
        <v>0.14000000000000001</v>
      </c>
      <c r="G56" s="15" t="s">
        <v>164</v>
      </c>
    </row>
    <row r="57" spans="1:7" x14ac:dyDescent="0.2">
      <c r="A57" s="15" t="s">
        <v>227</v>
      </c>
      <c r="B57" s="35">
        <v>46234</v>
      </c>
      <c r="C57" s="15" t="s">
        <v>171</v>
      </c>
      <c r="D57" s="15" t="s">
        <v>159</v>
      </c>
      <c r="E57" s="36">
        <v>29984</v>
      </c>
      <c r="F57" s="37">
        <v>4.4999999999999998E-2</v>
      </c>
      <c r="G57" s="15" t="s">
        <v>155</v>
      </c>
    </row>
    <row r="58" spans="1:7" x14ac:dyDescent="0.2">
      <c r="A58" s="15" t="s">
        <v>228</v>
      </c>
      <c r="B58" s="35">
        <v>46169</v>
      </c>
      <c r="C58" s="15" t="s">
        <v>153</v>
      </c>
      <c r="D58" s="15" t="s">
        <v>154</v>
      </c>
      <c r="E58" s="36">
        <v>65397</v>
      </c>
      <c r="F58" s="37">
        <v>4.4999999999999998E-2</v>
      </c>
      <c r="G58" s="15" t="s">
        <v>155</v>
      </c>
    </row>
    <row r="59" spans="1:7" x14ac:dyDescent="0.2">
      <c r="A59" s="15" t="s">
        <v>229</v>
      </c>
      <c r="B59" s="35">
        <v>46166</v>
      </c>
      <c r="C59" s="15" t="s">
        <v>171</v>
      </c>
      <c r="D59" s="15" t="s">
        <v>154</v>
      </c>
      <c r="E59" s="36">
        <v>47309</v>
      </c>
      <c r="F59" s="37">
        <v>8.5000000000000006E-2</v>
      </c>
      <c r="G59" s="15" t="s">
        <v>164</v>
      </c>
    </row>
    <row r="60" spans="1:7" x14ac:dyDescent="0.2">
      <c r="A60" s="15" t="s">
        <v>230</v>
      </c>
      <c r="B60" s="35">
        <v>46133</v>
      </c>
      <c r="C60" s="15" t="s">
        <v>153</v>
      </c>
      <c r="D60" s="15" t="s">
        <v>162</v>
      </c>
      <c r="E60" s="36">
        <v>78011</v>
      </c>
      <c r="F60" s="37">
        <v>8.5000000000000006E-2</v>
      </c>
      <c r="G60" s="15" t="s">
        <v>164</v>
      </c>
    </row>
    <row r="61" spans="1:7" x14ac:dyDescent="0.2">
      <c r="A61" s="15" t="s">
        <v>231</v>
      </c>
      <c r="B61" s="35">
        <v>46137</v>
      </c>
      <c r="C61" s="15" t="s">
        <v>167</v>
      </c>
      <c r="D61" s="15" t="s">
        <v>162</v>
      </c>
      <c r="E61" s="36">
        <v>36480</v>
      </c>
      <c r="F61" s="37">
        <v>6.5000000000000002E-2</v>
      </c>
      <c r="G61" s="15" t="s">
        <v>155</v>
      </c>
    </row>
    <row r="62" spans="1:7" x14ac:dyDescent="0.2">
      <c r="A62" s="15" t="s">
        <v>232</v>
      </c>
      <c r="B62" s="35">
        <v>46156</v>
      </c>
      <c r="C62" s="15" t="s">
        <v>153</v>
      </c>
      <c r="D62" s="15" t="s">
        <v>176</v>
      </c>
      <c r="E62" s="36">
        <v>64060</v>
      </c>
      <c r="F62" s="37">
        <v>8.5000000000000006E-2</v>
      </c>
      <c r="G62" s="15" t="s">
        <v>155</v>
      </c>
    </row>
    <row r="63" spans="1:7" x14ac:dyDescent="0.2">
      <c r="A63" s="15" t="s">
        <v>233</v>
      </c>
      <c r="B63" s="35">
        <v>46246</v>
      </c>
      <c r="C63" s="15" t="s">
        <v>153</v>
      </c>
      <c r="D63" s="15" t="s">
        <v>162</v>
      </c>
      <c r="E63" s="36">
        <v>92921</v>
      </c>
      <c r="F63" s="37">
        <v>0</v>
      </c>
      <c r="G63" s="15" t="s">
        <v>155</v>
      </c>
    </row>
    <row r="64" spans="1:7" x14ac:dyDescent="0.2">
      <c r="A64" s="15" t="s">
        <v>234</v>
      </c>
      <c r="B64" s="35">
        <v>46220</v>
      </c>
      <c r="C64" s="15" t="s">
        <v>167</v>
      </c>
      <c r="D64" s="15" t="s">
        <v>162</v>
      </c>
      <c r="E64" s="36">
        <v>75386</v>
      </c>
      <c r="F64" s="37">
        <v>6.5000000000000002E-2</v>
      </c>
      <c r="G64" s="15" t="s">
        <v>164</v>
      </c>
    </row>
    <row r="65" spans="1:7" x14ac:dyDescent="0.2">
      <c r="A65" s="15" t="s">
        <v>235</v>
      </c>
      <c r="B65" s="35">
        <v>46200</v>
      </c>
      <c r="C65" s="15" t="s">
        <v>158</v>
      </c>
      <c r="D65" s="15" t="s">
        <v>154</v>
      </c>
      <c r="E65" s="36">
        <v>58761</v>
      </c>
      <c r="F65" s="37">
        <v>8.5000000000000006E-2</v>
      </c>
      <c r="G65" s="15" t="s">
        <v>155</v>
      </c>
    </row>
    <row r="66" spans="1:7" x14ac:dyDescent="0.2">
      <c r="A66" s="15" t="s">
        <v>236</v>
      </c>
      <c r="B66" s="35">
        <v>46238</v>
      </c>
      <c r="C66" s="15" t="s">
        <v>171</v>
      </c>
      <c r="D66" s="15" t="s">
        <v>154</v>
      </c>
      <c r="E66" s="36">
        <v>81287</v>
      </c>
      <c r="F66" s="37">
        <v>0</v>
      </c>
      <c r="G66" s="15" t="s">
        <v>164</v>
      </c>
    </row>
    <row r="67" spans="1:7" x14ac:dyDescent="0.2">
      <c r="A67" s="15" t="s">
        <v>237</v>
      </c>
      <c r="B67" s="35">
        <v>46147</v>
      </c>
      <c r="C67" s="15" t="s">
        <v>167</v>
      </c>
      <c r="D67" s="15" t="s">
        <v>154</v>
      </c>
      <c r="E67" s="36">
        <v>56122</v>
      </c>
      <c r="F67" s="37">
        <v>4.4999999999999998E-2</v>
      </c>
      <c r="G67" s="15" t="s">
        <v>184</v>
      </c>
    </row>
    <row r="68" spans="1:7" x14ac:dyDescent="0.2">
      <c r="A68" s="15" t="s">
        <v>238</v>
      </c>
      <c r="B68" s="35">
        <v>46232</v>
      </c>
      <c r="C68" s="15" t="s">
        <v>167</v>
      </c>
      <c r="D68" s="15" t="s">
        <v>154</v>
      </c>
      <c r="E68" s="36">
        <v>93509</v>
      </c>
      <c r="F68" s="37">
        <v>8.5000000000000006E-2</v>
      </c>
      <c r="G68" s="15" t="s">
        <v>184</v>
      </c>
    </row>
    <row r="69" spans="1:7" x14ac:dyDescent="0.2">
      <c r="A69" s="15" t="s">
        <v>239</v>
      </c>
      <c r="B69" s="35">
        <v>46215</v>
      </c>
      <c r="C69" s="15" t="s">
        <v>158</v>
      </c>
      <c r="D69" s="15" t="s">
        <v>176</v>
      </c>
      <c r="E69" s="36">
        <v>47295</v>
      </c>
      <c r="F69" s="37">
        <v>0.14000000000000001</v>
      </c>
      <c r="G69" s="15" t="s">
        <v>155</v>
      </c>
    </row>
    <row r="70" spans="1:7" x14ac:dyDescent="0.2">
      <c r="A70" s="15" t="s">
        <v>240</v>
      </c>
      <c r="B70" s="35">
        <v>46129</v>
      </c>
      <c r="C70" s="15" t="s">
        <v>153</v>
      </c>
      <c r="D70" s="15" t="s">
        <v>154</v>
      </c>
      <c r="E70" s="36">
        <v>50865</v>
      </c>
      <c r="F70" s="37">
        <v>6.5000000000000002E-2</v>
      </c>
      <c r="G70" s="15" t="s">
        <v>164</v>
      </c>
    </row>
    <row r="71" spans="1:7" x14ac:dyDescent="0.2">
      <c r="A71" s="15" t="s">
        <v>241</v>
      </c>
      <c r="B71" s="35">
        <v>46243</v>
      </c>
      <c r="C71" s="15" t="s">
        <v>171</v>
      </c>
      <c r="D71" s="15" t="s">
        <v>154</v>
      </c>
      <c r="E71" s="36">
        <v>24426</v>
      </c>
      <c r="F71" s="37">
        <v>6.5000000000000002E-2</v>
      </c>
      <c r="G71" s="15" t="s">
        <v>155</v>
      </c>
    </row>
    <row r="72" spans="1:7" x14ac:dyDescent="0.2">
      <c r="A72" s="15" t="s">
        <v>242</v>
      </c>
      <c r="B72" s="35">
        <v>46199</v>
      </c>
      <c r="C72" s="15" t="s">
        <v>158</v>
      </c>
      <c r="D72" s="15" t="s">
        <v>176</v>
      </c>
      <c r="E72" s="36">
        <v>34961</v>
      </c>
      <c r="F72" s="37">
        <v>8.5000000000000006E-2</v>
      </c>
      <c r="G72" s="15" t="s">
        <v>184</v>
      </c>
    </row>
    <row r="73" spans="1:7" x14ac:dyDescent="0.2">
      <c r="A73" s="15" t="s">
        <v>243</v>
      </c>
      <c r="B73" s="35">
        <v>46157</v>
      </c>
      <c r="C73" s="15" t="s">
        <v>171</v>
      </c>
      <c r="D73" s="15" t="s">
        <v>159</v>
      </c>
      <c r="E73" s="36">
        <v>96596</v>
      </c>
      <c r="F73" s="37">
        <v>0.11</v>
      </c>
      <c r="G73" s="15" t="s">
        <v>155</v>
      </c>
    </row>
    <row r="74" spans="1:7" x14ac:dyDescent="0.2">
      <c r="A74" s="15" t="s">
        <v>244</v>
      </c>
      <c r="B74" s="35">
        <v>46167</v>
      </c>
      <c r="C74" s="15" t="s">
        <v>167</v>
      </c>
      <c r="D74" s="15" t="s">
        <v>162</v>
      </c>
      <c r="E74" s="36">
        <v>32049</v>
      </c>
      <c r="F74" s="37">
        <v>0.02</v>
      </c>
      <c r="G74" s="15" t="s">
        <v>155</v>
      </c>
    </row>
    <row r="75" spans="1:7" x14ac:dyDescent="0.2">
      <c r="A75" s="15" t="s">
        <v>245</v>
      </c>
      <c r="B75" s="35">
        <v>46247</v>
      </c>
      <c r="C75" s="15" t="s">
        <v>167</v>
      </c>
      <c r="D75" s="15" t="s">
        <v>162</v>
      </c>
      <c r="E75" s="36">
        <v>2257</v>
      </c>
      <c r="F75" s="37">
        <v>0.14000000000000001</v>
      </c>
      <c r="G75" s="15" t="s">
        <v>184</v>
      </c>
    </row>
    <row r="76" spans="1:7" x14ac:dyDescent="0.2">
      <c r="A76" s="15" t="s">
        <v>246</v>
      </c>
      <c r="B76" s="35">
        <v>46238</v>
      </c>
      <c r="C76" s="15" t="s">
        <v>167</v>
      </c>
      <c r="D76" s="15" t="s">
        <v>154</v>
      </c>
      <c r="E76" s="36">
        <v>4994</v>
      </c>
      <c r="F76" s="37">
        <v>4.4999999999999998E-2</v>
      </c>
      <c r="G76" s="15" t="s">
        <v>177</v>
      </c>
    </row>
    <row r="77" spans="1:7" x14ac:dyDescent="0.2">
      <c r="A77" s="15" t="s">
        <v>247</v>
      </c>
      <c r="B77" s="35">
        <v>46213</v>
      </c>
      <c r="C77" s="15" t="s">
        <v>153</v>
      </c>
      <c r="D77" s="15" t="s">
        <v>162</v>
      </c>
      <c r="E77" s="36">
        <v>18385</v>
      </c>
      <c r="F77" s="37">
        <v>0.02</v>
      </c>
      <c r="G77" s="15" t="s">
        <v>164</v>
      </c>
    </row>
    <row r="78" spans="1:7" x14ac:dyDescent="0.2">
      <c r="A78" s="15" t="s">
        <v>248</v>
      </c>
      <c r="B78" s="35">
        <v>46152</v>
      </c>
      <c r="C78" s="15" t="s">
        <v>153</v>
      </c>
      <c r="D78" s="15" t="s">
        <v>162</v>
      </c>
      <c r="E78" s="36">
        <v>76394</v>
      </c>
      <c r="F78" s="37">
        <v>0.14000000000000001</v>
      </c>
      <c r="G78" s="15" t="s">
        <v>184</v>
      </c>
    </row>
    <row r="79" spans="1:7" x14ac:dyDescent="0.2">
      <c r="A79" s="15" t="s">
        <v>249</v>
      </c>
      <c r="B79" s="35">
        <v>46259</v>
      </c>
      <c r="C79" s="15" t="s">
        <v>167</v>
      </c>
      <c r="D79" s="15" t="s">
        <v>176</v>
      </c>
      <c r="E79" s="36">
        <v>69695</v>
      </c>
      <c r="F79" s="37">
        <v>4.4999999999999998E-2</v>
      </c>
      <c r="G79" s="15" t="s">
        <v>164</v>
      </c>
    </row>
    <row r="80" spans="1:7" x14ac:dyDescent="0.2">
      <c r="A80" s="15" t="s">
        <v>250</v>
      </c>
      <c r="B80" s="35">
        <v>46158</v>
      </c>
      <c r="C80" s="15" t="s">
        <v>167</v>
      </c>
      <c r="D80" s="15" t="s">
        <v>154</v>
      </c>
      <c r="E80" s="36">
        <v>53749</v>
      </c>
      <c r="F80" s="37">
        <v>0.02</v>
      </c>
      <c r="G80" s="15" t="s">
        <v>155</v>
      </c>
    </row>
    <row r="81" spans="1:7" x14ac:dyDescent="0.2">
      <c r="A81" s="15" t="s">
        <v>251</v>
      </c>
      <c r="B81" s="35">
        <v>46160</v>
      </c>
      <c r="C81" s="15" t="s">
        <v>153</v>
      </c>
      <c r="D81" s="15" t="s">
        <v>162</v>
      </c>
      <c r="E81" s="36">
        <v>93355</v>
      </c>
      <c r="F81" s="37">
        <v>0.11</v>
      </c>
      <c r="G81" s="15" t="s">
        <v>155</v>
      </c>
    </row>
    <row r="82" spans="1:7" x14ac:dyDescent="0.2">
      <c r="A82" s="15" t="s">
        <v>252</v>
      </c>
      <c r="B82" s="35">
        <v>46238</v>
      </c>
      <c r="C82" s="15" t="s">
        <v>171</v>
      </c>
      <c r="D82" s="15" t="s">
        <v>176</v>
      </c>
      <c r="E82" s="36">
        <v>61169</v>
      </c>
      <c r="F82" s="37">
        <v>4.4999999999999998E-2</v>
      </c>
      <c r="G82" s="15" t="s">
        <v>155</v>
      </c>
    </row>
    <row r="83" spans="1:7" x14ac:dyDescent="0.2">
      <c r="A83" s="15" t="s">
        <v>253</v>
      </c>
      <c r="B83" s="35">
        <v>46206</v>
      </c>
      <c r="C83" s="15" t="s">
        <v>171</v>
      </c>
      <c r="D83" s="15" t="s">
        <v>176</v>
      </c>
      <c r="E83" s="36">
        <v>57340</v>
      </c>
      <c r="F83" s="37">
        <v>6.5000000000000002E-2</v>
      </c>
      <c r="G83" s="15" t="s">
        <v>164</v>
      </c>
    </row>
    <row r="84" spans="1:7" x14ac:dyDescent="0.2">
      <c r="A84" s="15" t="s">
        <v>254</v>
      </c>
      <c r="B84" s="35">
        <v>46217</v>
      </c>
      <c r="C84" s="15" t="s">
        <v>167</v>
      </c>
      <c r="D84" s="15" t="s">
        <v>154</v>
      </c>
      <c r="E84" s="36">
        <v>42479</v>
      </c>
      <c r="F84" s="37">
        <v>0.02</v>
      </c>
      <c r="G84" s="15" t="s">
        <v>164</v>
      </c>
    </row>
    <row r="85" spans="1:7" x14ac:dyDescent="0.2">
      <c r="A85" s="15" t="s">
        <v>255</v>
      </c>
      <c r="B85" s="35">
        <v>46123</v>
      </c>
      <c r="C85" s="15" t="s">
        <v>158</v>
      </c>
      <c r="D85" s="15" t="s">
        <v>176</v>
      </c>
      <c r="E85" s="36">
        <v>24118</v>
      </c>
      <c r="F85" s="37">
        <v>0</v>
      </c>
      <c r="G85" s="15" t="s">
        <v>155</v>
      </c>
    </row>
    <row r="86" spans="1:7" x14ac:dyDescent="0.2">
      <c r="A86" s="15" t="s">
        <v>256</v>
      </c>
      <c r="B86" s="35">
        <v>46178</v>
      </c>
      <c r="C86" s="15" t="s">
        <v>158</v>
      </c>
      <c r="D86" s="15" t="s">
        <v>176</v>
      </c>
      <c r="E86" s="36">
        <v>31027</v>
      </c>
      <c r="F86" s="37">
        <v>0.02</v>
      </c>
      <c r="G86" s="15" t="s">
        <v>155</v>
      </c>
    </row>
    <row r="87" spans="1:7" x14ac:dyDescent="0.2">
      <c r="A87" s="15" t="s">
        <v>257</v>
      </c>
      <c r="B87" s="35">
        <v>46136</v>
      </c>
      <c r="C87" s="15" t="s">
        <v>158</v>
      </c>
      <c r="D87" s="15" t="s">
        <v>159</v>
      </c>
      <c r="E87" s="36">
        <v>80636</v>
      </c>
      <c r="F87" s="37">
        <v>0.02</v>
      </c>
      <c r="G87" s="15" t="s">
        <v>184</v>
      </c>
    </row>
    <row r="88" spans="1:7" x14ac:dyDescent="0.2">
      <c r="A88" s="15" t="s">
        <v>258</v>
      </c>
      <c r="B88" s="35">
        <v>46156</v>
      </c>
      <c r="C88" s="15" t="s">
        <v>167</v>
      </c>
      <c r="D88" s="15" t="s">
        <v>159</v>
      </c>
      <c r="E88" s="36">
        <v>56885</v>
      </c>
      <c r="F88" s="37">
        <v>0.02</v>
      </c>
      <c r="G88" s="15" t="s">
        <v>155</v>
      </c>
    </row>
    <row r="89" spans="1:7" x14ac:dyDescent="0.2">
      <c r="A89" s="15" t="s">
        <v>259</v>
      </c>
      <c r="B89" s="35">
        <v>46250</v>
      </c>
      <c r="C89" s="15" t="s">
        <v>171</v>
      </c>
      <c r="D89" s="15" t="s">
        <v>159</v>
      </c>
      <c r="E89" s="36">
        <v>54715</v>
      </c>
      <c r="F89" s="37">
        <v>0.11</v>
      </c>
      <c r="G89" s="15" t="s">
        <v>155</v>
      </c>
    </row>
    <row r="90" spans="1:7" x14ac:dyDescent="0.2">
      <c r="A90" s="15" t="s">
        <v>260</v>
      </c>
      <c r="B90" s="35">
        <v>46205</v>
      </c>
      <c r="C90" s="15" t="s">
        <v>153</v>
      </c>
      <c r="D90" s="15" t="s">
        <v>154</v>
      </c>
      <c r="E90" s="36">
        <v>59832</v>
      </c>
      <c r="F90" s="37">
        <v>0.11</v>
      </c>
      <c r="G90" s="15" t="s">
        <v>164</v>
      </c>
    </row>
    <row r="91" spans="1:7" x14ac:dyDescent="0.2">
      <c r="A91" s="15" t="s">
        <v>261</v>
      </c>
      <c r="B91" s="35">
        <v>46256</v>
      </c>
      <c r="C91" s="15" t="s">
        <v>153</v>
      </c>
      <c r="D91" s="15" t="s">
        <v>176</v>
      </c>
      <c r="E91" s="36">
        <v>89127</v>
      </c>
      <c r="F91" s="37">
        <v>0.02</v>
      </c>
      <c r="G91" s="15" t="s">
        <v>164</v>
      </c>
    </row>
    <row r="92" spans="1:7" x14ac:dyDescent="0.2">
      <c r="A92" s="15" t="s">
        <v>262</v>
      </c>
      <c r="B92" s="35">
        <v>46142</v>
      </c>
      <c r="C92" s="15" t="s">
        <v>171</v>
      </c>
      <c r="D92" s="15" t="s">
        <v>154</v>
      </c>
      <c r="E92" s="36">
        <v>95952</v>
      </c>
      <c r="F92" s="37">
        <v>0.11</v>
      </c>
      <c r="G92" s="15" t="s">
        <v>164</v>
      </c>
    </row>
    <row r="93" spans="1:7" x14ac:dyDescent="0.2">
      <c r="A93" s="15" t="s">
        <v>263</v>
      </c>
      <c r="B93" s="35">
        <v>46153</v>
      </c>
      <c r="C93" s="15" t="s">
        <v>167</v>
      </c>
      <c r="D93" s="15" t="s">
        <v>162</v>
      </c>
      <c r="E93" s="36">
        <v>58215</v>
      </c>
      <c r="F93" s="37">
        <v>0.11</v>
      </c>
      <c r="G93" s="15" t="s">
        <v>155</v>
      </c>
    </row>
    <row r="94" spans="1:7" x14ac:dyDescent="0.2">
      <c r="A94" s="15" t="s">
        <v>264</v>
      </c>
      <c r="B94" s="35">
        <v>46222</v>
      </c>
      <c r="C94" s="15" t="s">
        <v>167</v>
      </c>
      <c r="D94" s="15" t="s">
        <v>162</v>
      </c>
      <c r="E94" s="36">
        <v>93859</v>
      </c>
      <c r="F94" s="37">
        <v>0.11</v>
      </c>
      <c r="G94" s="15" t="s">
        <v>184</v>
      </c>
    </row>
    <row r="95" spans="1:7" x14ac:dyDescent="0.2">
      <c r="A95" s="15" t="s">
        <v>265</v>
      </c>
      <c r="B95" s="35">
        <v>46181</v>
      </c>
      <c r="C95" s="15" t="s">
        <v>158</v>
      </c>
      <c r="D95" s="15" t="s">
        <v>154</v>
      </c>
      <c r="E95" s="36">
        <v>50998</v>
      </c>
      <c r="F95" s="37">
        <v>6.5000000000000002E-2</v>
      </c>
      <c r="G95" s="15" t="s">
        <v>155</v>
      </c>
    </row>
    <row r="96" spans="1:7" x14ac:dyDescent="0.2">
      <c r="A96" s="15" t="s">
        <v>266</v>
      </c>
      <c r="B96" s="35">
        <v>46246</v>
      </c>
      <c r="C96" s="15" t="s">
        <v>158</v>
      </c>
      <c r="D96" s="15" t="s">
        <v>154</v>
      </c>
      <c r="E96" s="36">
        <v>65173</v>
      </c>
      <c r="F96" s="37">
        <v>0.14000000000000001</v>
      </c>
      <c r="G96" s="15" t="s">
        <v>155</v>
      </c>
    </row>
    <row r="97" spans="1:7" x14ac:dyDescent="0.2">
      <c r="A97" s="15" t="s">
        <v>267</v>
      </c>
      <c r="B97" s="35">
        <v>46148</v>
      </c>
      <c r="C97" s="15" t="s">
        <v>167</v>
      </c>
      <c r="D97" s="15" t="s">
        <v>162</v>
      </c>
      <c r="E97" s="36">
        <v>77339</v>
      </c>
      <c r="F97" s="37">
        <v>8.5000000000000006E-2</v>
      </c>
      <c r="G97" s="15" t="s">
        <v>155</v>
      </c>
    </row>
    <row r="98" spans="1:7" x14ac:dyDescent="0.2">
      <c r="A98" s="15" t="s">
        <v>268</v>
      </c>
      <c r="B98" s="35">
        <v>46204</v>
      </c>
      <c r="C98" s="15" t="s">
        <v>158</v>
      </c>
      <c r="D98" s="15" t="s">
        <v>176</v>
      </c>
      <c r="E98" s="36">
        <v>5050</v>
      </c>
      <c r="F98" s="37">
        <v>0.11</v>
      </c>
      <c r="G98" s="15" t="s">
        <v>164</v>
      </c>
    </row>
    <row r="99" spans="1:7" x14ac:dyDescent="0.2">
      <c r="A99" s="15" t="s">
        <v>269</v>
      </c>
      <c r="B99" s="35">
        <v>46196</v>
      </c>
      <c r="C99" s="15" t="s">
        <v>171</v>
      </c>
      <c r="D99" s="15" t="s">
        <v>176</v>
      </c>
      <c r="E99" s="36">
        <v>96547</v>
      </c>
      <c r="F99" s="37">
        <v>6.5000000000000002E-2</v>
      </c>
      <c r="G99" s="15" t="s">
        <v>155</v>
      </c>
    </row>
    <row r="100" spans="1:7" x14ac:dyDescent="0.2">
      <c r="A100" s="15" t="s">
        <v>270</v>
      </c>
      <c r="B100" s="35">
        <v>46252</v>
      </c>
      <c r="C100" s="15" t="s">
        <v>171</v>
      </c>
      <c r="D100" s="15" t="s">
        <v>176</v>
      </c>
      <c r="E100" s="36">
        <v>34464</v>
      </c>
      <c r="F100" s="37">
        <v>0.14000000000000001</v>
      </c>
      <c r="G100" s="15" t="s">
        <v>155</v>
      </c>
    </row>
    <row r="101" spans="1:7" x14ac:dyDescent="0.2">
      <c r="A101" s="15" t="s">
        <v>271</v>
      </c>
      <c r="B101" s="35">
        <v>46122</v>
      </c>
      <c r="C101" s="15" t="s">
        <v>167</v>
      </c>
      <c r="D101" s="15" t="s">
        <v>176</v>
      </c>
      <c r="E101" s="36">
        <v>37516</v>
      </c>
      <c r="F101" s="37">
        <v>0</v>
      </c>
      <c r="G101" s="15" t="s">
        <v>155</v>
      </c>
    </row>
    <row r="102" spans="1:7" x14ac:dyDescent="0.2">
      <c r="A102" s="15" t="s">
        <v>272</v>
      </c>
      <c r="B102" s="35">
        <v>46228</v>
      </c>
      <c r="C102" s="15" t="s">
        <v>153</v>
      </c>
      <c r="D102" s="15" t="s">
        <v>159</v>
      </c>
      <c r="E102" s="36">
        <v>53686</v>
      </c>
      <c r="F102" s="37">
        <v>0.14000000000000001</v>
      </c>
      <c r="G102" s="15" t="s">
        <v>164</v>
      </c>
    </row>
    <row r="103" spans="1:7" x14ac:dyDescent="0.2">
      <c r="A103" s="15" t="s">
        <v>273</v>
      </c>
      <c r="B103" s="35">
        <v>46260</v>
      </c>
      <c r="C103" s="15" t="s">
        <v>171</v>
      </c>
      <c r="D103" s="15" t="s">
        <v>159</v>
      </c>
      <c r="E103" s="36">
        <v>94314</v>
      </c>
      <c r="F103" s="37">
        <v>8.5000000000000006E-2</v>
      </c>
      <c r="G103" s="15" t="s">
        <v>155</v>
      </c>
    </row>
    <row r="104" spans="1:7" x14ac:dyDescent="0.2">
      <c r="A104" s="15" t="s">
        <v>274</v>
      </c>
      <c r="B104" s="35">
        <v>46194</v>
      </c>
      <c r="C104" s="15" t="s">
        <v>167</v>
      </c>
      <c r="D104" s="15" t="s">
        <v>176</v>
      </c>
      <c r="E104" s="36">
        <v>12477</v>
      </c>
      <c r="F104" s="37">
        <v>6.5000000000000002E-2</v>
      </c>
      <c r="G104" s="15" t="s">
        <v>155</v>
      </c>
    </row>
    <row r="105" spans="1:7" x14ac:dyDescent="0.2">
      <c r="A105" s="15" t="s">
        <v>275</v>
      </c>
      <c r="B105" s="35">
        <v>46249</v>
      </c>
      <c r="C105" s="15" t="s">
        <v>171</v>
      </c>
      <c r="D105" s="15" t="s">
        <v>176</v>
      </c>
      <c r="E105" s="36">
        <v>51481</v>
      </c>
      <c r="F105" s="37">
        <v>0</v>
      </c>
      <c r="G105" s="15" t="s">
        <v>164</v>
      </c>
    </row>
    <row r="106" spans="1:7" x14ac:dyDescent="0.2">
      <c r="A106" s="15" t="s">
        <v>276</v>
      </c>
      <c r="B106" s="35">
        <v>46131</v>
      </c>
      <c r="C106" s="15" t="s">
        <v>171</v>
      </c>
      <c r="D106" s="15" t="s">
        <v>176</v>
      </c>
      <c r="E106" s="36">
        <v>80258</v>
      </c>
      <c r="F106" s="37">
        <v>0.11</v>
      </c>
      <c r="G106" s="15" t="s">
        <v>177</v>
      </c>
    </row>
    <row r="107" spans="1:7" x14ac:dyDescent="0.2">
      <c r="A107" s="15" t="s">
        <v>277</v>
      </c>
      <c r="B107" s="35">
        <v>46198</v>
      </c>
      <c r="C107" s="15" t="s">
        <v>153</v>
      </c>
      <c r="D107" s="15" t="s">
        <v>154</v>
      </c>
      <c r="E107" s="36">
        <v>83373</v>
      </c>
      <c r="F107" s="37">
        <v>6.5000000000000002E-2</v>
      </c>
      <c r="G107" s="15" t="s">
        <v>155</v>
      </c>
    </row>
    <row r="108" spans="1:7" x14ac:dyDescent="0.2">
      <c r="A108" s="15" t="s">
        <v>278</v>
      </c>
      <c r="B108" s="35">
        <v>46232</v>
      </c>
      <c r="C108" s="15" t="s">
        <v>153</v>
      </c>
      <c r="D108" s="15" t="s">
        <v>159</v>
      </c>
      <c r="E108" s="36">
        <v>91234</v>
      </c>
      <c r="F108" s="37">
        <v>0.02</v>
      </c>
      <c r="G108" s="15" t="s">
        <v>155</v>
      </c>
    </row>
    <row r="109" spans="1:7" x14ac:dyDescent="0.2">
      <c r="A109" s="15" t="s">
        <v>279</v>
      </c>
      <c r="B109" s="35">
        <v>46193</v>
      </c>
      <c r="C109" s="15" t="s">
        <v>158</v>
      </c>
      <c r="D109" s="15" t="s">
        <v>159</v>
      </c>
      <c r="E109" s="36">
        <v>60280</v>
      </c>
      <c r="F109" s="37">
        <v>0.02</v>
      </c>
      <c r="G109" s="15" t="s">
        <v>155</v>
      </c>
    </row>
    <row r="110" spans="1:7" x14ac:dyDescent="0.2">
      <c r="A110" s="15" t="s">
        <v>280</v>
      </c>
      <c r="B110" s="35">
        <v>46225</v>
      </c>
      <c r="C110" s="15" t="s">
        <v>167</v>
      </c>
      <c r="D110" s="15" t="s">
        <v>176</v>
      </c>
      <c r="E110" s="36">
        <v>30880</v>
      </c>
      <c r="F110" s="37">
        <v>8.5000000000000006E-2</v>
      </c>
      <c r="G110" s="15" t="s">
        <v>155</v>
      </c>
    </row>
    <row r="111" spans="1:7" x14ac:dyDescent="0.2">
      <c r="A111" s="15" t="s">
        <v>281</v>
      </c>
      <c r="B111" s="35">
        <v>46210</v>
      </c>
      <c r="C111" s="15" t="s">
        <v>158</v>
      </c>
      <c r="D111" s="15" t="s">
        <v>176</v>
      </c>
      <c r="E111" s="36">
        <v>53140</v>
      </c>
      <c r="F111" s="37">
        <v>6.5000000000000002E-2</v>
      </c>
      <c r="G111" s="15" t="s">
        <v>177</v>
      </c>
    </row>
    <row r="112" spans="1:7" x14ac:dyDescent="0.2">
      <c r="A112" s="15" t="s">
        <v>282</v>
      </c>
      <c r="B112" s="35">
        <v>46211</v>
      </c>
      <c r="C112" s="15" t="s">
        <v>153</v>
      </c>
      <c r="D112" s="15" t="s">
        <v>159</v>
      </c>
      <c r="E112" s="36">
        <v>22193</v>
      </c>
      <c r="F112" s="37">
        <v>0.14000000000000001</v>
      </c>
      <c r="G112" s="15" t="s">
        <v>155</v>
      </c>
    </row>
    <row r="113" spans="1:7" x14ac:dyDescent="0.2">
      <c r="A113" s="15" t="s">
        <v>283</v>
      </c>
      <c r="B113" s="35">
        <v>46174</v>
      </c>
      <c r="C113" s="15" t="s">
        <v>171</v>
      </c>
      <c r="D113" s="15" t="s">
        <v>154</v>
      </c>
      <c r="E113" s="36">
        <v>50025</v>
      </c>
      <c r="F113" s="37">
        <v>4.4999999999999998E-2</v>
      </c>
      <c r="G113" s="15" t="s">
        <v>164</v>
      </c>
    </row>
    <row r="114" spans="1:7" x14ac:dyDescent="0.2">
      <c r="A114" s="15" t="s">
        <v>284</v>
      </c>
      <c r="B114" s="35">
        <v>46261</v>
      </c>
      <c r="C114" s="15" t="s">
        <v>167</v>
      </c>
      <c r="D114" s="15" t="s">
        <v>162</v>
      </c>
      <c r="E114" s="36">
        <v>97814</v>
      </c>
      <c r="F114" s="37">
        <v>8.5000000000000006E-2</v>
      </c>
      <c r="G114" s="15" t="s">
        <v>155</v>
      </c>
    </row>
    <row r="115" spans="1:7" x14ac:dyDescent="0.2">
      <c r="A115" s="15" t="s">
        <v>285</v>
      </c>
      <c r="B115" s="35">
        <v>46207</v>
      </c>
      <c r="C115" s="15" t="s">
        <v>171</v>
      </c>
      <c r="D115" s="15" t="s">
        <v>176</v>
      </c>
      <c r="E115" s="36">
        <v>84689</v>
      </c>
      <c r="F115" s="37">
        <v>8.5000000000000006E-2</v>
      </c>
      <c r="G115" s="15" t="s">
        <v>155</v>
      </c>
    </row>
    <row r="116" spans="1:7" x14ac:dyDescent="0.2">
      <c r="A116" s="15" t="s">
        <v>286</v>
      </c>
      <c r="B116" s="35">
        <v>46216</v>
      </c>
      <c r="C116" s="15" t="s">
        <v>171</v>
      </c>
      <c r="D116" s="15" t="s">
        <v>176</v>
      </c>
      <c r="E116" s="36">
        <v>56150</v>
      </c>
      <c r="F116" s="37">
        <v>0.14000000000000001</v>
      </c>
      <c r="G116" s="15" t="s">
        <v>177</v>
      </c>
    </row>
    <row r="117" spans="1:7" x14ac:dyDescent="0.2">
      <c r="A117" s="15" t="s">
        <v>287</v>
      </c>
      <c r="B117" s="35">
        <v>46215</v>
      </c>
      <c r="C117" s="15" t="s">
        <v>171</v>
      </c>
      <c r="D117" s="15" t="s">
        <v>162</v>
      </c>
      <c r="E117" s="36">
        <v>8571</v>
      </c>
      <c r="F117" s="37">
        <v>0.02</v>
      </c>
      <c r="G117" s="15" t="s">
        <v>155</v>
      </c>
    </row>
    <row r="118" spans="1:7" x14ac:dyDescent="0.2">
      <c r="A118" s="15" t="s">
        <v>288</v>
      </c>
      <c r="B118" s="35">
        <v>46156</v>
      </c>
      <c r="C118" s="15" t="s">
        <v>153</v>
      </c>
      <c r="D118" s="15" t="s">
        <v>154</v>
      </c>
      <c r="E118" s="36">
        <v>75575</v>
      </c>
      <c r="F118" s="37">
        <v>0</v>
      </c>
      <c r="G118" s="15" t="s">
        <v>155</v>
      </c>
    </row>
    <row r="119" spans="1:7" x14ac:dyDescent="0.2">
      <c r="A119" s="15" t="s">
        <v>289</v>
      </c>
      <c r="B119" s="35">
        <v>46122</v>
      </c>
      <c r="C119" s="15" t="s">
        <v>167</v>
      </c>
      <c r="D119" s="15" t="s">
        <v>176</v>
      </c>
      <c r="E119" s="36">
        <v>31755</v>
      </c>
      <c r="F119" s="37">
        <v>6.5000000000000002E-2</v>
      </c>
      <c r="G119" s="15" t="s">
        <v>155</v>
      </c>
    </row>
    <row r="120" spans="1:7" x14ac:dyDescent="0.2">
      <c r="A120" s="15" t="s">
        <v>290</v>
      </c>
      <c r="B120" s="35">
        <v>46122</v>
      </c>
      <c r="C120" s="15" t="s">
        <v>158</v>
      </c>
      <c r="D120" s="15" t="s">
        <v>159</v>
      </c>
      <c r="E120" s="36">
        <v>43648</v>
      </c>
      <c r="F120" s="37">
        <v>0.14000000000000001</v>
      </c>
      <c r="G120" s="15" t="s">
        <v>177</v>
      </c>
    </row>
    <row r="121" spans="1:7" x14ac:dyDescent="0.2">
      <c r="A121" s="15" t="s">
        <v>291</v>
      </c>
      <c r="B121" s="35">
        <v>46121</v>
      </c>
      <c r="C121" s="15" t="s">
        <v>171</v>
      </c>
      <c r="D121" s="15" t="s">
        <v>162</v>
      </c>
      <c r="E121" s="36">
        <v>12281</v>
      </c>
      <c r="F121" s="37">
        <v>0.11</v>
      </c>
      <c r="G121" s="15" t="s">
        <v>164</v>
      </c>
    </row>
    <row r="122" spans="1:7" x14ac:dyDescent="0.2">
      <c r="A122" s="15" t="s">
        <v>292</v>
      </c>
      <c r="B122" s="35">
        <v>46236</v>
      </c>
      <c r="C122" s="15" t="s">
        <v>167</v>
      </c>
      <c r="D122" s="15" t="s">
        <v>176</v>
      </c>
      <c r="E122" s="36">
        <v>23516</v>
      </c>
      <c r="F122" s="37">
        <v>0.02</v>
      </c>
      <c r="G122" s="15" t="s">
        <v>164</v>
      </c>
    </row>
    <row r="123" spans="1:7" x14ac:dyDescent="0.2">
      <c r="A123" s="15" t="s">
        <v>293</v>
      </c>
      <c r="B123" s="35">
        <v>46184</v>
      </c>
      <c r="C123" s="15" t="s">
        <v>167</v>
      </c>
      <c r="D123" s="15" t="s">
        <v>154</v>
      </c>
      <c r="E123" s="36">
        <v>86929</v>
      </c>
      <c r="F123" s="37">
        <v>8.5000000000000006E-2</v>
      </c>
      <c r="G123" s="15" t="s">
        <v>164</v>
      </c>
    </row>
    <row r="124" spans="1:7" x14ac:dyDescent="0.2">
      <c r="A124" s="15" t="s">
        <v>294</v>
      </c>
      <c r="B124" s="35">
        <v>46233</v>
      </c>
      <c r="C124" s="15" t="s">
        <v>171</v>
      </c>
      <c r="D124" s="15" t="s">
        <v>176</v>
      </c>
      <c r="E124" s="36">
        <v>48366</v>
      </c>
      <c r="F124" s="37">
        <v>0.11</v>
      </c>
      <c r="G124" s="15" t="s">
        <v>164</v>
      </c>
    </row>
    <row r="125" spans="1:7" x14ac:dyDescent="0.2">
      <c r="A125" s="15" t="s">
        <v>295</v>
      </c>
      <c r="B125" s="35">
        <v>46155</v>
      </c>
      <c r="C125" s="15" t="s">
        <v>153</v>
      </c>
      <c r="D125" s="15" t="s">
        <v>162</v>
      </c>
      <c r="E125" s="36">
        <v>17979</v>
      </c>
      <c r="F125" s="37">
        <v>6.5000000000000002E-2</v>
      </c>
      <c r="G125" s="15" t="s">
        <v>184</v>
      </c>
    </row>
    <row r="126" spans="1:7" x14ac:dyDescent="0.2">
      <c r="A126" s="15" t="s">
        <v>296</v>
      </c>
      <c r="B126" s="35">
        <v>46251</v>
      </c>
      <c r="C126" s="15" t="s">
        <v>158</v>
      </c>
      <c r="D126" s="15" t="s">
        <v>159</v>
      </c>
      <c r="E126" s="36">
        <v>52734</v>
      </c>
      <c r="F126" s="37">
        <v>6.5000000000000002E-2</v>
      </c>
      <c r="G126" s="15" t="s">
        <v>155</v>
      </c>
    </row>
    <row r="127" spans="1:7" x14ac:dyDescent="0.2">
      <c r="A127" s="15" t="s">
        <v>297</v>
      </c>
      <c r="B127" s="35">
        <v>46121</v>
      </c>
      <c r="C127" s="15" t="s">
        <v>167</v>
      </c>
      <c r="D127" s="15" t="s">
        <v>159</v>
      </c>
      <c r="E127" s="36">
        <v>2803</v>
      </c>
      <c r="F127" s="37">
        <v>8.5000000000000006E-2</v>
      </c>
      <c r="G127" s="15" t="s">
        <v>155</v>
      </c>
    </row>
    <row r="128" spans="1:7" x14ac:dyDescent="0.2">
      <c r="A128" s="15" t="s">
        <v>298</v>
      </c>
      <c r="B128" s="35">
        <v>46158</v>
      </c>
      <c r="C128" s="15" t="s">
        <v>167</v>
      </c>
      <c r="D128" s="15" t="s">
        <v>162</v>
      </c>
      <c r="E128" s="36">
        <v>11770</v>
      </c>
      <c r="F128" s="37">
        <v>8.5000000000000006E-2</v>
      </c>
      <c r="G128" s="15" t="s">
        <v>155</v>
      </c>
    </row>
    <row r="129" spans="1:7" x14ac:dyDescent="0.2">
      <c r="A129" s="15" t="s">
        <v>299</v>
      </c>
      <c r="B129" s="35">
        <v>46199</v>
      </c>
      <c r="C129" s="15" t="s">
        <v>158</v>
      </c>
      <c r="D129" s="15" t="s">
        <v>162</v>
      </c>
      <c r="E129" s="36">
        <v>1221</v>
      </c>
      <c r="F129" s="37">
        <v>6.5000000000000002E-2</v>
      </c>
      <c r="G129" s="15" t="s">
        <v>155</v>
      </c>
    </row>
    <row r="130" spans="1:7" x14ac:dyDescent="0.2">
      <c r="A130" s="15" t="s">
        <v>300</v>
      </c>
      <c r="B130" s="35">
        <v>46201</v>
      </c>
      <c r="C130" s="15" t="s">
        <v>167</v>
      </c>
      <c r="D130" s="15" t="s">
        <v>162</v>
      </c>
      <c r="E130" s="36">
        <v>52944</v>
      </c>
      <c r="F130" s="37">
        <v>8.5000000000000006E-2</v>
      </c>
      <c r="G130" s="15" t="s">
        <v>184</v>
      </c>
    </row>
    <row r="131" spans="1:7" x14ac:dyDescent="0.2">
      <c r="A131" s="15" t="s">
        <v>301</v>
      </c>
      <c r="B131" s="35">
        <v>46175</v>
      </c>
      <c r="C131" s="15" t="s">
        <v>171</v>
      </c>
      <c r="D131" s="15" t="s">
        <v>159</v>
      </c>
      <c r="E131" s="36">
        <v>67791</v>
      </c>
      <c r="F131" s="37">
        <v>0.14000000000000001</v>
      </c>
      <c r="G131" s="15" t="s">
        <v>164</v>
      </c>
    </row>
    <row r="132" spans="1:7" x14ac:dyDescent="0.2">
      <c r="A132" s="15" t="s">
        <v>302</v>
      </c>
      <c r="B132" s="35">
        <v>46195</v>
      </c>
      <c r="C132" s="15" t="s">
        <v>167</v>
      </c>
      <c r="D132" s="15" t="s">
        <v>176</v>
      </c>
      <c r="E132" s="36">
        <v>63885</v>
      </c>
      <c r="F132" s="37">
        <v>0.02</v>
      </c>
      <c r="G132" s="15" t="s">
        <v>155</v>
      </c>
    </row>
    <row r="133" spans="1:7" x14ac:dyDescent="0.2">
      <c r="A133" s="15" t="s">
        <v>303</v>
      </c>
      <c r="B133" s="35">
        <v>46210</v>
      </c>
      <c r="C133" s="15" t="s">
        <v>167</v>
      </c>
      <c r="D133" s="15" t="s">
        <v>159</v>
      </c>
      <c r="E133" s="36">
        <v>97114</v>
      </c>
      <c r="F133" s="37">
        <v>0.11</v>
      </c>
      <c r="G133" s="15" t="s">
        <v>155</v>
      </c>
    </row>
    <row r="134" spans="1:7" x14ac:dyDescent="0.2">
      <c r="A134" s="15" t="s">
        <v>304</v>
      </c>
      <c r="B134" s="35">
        <v>46258</v>
      </c>
      <c r="C134" s="15" t="s">
        <v>158</v>
      </c>
      <c r="D134" s="15" t="s">
        <v>154</v>
      </c>
      <c r="E134" s="36">
        <v>10720</v>
      </c>
      <c r="F134" s="37">
        <v>0</v>
      </c>
      <c r="G134" s="15" t="s">
        <v>164</v>
      </c>
    </row>
    <row r="135" spans="1:7" x14ac:dyDescent="0.2">
      <c r="A135" s="15" t="s">
        <v>305</v>
      </c>
      <c r="B135" s="35">
        <v>46118</v>
      </c>
      <c r="C135" s="15" t="s">
        <v>153</v>
      </c>
      <c r="D135" s="15" t="s">
        <v>162</v>
      </c>
      <c r="E135" s="36">
        <v>71172</v>
      </c>
      <c r="F135" s="37">
        <v>0</v>
      </c>
      <c r="G135" s="15" t="s">
        <v>155</v>
      </c>
    </row>
    <row r="136" spans="1:7" x14ac:dyDescent="0.2">
      <c r="A136" s="15" t="s">
        <v>306</v>
      </c>
      <c r="B136" s="35">
        <v>46175</v>
      </c>
      <c r="C136" s="15" t="s">
        <v>171</v>
      </c>
      <c r="D136" s="15" t="s">
        <v>162</v>
      </c>
      <c r="E136" s="36">
        <v>92235</v>
      </c>
      <c r="F136" s="37">
        <v>4.4999999999999998E-2</v>
      </c>
      <c r="G136" s="15" t="s">
        <v>164</v>
      </c>
    </row>
    <row r="137" spans="1:7" x14ac:dyDescent="0.2">
      <c r="A137" s="15" t="s">
        <v>307</v>
      </c>
      <c r="B137" s="35">
        <v>46115</v>
      </c>
      <c r="C137" s="15" t="s">
        <v>171</v>
      </c>
      <c r="D137" s="15" t="s">
        <v>154</v>
      </c>
      <c r="E137" s="36">
        <v>23999</v>
      </c>
      <c r="F137" s="37">
        <v>0.11</v>
      </c>
      <c r="G137" s="15" t="s">
        <v>155</v>
      </c>
    </row>
    <row r="138" spans="1:7" x14ac:dyDescent="0.2">
      <c r="A138" s="15" t="s">
        <v>308</v>
      </c>
      <c r="B138" s="35">
        <v>46230</v>
      </c>
      <c r="C138" s="15" t="s">
        <v>153</v>
      </c>
      <c r="D138" s="15" t="s">
        <v>162</v>
      </c>
      <c r="E138" s="36">
        <v>29620</v>
      </c>
      <c r="F138" s="37">
        <v>0.11</v>
      </c>
      <c r="G138" s="15" t="s">
        <v>155</v>
      </c>
    </row>
    <row r="139" spans="1:7" x14ac:dyDescent="0.2">
      <c r="A139" s="15" t="s">
        <v>309</v>
      </c>
      <c r="B139" s="35">
        <v>46153</v>
      </c>
      <c r="C139" s="15" t="s">
        <v>153</v>
      </c>
      <c r="D139" s="15" t="s">
        <v>159</v>
      </c>
      <c r="E139" s="36">
        <v>15053</v>
      </c>
      <c r="F139" s="37">
        <v>0</v>
      </c>
      <c r="G139" s="15" t="s">
        <v>155</v>
      </c>
    </row>
    <row r="140" spans="1:7" x14ac:dyDescent="0.2">
      <c r="A140" s="15" t="s">
        <v>310</v>
      </c>
      <c r="B140" s="35">
        <v>46114</v>
      </c>
      <c r="C140" s="15" t="s">
        <v>153</v>
      </c>
      <c r="D140" s="15" t="s">
        <v>154</v>
      </c>
      <c r="E140" s="36">
        <v>72425</v>
      </c>
      <c r="F140" s="37">
        <v>0.02</v>
      </c>
      <c r="G140" s="15" t="s">
        <v>155</v>
      </c>
    </row>
    <row r="141" spans="1:7" x14ac:dyDescent="0.2">
      <c r="A141" s="15" t="s">
        <v>311</v>
      </c>
      <c r="B141" s="35">
        <v>46177</v>
      </c>
      <c r="C141" s="15" t="s">
        <v>167</v>
      </c>
      <c r="D141" s="15" t="s">
        <v>154</v>
      </c>
      <c r="E141" s="36">
        <v>6317</v>
      </c>
      <c r="F141" s="37">
        <v>0.02</v>
      </c>
      <c r="G141" s="15" t="s">
        <v>155</v>
      </c>
    </row>
    <row r="142" spans="1:7" x14ac:dyDescent="0.2">
      <c r="A142" s="15" t="s">
        <v>312</v>
      </c>
      <c r="B142" s="35">
        <v>46114</v>
      </c>
      <c r="C142" s="15" t="s">
        <v>158</v>
      </c>
      <c r="D142" s="15" t="s">
        <v>176</v>
      </c>
      <c r="E142" s="36">
        <v>87426</v>
      </c>
      <c r="F142" s="37">
        <v>0</v>
      </c>
      <c r="G142" s="15" t="s">
        <v>155</v>
      </c>
    </row>
    <row r="143" spans="1:7" x14ac:dyDescent="0.2">
      <c r="A143" s="15" t="s">
        <v>313</v>
      </c>
      <c r="B143" s="35">
        <v>46196</v>
      </c>
      <c r="C143" s="15" t="s">
        <v>158</v>
      </c>
      <c r="D143" s="15" t="s">
        <v>176</v>
      </c>
      <c r="E143" s="36">
        <v>63871</v>
      </c>
      <c r="F143" s="37">
        <v>0.14000000000000001</v>
      </c>
      <c r="G143" s="15" t="s">
        <v>155</v>
      </c>
    </row>
    <row r="144" spans="1:7" x14ac:dyDescent="0.2">
      <c r="A144" s="15" t="s">
        <v>314</v>
      </c>
      <c r="B144" s="35">
        <v>46183</v>
      </c>
      <c r="C144" s="15" t="s">
        <v>158</v>
      </c>
      <c r="D144" s="15" t="s">
        <v>159</v>
      </c>
      <c r="E144" s="36">
        <v>31993</v>
      </c>
      <c r="F144" s="37">
        <v>0.11</v>
      </c>
      <c r="G144" s="15" t="s">
        <v>177</v>
      </c>
    </row>
    <row r="145" spans="1:7" x14ac:dyDescent="0.2">
      <c r="A145" s="15" t="s">
        <v>315</v>
      </c>
      <c r="B145" s="35">
        <v>46189</v>
      </c>
      <c r="C145" s="15" t="s">
        <v>167</v>
      </c>
      <c r="D145" s="15" t="s">
        <v>159</v>
      </c>
      <c r="E145" s="36">
        <v>77864</v>
      </c>
      <c r="F145" s="37">
        <v>6.5000000000000002E-2</v>
      </c>
      <c r="G145" s="15" t="s">
        <v>155</v>
      </c>
    </row>
    <row r="146" spans="1:7" x14ac:dyDescent="0.2">
      <c r="A146" s="15" t="s">
        <v>316</v>
      </c>
      <c r="B146" s="35">
        <v>46193</v>
      </c>
      <c r="C146" s="15" t="s">
        <v>171</v>
      </c>
      <c r="D146" s="15" t="s">
        <v>176</v>
      </c>
      <c r="E146" s="36">
        <v>88091</v>
      </c>
      <c r="F146" s="37">
        <v>8.5000000000000006E-2</v>
      </c>
      <c r="G146" s="15" t="s">
        <v>155</v>
      </c>
    </row>
    <row r="147" spans="1:7" x14ac:dyDescent="0.2">
      <c r="A147" s="15" t="s">
        <v>317</v>
      </c>
      <c r="B147" s="35">
        <v>46165</v>
      </c>
      <c r="C147" s="15" t="s">
        <v>167</v>
      </c>
      <c r="D147" s="15" t="s">
        <v>154</v>
      </c>
      <c r="E147" s="36">
        <v>74070</v>
      </c>
      <c r="F147" s="37">
        <v>0.11</v>
      </c>
      <c r="G147" s="15" t="s">
        <v>177</v>
      </c>
    </row>
    <row r="148" spans="1:7" x14ac:dyDescent="0.2">
      <c r="A148" s="15" t="s">
        <v>318</v>
      </c>
      <c r="B148" s="35">
        <v>46216</v>
      </c>
      <c r="C148" s="15" t="s">
        <v>167</v>
      </c>
      <c r="D148" s="15" t="s">
        <v>154</v>
      </c>
      <c r="E148" s="36">
        <v>42171</v>
      </c>
      <c r="F148" s="37">
        <v>0.02</v>
      </c>
      <c r="G148" s="15" t="s">
        <v>184</v>
      </c>
    </row>
    <row r="149" spans="1:7" x14ac:dyDescent="0.2">
      <c r="A149" s="15" t="s">
        <v>319</v>
      </c>
      <c r="B149" s="35">
        <v>46171</v>
      </c>
      <c r="C149" s="15" t="s">
        <v>158</v>
      </c>
      <c r="D149" s="15" t="s">
        <v>154</v>
      </c>
      <c r="E149" s="36">
        <v>18945</v>
      </c>
      <c r="F149" s="37">
        <v>0.11</v>
      </c>
      <c r="G149" s="15" t="s">
        <v>155</v>
      </c>
    </row>
    <row r="150" spans="1:7" x14ac:dyDescent="0.2">
      <c r="A150" s="15" t="s">
        <v>320</v>
      </c>
      <c r="B150" s="35">
        <v>46166</v>
      </c>
      <c r="C150" s="15" t="s">
        <v>153</v>
      </c>
      <c r="D150" s="15" t="s">
        <v>154</v>
      </c>
      <c r="E150" s="36">
        <v>1788</v>
      </c>
      <c r="F150" s="37">
        <v>8.5000000000000006E-2</v>
      </c>
      <c r="G150" s="15" t="s">
        <v>155</v>
      </c>
    </row>
    <row r="151" spans="1:7" x14ac:dyDescent="0.2">
      <c r="A151" s="15" t="s">
        <v>321</v>
      </c>
      <c r="B151" s="35">
        <v>46209</v>
      </c>
      <c r="C151" s="15" t="s">
        <v>153</v>
      </c>
      <c r="D151" s="15" t="s">
        <v>154</v>
      </c>
      <c r="E151" s="36">
        <v>37145</v>
      </c>
      <c r="F151" s="37">
        <v>0.14000000000000001</v>
      </c>
      <c r="G151" s="15" t="s">
        <v>177</v>
      </c>
    </row>
    <row r="152" spans="1:7" x14ac:dyDescent="0.2">
      <c r="A152" s="15" t="s">
        <v>322</v>
      </c>
      <c r="B152" s="35">
        <v>46175</v>
      </c>
      <c r="C152" s="15" t="s">
        <v>167</v>
      </c>
      <c r="D152" s="15" t="s">
        <v>154</v>
      </c>
      <c r="E152" s="36">
        <v>77416</v>
      </c>
      <c r="F152" s="37">
        <v>0</v>
      </c>
      <c r="G152" s="15" t="s">
        <v>164</v>
      </c>
    </row>
    <row r="153" spans="1:7" x14ac:dyDescent="0.2">
      <c r="A153" s="15" t="s">
        <v>323</v>
      </c>
      <c r="B153" s="35">
        <v>46163</v>
      </c>
      <c r="C153" s="15" t="s">
        <v>158</v>
      </c>
      <c r="D153" s="15" t="s">
        <v>159</v>
      </c>
      <c r="E153" s="36">
        <v>68064</v>
      </c>
      <c r="F153" s="37">
        <v>0.11</v>
      </c>
      <c r="G153" s="15" t="s">
        <v>155</v>
      </c>
    </row>
    <row r="154" spans="1:7" x14ac:dyDescent="0.2">
      <c r="A154" s="15" t="s">
        <v>324</v>
      </c>
      <c r="B154" s="35">
        <v>46226</v>
      </c>
      <c r="C154" s="15" t="s">
        <v>171</v>
      </c>
      <c r="D154" s="15" t="s">
        <v>159</v>
      </c>
      <c r="E154" s="36">
        <v>67063</v>
      </c>
      <c r="F154" s="37">
        <v>0.11</v>
      </c>
      <c r="G154" s="15" t="s">
        <v>155</v>
      </c>
    </row>
    <row r="155" spans="1:7" x14ac:dyDescent="0.2">
      <c r="A155" s="15" t="s">
        <v>325</v>
      </c>
      <c r="B155" s="35">
        <v>46191</v>
      </c>
      <c r="C155" s="15" t="s">
        <v>153</v>
      </c>
      <c r="D155" s="15" t="s">
        <v>154</v>
      </c>
      <c r="E155" s="36">
        <v>89449</v>
      </c>
      <c r="F155" s="37">
        <v>8.5000000000000006E-2</v>
      </c>
      <c r="G155" s="15" t="s">
        <v>155</v>
      </c>
    </row>
    <row r="156" spans="1:7" x14ac:dyDescent="0.2">
      <c r="A156" s="15" t="s">
        <v>326</v>
      </c>
      <c r="B156" s="35">
        <v>46218</v>
      </c>
      <c r="C156" s="15" t="s">
        <v>167</v>
      </c>
      <c r="D156" s="15" t="s">
        <v>154</v>
      </c>
      <c r="E156" s="36">
        <v>57620</v>
      </c>
      <c r="F156" s="37">
        <v>0.14000000000000001</v>
      </c>
      <c r="G156" s="15" t="s">
        <v>164</v>
      </c>
    </row>
    <row r="157" spans="1:7" x14ac:dyDescent="0.2">
      <c r="A157" s="15" t="s">
        <v>327</v>
      </c>
      <c r="B157" s="35">
        <v>46242</v>
      </c>
      <c r="C157" s="15" t="s">
        <v>158</v>
      </c>
      <c r="D157" s="15" t="s">
        <v>154</v>
      </c>
      <c r="E157" s="36">
        <v>80300</v>
      </c>
      <c r="F157" s="37">
        <v>0.14000000000000001</v>
      </c>
      <c r="G157" s="15" t="s">
        <v>155</v>
      </c>
    </row>
    <row r="158" spans="1:7" x14ac:dyDescent="0.2">
      <c r="A158" s="15" t="s">
        <v>328</v>
      </c>
      <c r="B158" s="35">
        <v>46169</v>
      </c>
      <c r="C158" s="15" t="s">
        <v>167</v>
      </c>
      <c r="D158" s="15" t="s">
        <v>159</v>
      </c>
      <c r="E158" s="36">
        <v>83828</v>
      </c>
      <c r="F158" s="37">
        <v>6.5000000000000002E-2</v>
      </c>
      <c r="G158" s="15" t="s">
        <v>164</v>
      </c>
    </row>
    <row r="159" spans="1:7" x14ac:dyDescent="0.2">
      <c r="A159" s="15" t="s">
        <v>329</v>
      </c>
      <c r="B159" s="35">
        <v>46206</v>
      </c>
      <c r="C159" s="15" t="s">
        <v>171</v>
      </c>
      <c r="D159" s="15" t="s">
        <v>162</v>
      </c>
      <c r="E159" s="36">
        <v>16663</v>
      </c>
      <c r="F159" s="37">
        <v>8.5000000000000006E-2</v>
      </c>
      <c r="G159" s="15" t="s">
        <v>155</v>
      </c>
    </row>
    <row r="160" spans="1:7" x14ac:dyDescent="0.2">
      <c r="A160" s="15" t="s">
        <v>330</v>
      </c>
      <c r="B160" s="35">
        <v>46204</v>
      </c>
      <c r="C160" s="15" t="s">
        <v>171</v>
      </c>
      <c r="D160" s="15" t="s">
        <v>176</v>
      </c>
      <c r="E160" s="36">
        <v>63794</v>
      </c>
      <c r="F160" s="37">
        <v>0</v>
      </c>
      <c r="G160" s="15" t="s">
        <v>155</v>
      </c>
    </row>
    <row r="161" spans="1:7" x14ac:dyDescent="0.2">
      <c r="A161" s="15" t="s">
        <v>331</v>
      </c>
      <c r="B161" s="35">
        <v>46157</v>
      </c>
      <c r="C161" s="15" t="s">
        <v>158</v>
      </c>
      <c r="D161" s="15" t="s">
        <v>159</v>
      </c>
      <c r="E161" s="36">
        <v>26764</v>
      </c>
      <c r="F161" s="37">
        <v>6.5000000000000002E-2</v>
      </c>
      <c r="G161" s="15" t="s">
        <v>177</v>
      </c>
    </row>
    <row r="162" spans="1:7" x14ac:dyDescent="0.2">
      <c r="A162" s="15" t="s">
        <v>332</v>
      </c>
      <c r="B162" s="35">
        <v>46153</v>
      </c>
      <c r="C162" s="15" t="s">
        <v>158</v>
      </c>
      <c r="D162" s="15" t="s">
        <v>162</v>
      </c>
      <c r="E162" s="36">
        <v>55443</v>
      </c>
      <c r="F162" s="37">
        <v>4.4999999999999998E-2</v>
      </c>
      <c r="G162" s="15" t="s">
        <v>155</v>
      </c>
    </row>
    <row r="163" spans="1:7" x14ac:dyDescent="0.2">
      <c r="A163" s="15" t="s">
        <v>333</v>
      </c>
      <c r="B163" s="35">
        <v>46134</v>
      </c>
      <c r="C163" s="15" t="s">
        <v>171</v>
      </c>
      <c r="D163" s="15" t="s">
        <v>176</v>
      </c>
      <c r="E163" s="36">
        <v>68624</v>
      </c>
      <c r="F163" s="37">
        <v>0.02</v>
      </c>
      <c r="G163" s="15" t="s">
        <v>155</v>
      </c>
    </row>
    <row r="164" spans="1:7" x14ac:dyDescent="0.2">
      <c r="A164" s="15" t="s">
        <v>334</v>
      </c>
      <c r="B164" s="35">
        <v>46230</v>
      </c>
      <c r="C164" s="15" t="s">
        <v>153</v>
      </c>
      <c r="D164" s="15" t="s">
        <v>176</v>
      </c>
      <c r="E164" s="36">
        <v>16243</v>
      </c>
      <c r="F164" s="37">
        <v>6.5000000000000002E-2</v>
      </c>
      <c r="G164" s="15" t="s">
        <v>155</v>
      </c>
    </row>
    <row r="165" spans="1:7" x14ac:dyDescent="0.2">
      <c r="A165" s="15" t="s">
        <v>335</v>
      </c>
      <c r="B165" s="35">
        <v>46192</v>
      </c>
      <c r="C165" s="15" t="s">
        <v>171</v>
      </c>
      <c r="D165" s="15" t="s">
        <v>176</v>
      </c>
      <c r="E165" s="36">
        <v>69793</v>
      </c>
      <c r="F165" s="37">
        <v>0</v>
      </c>
      <c r="G165" s="15" t="s">
        <v>164</v>
      </c>
    </row>
    <row r="166" spans="1:7" x14ac:dyDescent="0.2">
      <c r="A166" s="15" t="s">
        <v>336</v>
      </c>
      <c r="B166" s="35">
        <v>46151</v>
      </c>
      <c r="C166" s="15" t="s">
        <v>158</v>
      </c>
      <c r="D166" s="15" t="s">
        <v>159</v>
      </c>
      <c r="E166" s="36">
        <v>80622</v>
      </c>
      <c r="F166" s="37">
        <v>0</v>
      </c>
      <c r="G166" s="15" t="s">
        <v>164</v>
      </c>
    </row>
    <row r="167" spans="1:7" x14ac:dyDescent="0.2">
      <c r="A167" s="15" t="s">
        <v>337</v>
      </c>
      <c r="B167" s="35">
        <v>46161</v>
      </c>
      <c r="C167" s="15" t="s">
        <v>171</v>
      </c>
      <c r="D167" s="15" t="s">
        <v>159</v>
      </c>
      <c r="E167" s="36">
        <v>59083</v>
      </c>
      <c r="F167" s="37">
        <v>4.4999999999999998E-2</v>
      </c>
      <c r="G167" s="15" t="s">
        <v>155</v>
      </c>
    </row>
    <row r="168" spans="1:7" x14ac:dyDescent="0.2">
      <c r="A168" s="15" t="s">
        <v>338</v>
      </c>
      <c r="B168" s="35">
        <v>46144</v>
      </c>
      <c r="C168" s="15" t="s">
        <v>167</v>
      </c>
      <c r="D168" s="15" t="s">
        <v>162</v>
      </c>
      <c r="E168" s="36">
        <v>34534</v>
      </c>
      <c r="F168" s="37">
        <v>0.02</v>
      </c>
      <c r="G168" s="15" t="s">
        <v>155</v>
      </c>
    </row>
    <row r="169" spans="1:7" x14ac:dyDescent="0.2">
      <c r="A169" s="15" t="s">
        <v>339</v>
      </c>
      <c r="B169" s="35">
        <v>46138</v>
      </c>
      <c r="C169" s="15" t="s">
        <v>171</v>
      </c>
      <c r="D169" s="15" t="s">
        <v>159</v>
      </c>
      <c r="E169" s="36">
        <v>10881</v>
      </c>
      <c r="F169" s="37">
        <v>0.14000000000000001</v>
      </c>
      <c r="G169" s="15" t="s">
        <v>177</v>
      </c>
    </row>
    <row r="170" spans="1:7" x14ac:dyDescent="0.2">
      <c r="A170" s="15" t="s">
        <v>340</v>
      </c>
      <c r="B170" s="35">
        <v>46136</v>
      </c>
      <c r="C170" s="15" t="s">
        <v>167</v>
      </c>
      <c r="D170" s="15" t="s">
        <v>159</v>
      </c>
      <c r="E170" s="36">
        <v>49108</v>
      </c>
      <c r="F170" s="37">
        <v>6.5000000000000002E-2</v>
      </c>
      <c r="G170" s="15" t="s">
        <v>184</v>
      </c>
    </row>
    <row r="171" spans="1:7" x14ac:dyDescent="0.2">
      <c r="A171" s="15" t="s">
        <v>341</v>
      </c>
      <c r="B171" s="35">
        <v>46129</v>
      </c>
      <c r="C171" s="15" t="s">
        <v>158</v>
      </c>
      <c r="D171" s="15" t="s">
        <v>176</v>
      </c>
      <c r="E171" s="36">
        <v>77871</v>
      </c>
      <c r="F171" s="37">
        <v>6.5000000000000002E-2</v>
      </c>
      <c r="G171" s="15" t="s">
        <v>155</v>
      </c>
    </row>
    <row r="172" spans="1:7" x14ac:dyDescent="0.2">
      <c r="A172" s="15" t="s">
        <v>342</v>
      </c>
      <c r="B172" s="35">
        <v>46138</v>
      </c>
      <c r="C172" s="15" t="s">
        <v>171</v>
      </c>
      <c r="D172" s="15" t="s">
        <v>159</v>
      </c>
      <c r="E172" s="36">
        <v>19561</v>
      </c>
      <c r="F172" s="37">
        <v>0.02</v>
      </c>
      <c r="G172" s="15" t="s">
        <v>155</v>
      </c>
    </row>
    <row r="173" spans="1:7" x14ac:dyDescent="0.2">
      <c r="A173" s="15" t="s">
        <v>343</v>
      </c>
      <c r="B173" s="35">
        <v>46130</v>
      </c>
      <c r="C173" s="15" t="s">
        <v>167</v>
      </c>
      <c r="D173" s="15" t="s">
        <v>162</v>
      </c>
      <c r="E173" s="36">
        <v>16719</v>
      </c>
      <c r="F173" s="37">
        <v>6.5000000000000002E-2</v>
      </c>
      <c r="G173" s="15" t="s">
        <v>155</v>
      </c>
    </row>
    <row r="174" spans="1:7" x14ac:dyDescent="0.2">
      <c r="A174" s="15" t="s">
        <v>344</v>
      </c>
      <c r="B174" s="35">
        <v>46156</v>
      </c>
      <c r="C174" s="15" t="s">
        <v>167</v>
      </c>
      <c r="D174" s="15" t="s">
        <v>162</v>
      </c>
      <c r="E174" s="36">
        <v>91045</v>
      </c>
      <c r="F174" s="37">
        <v>8.5000000000000006E-2</v>
      </c>
      <c r="G174" s="15" t="s">
        <v>164</v>
      </c>
    </row>
    <row r="175" spans="1:7" x14ac:dyDescent="0.2">
      <c r="A175" s="15" t="s">
        <v>345</v>
      </c>
      <c r="B175" s="35">
        <v>46191</v>
      </c>
      <c r="C175" s="15" t="s">
        <v>167</v>
      </c>
      <c r="D175" s="15" t="s">
        <v>159</v>
      </c>
      <c r="E175" s="36">
        <v>90933</v>
      </c>
      <c r="F175" s="37">
        <v>0.14000000000000001</v>
      </c>
      <c r="G175" s="15" t="s">
        <v>155</v>
      </c>
    </row>
    <row r="176" spans="1:7" x14ac:dyDescent="0.2">
      <c r="A176" s="15" t="s">
        <v>346</v>
      </c>
      <c r="B176" s="35">
        <v>46170</v>
      </c>
      <c r="C176" s="15" t="s">
        <v>158</v>
      </c>
      <c r="D176" s="15" t="s">
        <v>176</v>
      </c>
      <c r="E176" s="36">
        <v>68407</v>
      </c>
      <c r="F176" s="37">
        <v>6.5000000000000002E-2</v>
      </c>
      <c r="G176" s="15" t="s">
        <v>184</v>
      </c>
    </row>
    <row r="177" spans="1:7" x14ac:dyDescent="0.2">
      <c r="A177" s="15" t="s">
        <v>347</v>
      </c>
      <c r="B177" s="35">
        <v>46134</v>
      </c>
      <c r="C177" s="15" t="s">
        <v>153</v>
      </c>
      <c r="D177" s="15" t="s">
        <v>154</v>
      </c>
      <c r="E177" s="36">
        <v>36291</v>
      </c>
      <c r="F177" s="37">
        <v>4.4999999999999998E-2</v>
      </c>
      <c r="G177" s="15" t="s">
        <v>155</v>
      </c>
    </row>
    <row r="178" spans="1:7" x14ac:dyDescent="0.2">
      <c r="A178" s="15" t="s">
        <v>348</v>
      </c>
      <c r="B178" s="35">
        <v>46261</v>
      </c>
      <c r="C178" s="15" t="s">
        <v>158</v>
      </c>
      <c r="D178" s="15" t="s">
        <v>162</v>
      </c>
      <c r="E178" s="36">
        <v>59426</v>
      </c>
      <c r="F178" s="37">
        <v>8.5000000000000006E-2</v>
      </c>
      <c r="G178" s="15" t="s">
        <v>155</v>
      </c>
    </row>
    <row r="179" spans="1:7" x14ac:dyDescent="0.2">
      <c r="A179" s="15" t="s">
        <v>349</v>
      </c>
      <c r="B179" s="35">
        <v>46121</v>
      </c>
      <c r="C179" s="15" t="s">
        <v>153</v>
      </c>
      <c r="D179" s="15" t="s">
        <v>154</v>
      </c>
      <c r="E179" s="36">
        <v>48450</v>
      </c>
      <c r="F179" s="37">
        <v>8.5000000000000006E-2</v>
      </c>
      <c r="G179" s="15" t="s">
        <v>155</v>
      </c>
    </row>
    <row r="180" spans="1:7" x14ac:dyDescent="0.2">
      <c r="A180" s="15" t="s">
        <v>350</v>
      </c>
      <c r="B180" s="35">
        <v>46218</v>
      </c>
      <c r="C180" s="15" t="s">
        <v>153</v>
      </c>
      <c r="D180" s="15" t="s">
        <v>154</v>
      </c>
      <c r="E180" s="36">
        <v>45972</v>
      </c>
      <c r="F180" s="37">
        <v>0.02</v>
      </c>
      <c r="G180" s="15" t="s">
        <v>164</v>
      </c>
    </row>
    <row r="181" spans="1:7" x14ac:dyDescent="0.2">
      <c r="A181" s="15" t="s">
        <v>351</v>
      </c>
      <c r="B181" s="35">
        <v>46226</v>
      </c>
      <c r="C181" s="15" t="s">
        <v>167</v>
      </c>
      <c r="D181" s="15" t="s">
        <v>154</v>
      </c>
      <c r="E181" s="36">
        <v>93866</v>
      </c>
      <c r="F181" s="37">
        <v>4.4999999999999998E-2</v>
      </c>
      <c r="G181" s="15" t="s">
        <v>155</v>
      </c>
    </row>
    <row r="182" spans="1:7" x14ac:dyDescent="0.2">
      <c r="A182" s="15" t="s">
        <v>352</v>
      </c>
      <c r="B182" s="35">
        <v>46176</v>
      </c>
      <c r="C182" s="15" t="s">
        <v>167</v>
      </c>
      <c r="D182" s="15" t="s">
        <v>162</v>
      </c>
      <c r="E182" s="36">
        <v>18231</v>
      </c>
      <c r="F182" s="37">
        <v>8.5000000000000006E-2</v>
      </c>
      <c r="G182" s="15" t="s">
        <v>155</v>
      </c>
    </row>
    <row r="183" spans="1:7" x14ac:dyDescent="0.2">
      <c r="A183" s="15" t="s">
        <v>353</v>
      </c>
      <c r="B183" s="35">
        <v>46194</v>
      </c>
      <c r="C183" s="15" t="s">
        <v>153</v>
      </c>
      <c r="D183" s="15" t="s">
        <v>176</v>
      </c>
      <c r="E183" s="36">
        <v>60840</v>
      </c>
      <c r="F183" s="37">
        <v>0.11</v>
      </c>
      <c r="G183" s="15" t="s">
        <v>155</v>
      </c>
    </row>
    <row r="184" spans="1:7" x14ac:dyDescent="0.2">
      <c r="A184" s="15" t="s">
        <v>354</v>
      </c>
      <c r="B184" s="35">
        <v>46221</v>
      </c>
      <c r="C184" s="15" t="s">
        <v>153</v>
      </c>
      <c r="D184" s="15" t="s">
        <v>159</v>
      </c>
      <c r="E184" s="36">
        <v>93740</v>
      </c>
      <c r="F184" s="37">
        <v>0.11</v>
      </c>
      <c r="G184" s="15" t="s">
        <v>155</v>
      </c>
    </row>
    <row r="185" spans="1:7" x14ac:dyDescent="0.2">
      <c r="A185" s="15" t="s">
        <v>355</v>
      </c>
      <c r="B185" s="35">
        <v>46208</v>
      </c>
      <c r="C185" s="15" t="s">
        <v>171</v>
      </c>
      <c r="D185" s="15" t="s">
        <v>159</v>
      </c>
      <c r="E185" s="36">
        <v>23754</v>
      </c>
      <c r="F185" s="37">
        <v>0.14000000000000001</v>
      </c>
      <c r="G185" s="15" t="s">
        <v>164</v>
      </c>
    </row>
    <row r="186" spans="1:7" x14ac:dyDescent="0.2">
      <c r="A186" s="15" t="s">
        <v>356</v>
      </c>
      <c r="B186" s="35">
        <v>46262</v>
      </c>
      <c r="C186" s="15" t="s">
        <v>158</v>
      </c>
      <c r="D186" s="15" t="s">
        <v>159</v>
      </c>
      <c r="E186" s="36">
        <v>44320</v>
      </c>
      <c r="F186" s="37">
        <v>4.4999999999999998E-2</v>
      </c>
      <c r="G186" s="15" t="s">
        <v>155</v>
      </c>
    </row>
    <row r="187" spans="1:7" x14ac:dyDescent="0.2">
      <c r="A187" s="15" t="s">
        <v>357</v>
      </c>
      <c r="B187" s="35">
        <v>46204</v>
      </c>
      <c r="C187" s="15" t="s">
        <v>158</v>
      </c>
      <c r="D187" s="15" t="s">
        <v>154</v>
      </c>
      <c r="E187" s="36">
        <v>2817</v>
      </c>
      <c r="F187" s="37">
        <v>0.14000000000000001</v>
      </c>
      <c r="G187" s="15" t="s">
        <v>155</v>
      </c>
    </row>
    <row r="188" spans="1:7" x14ac:dyDescent="0.2">
      <c r="A188" s="15" t="s">
        <v>358</v>
      </c>
      <c r="B188" s="35">
        <v>46235</v>
      </c>
      <c r="C188" s="15" t="s">
        <v>167</v>
      </c>
      <c r="D188" s="15" t="s">
        <v>159</v>
      </c>
      <c r="E188" s="36">
        <v>13366</v>
      </c>
      <c r="F188" s="37">
        <v>6.5000000000000002E-2</v>
      </c>
      <c r="G188" s="15" t="s">
        <v>155</v>
      </c>
    </row>
    <row r="189" spans="1:7" x14ac:dyDescent="0.2">
      <c r="A189" s="15" t="s">
        <v>359</v>
      </c>
      <c r="B189" s="35">
        <v>46118</v>
      </c>
      <c r="C189" s="15" t="s">
        <v>171</v>
      </c>
      <c r="D189" s="15" t="s">
        <v>154</v>
      </c>
      <c r="E189" s="36">
        <v>45853</v>
      </c>
      <c r="F189" s="37">
        <v>8.5000000000000006E-2</v>
      </c>
      <c r="G189" s="15" t="s">
        <v>177</v>
      </c>
    </row>
    <row r="190" spans="1:7" x14ac:dyDescent="0.2">
      <c r="A190" s="15" t="s">
        <v>360</v>
      </c>
      <c r="B190" s="35">
        <v>46126</v>
      </c>
      <c r="C190" s="15" t="s">
        <v>167</v>
      </c>
      <c r="D190" s="15" t="s">
        <v>154</v>
      </c>
      <c r="E190" s="36">
        <v>9621</v>
      </c>
      <c r="F190" s="37">
        <v>6.5000000000000002E-2</v>
      </c>
      <c r="G190" s="15" t="s">
        <v>155</v>
      </c>
    </row>
    <row r="191" spans="1:7" x14ac:dyDescent="0.2">
      <c r="A191" s="15" t="s">
        <v>361</v>
      </c>
      <c r="B191" s="35">
        <v>46189</v>
      </c>
      <c r="C191" s="15" t="s">
        <v>171</v>
      </c>
      <c r="D191" s="15" t="s">
        <v>154</v>
      </c>
      <c r="E191" s="36">
        <v>7087</v>
      </c>
      <c r="F191" s="37">
        <v>0</v>
      </c>
      <c r="G191" s="15" t="s">
        <v>155</v>
      </c>
    </row>
    <row r="192" spans="1:7" x14ac:dyDescent="0.2">
      <c r="A192" s="15" t="s">
        <v>362</v>
      </c>
      <c r="B192" s="35">
        <v>46127</v>
      </c>
      <c r="C192" s="15" t="s">
        <v>167</v>
      </c>
      <c r="D192" s="15" t="s">
        <v>162</v>
      </c>
      <c r="E192" s="36">
        <v>96820</v>
      </c>
      <c r="F192" s="37">
        <v>0</v>
      </c>
      <c r="G192" s="15" t="s">
        <v>164</v>
      </c>
    </row>
    <row r="193" spans="1:7" x14ac:dyDescent="0.2">
      <c r="A193" s="15" t="s">
        <v>363</v>
      </c>
      <c r="B193" s="35">
        <v>46251</v>
      </c>
      <c r="C193" s="15" t="s">
        <v>158</v>
      </c>
      <c r="D193" s="15" t="s">
        <v>176</v>
      </c>
      <c r="E193" s="36">
        <v>40995</v>
      </c>
      <c r="F193" s="37">
        <v>4.4999999999999998E-2</v>
      </c>
      <c r="G193" s="15" t="s">
        <v>155</v>
      </c>
    </row>
    <row r="194" spans="1:7" x14ac:dyDescent="0.2">
      <c r="A194" s="15" t="s">
        <v>364</v>
      </c>
      <c r="B194" s="35">
        <v>46220</v>
      </c>
      <c r="C194" s="15" t="s">
        <v>167</v>
      </c>
      <c r="D194" s="15" t="s">
        <v>176</v>
      </c>
      <c r="E194" s="36">
        <v>75316</v>
      </c>
      <c r="F194" s="37">
        <v>0</v>
      </c>
      <c r="G194" s="15" t="s">
        <v>164</v>
      </c>
    </row>
    <row r="195" spans="1:7" x14ac:dyDescent="0.2">
      <c r="A195" s="15" t="s">
        <v>365</v>
      </c>
      <c r="B195" s="35">
        <v>46131</v>
      </c>
      <c r="C195" s="15" t="s">
        <v>171</v>
      </c>
      <c r="D195" s="15" t="s">
        <v>159</v>
      </c>
      <c r="E195" s="36">
        <v>41730</v>
      </c>
      <c r="F195" s="37">
        <v>0</v>
      </c>
      <c r="G195" s="15" t="s">
        <v>155</v>
      </c>
    </row>
    <row r="196" spans="1:7" x14ac:dyDescent="0.2">
      <c r="A196" s="15" t="s">
        <v>366</v>
      </c>
      <c r="B196" s="35">
        <v>46256</v>
      </c>
      <c r="C196" s="15" t="s">
        <v>153</v>
      </c>
      <c r="D196" s="15" t="s">
        <v>154</v>
      </c>
      <c r="E196" s="36">
        <v>89456</v>
      </c>
      <c r="F196" s="37">
        <v>6.5000000000000002E-2</v>
      </c>
      <c r="G196" s="15" t="s">
        <v>177</v>
      </c>
    </row>
    <row r="197" spans="1:7" x14ac:dyDescent="0.2">
      <c r="A197" s="15" t="s">
        <v>367</v>
      </c>
      <c r="B197" s="35">
        <v>46255</v>
      </c>
      <c r="C197" s="15" t="s">
        <v>153</v>
      </c>
      <c r="D197" s="15" t="s">
        <v>159</v>
      </c>
      <c r="E197" s="36">
        <v>4154</v>
      </c>
      <c r="F197" s="37">
        <v>0.02</v>
      </c>
      <c r="G197" s="15" t="s">
        <v>177</v>
      </c>
    </row>
    <row r="198" spans="1:7" x14ac:dyDescent="0.2">
      <c r="A198" s="15" t="s">
        <v>368</v>
      </c>
      <c r="B198" s="35">
        <v>46219</v>
      </c>
      <c r="C198" s="15" t="s">
        <v>158</v>
      </c>
      <c r="D198" s="15" t="s">
        <v>154</v>
      </c>
      <c r="E198" s="36">
        <v>4133</v>
      </c>
      <c r="F198" s="37">
        <v>0.11</v>
      </c>
      <c r="G198" s="15" t="s">
        <v>177</v>
      </c>
    </row>
    <row r="199" spans="1:7" x14ac:dyDescent="0.2">
      <c r="A199" s="15" t="s">
        <v>369</v>
      </c>
      <c r="B199" s="35">
        <v>46250</v>
      </c>
      <c r="C199" s="15" t="s">
        <v>167</v>
      </c>
      <c r="D199" s="15" t="s">
        <v>159</v>
      </c>
      <c r="E199" s="36">
        <v>59734</v>
      </c>
      <c r="F199" s="37">
        <v>0.11</v>
      </c>
      <c r="G199" s="15" t="s">
        <v>155</v>
      </c>
    </row>
    <row r="200" spans="1:7" x14ac:dyDescent="0.2">
      <c r="A200" s="15" t="s">
        <v>370</v>
      </c>
      <c r="B200" s="35">
        <v>46229</v>
      </c>
      <c r="C200" s="15" t="s">
        <v>171</v>
      </c>
      <c r="D200" s="15" t="s">
        <v>159</v>
      </c>
      <c r="E200" s="36">
        <v>55793</v>
      </c>
      <c r="F200" s="37">
        <v>0.14000000000000001</v>
      </c>
      <c r="G200" s="15" t="s">
        <v>155</v>
      </c>
    </row>
    <row r="201" spans="1:7" x14ac:dyDescent="0.2">
      <c r="A201" s="15" t="s">
        <v>371</v>
      </c>
      <c r="B201" s="35">
        <v>46150</v>
      </c>
      <c r="C201" s="15" t="s">
        <v>171</v>
      </c>
      <c r="D201" s="15" t="s">
        <v>154</v>
      </c>
      <c r="E201" s="36">
        <v>38790</v>
      </c>
      <c r="F201" s="37">
        <v>0.14000000000000001</v>
      </c>
      <c r="G201" s="15" t="s">
        <v>164</v>
      </c>
    </row>
    <row r="202" spans="1:7" x14ac:dyDescent="0.2">
      <c r="A202" s="15" t="s">
        <v>372</v>
      </c>
      <c r="B202" s="35">
        <v>46145</v>
      </c>
      <c r="C202" s="15" t="s">
        <v>158</v>
      </c>
      <c r="D202" s="15" t="s">
        <v>154</v>
      </c>
      <c r="E202" s="36">
        <v>79502</v>
      </c>
      <c r="F202" s="37">
        <v>0.11</v>
      </c>
      <c r="G202" s="15" t="s">
        <v>155</v>
      </c>
    </row>
    <row r="203" spans="1:7" x14ac:dyDescent="0.2">
      <c r="A203" s="15" t="s">
        <v>373</v>
      </c>
      <c r="B203" s="35">
        <v>46151</v>
      </c>
      <c r="C203" s="15" t="s">
        <v>167</v>
      </c>
      <c r="D203" s="15" t="s">
        <v>162</v>
      </c>
      <c r="E203" s="36">
        <v>36025</v>
      </c>
      <c r="F203" s="37">
        <v>0.14000000000000001</v>
      </c>
      <c r="G203" s="15" t="s">
        <v>184</v>
      </c>
    </row>
    <row r="204" spans="1:7" x14ac:dyDescent="0.2">
      <c r="A204" s="15" t="s">
        <v>374</v>
      </c>
      <c r="B204" s="35">
        <v>46188</v>
      </c>
      <c r="C204" s="15" t="s">
        <v>167</v>
      </c>
      <c r="D204" s="15" t="s">
        <v>176</v>
      </c>
      <c r="E204" s="36">
        <v>52825</v>
      </c>
      <c r="F204" s="37">
        <v>0.02</v>
      </c>
      <c r="G204" s="15" t="s">
        <v>155</v>
      </c>
    </row>
    <row r="205" spans="1:7" x14ac:dyDescent="0.2">
      <c r="A205" s="15" t="s">
        <v>375</v>
      </c>
      <c r="B205" s="35">
        <v>46132</v>
      </c>
      <c r="C205" s="15" t="s">
        <v>158</v>
      </c>
      <c r="D205" s="15" t="s">
        <v>176</v>
      </c>
      <c r="E205" s="36">
        <v>38587</v>
      </c>
      <c r="F205" s="37">
        <v>0.14000000000000001</v>
      </c>
      <c r="G205" s="15" t="s">
        <v>177</v>
      </c>
    </row>
    <row r="206" spans="1:7" x14ac:dyDescent="0.2">
      <c r="A206" s="15" t="s">
        <v>376</v>
      </c>
      <c r="B206" s="35">
        <v>46206</v>
      </c>
      <c r="C206" s="15" t="s">
        <v>153</v>
      </c>
      <c r="D206" s="15" t="s">
        <v>176</v>
      </c>
      <c r="E206" s="36">
        <v>15116</v>
      </c>
      <c r="F206" s="37">
        <v>4.4999999999999998E-2</v>
      </c>
      <c r="G206" s="15" t="s">
        <v>155</v>
      </c>
    </row>
    <row r="207" spans="1:7" x14ac:dyDescent="0.2">
      <c r="A207" s="15" t="s">
        <v>377</v>
      </c>
      <c r="B207" s="35">
        <v>46162</v>
      </c>
      <c r="C207" s="15" t="s">
        <v>158</v>
      </c>
      <c r="D207" s="15" t="s">
        <v>176</v>
      </c>
      <c r="E207" s="36">
        <v>58264</v>
      </c>
      <c r="F207" s="37">
        <v>4.4999999999999998E-2</v>
      </c>
      <c r="G207" s="15" t="s">
        <v>155</v>
      </c>
    </row>
    <row r="208" spans="1:7" x14ac:dyDescent="0.2">
      <c r="A208" s="15" t="s">
        <v>378</v>
      </c>
      <c r="B208" s="35">
        <v>46141</v>
      </c>
      <c r="C208" s="15" t="s">
        <v>171</v>
      </c>
      <c r="D208" s="15" t="s">
        <v>176</v>
      </c>
      <c r="E208" s="36">
        <v>54708</v>
      </c>
      <c r="F208" s="37">
        <v>0.11</v>
      </c>
      <c r="G208" s="15" t="s">
        <v>155</v>
      </c>
    </row>
    <row r="209" spans="1:7" x14ac:dyDescent="0.2">
      <c r="A209" s="15" t="s">
        <v>379</v>
      </c>
      <c r="B209" s="35">
        <v>46255</v>
      </c>
      <c r="C209" s="15" t="s">
        <v>158</v>
      </c>
      <c r="D209" s="15" t="s">
        <v>162</v>
      </c>
      <c r="E209" s="36">
        <v>66755</v>
      </c>
      <c r="F209" s="37">
        <v>0.02</v>
      </c>
      <c r="G209" s="15" t="s">
        <v>155</v>
      </c>
    </row>
    <row r="210" spans="1:7" x14ac:dyDescent="0.2">
      <c r="A210" s="15" t="s">
        <v>380</v>
      </c>
      <c r="B210" s="35">
        <v>46254</v>
      </c>
      <c r="C210" s="15" t="s">
        <v>167</v>
      </c>
      <c r="D210" s="15" t="s">
        <v>176</v>
      </c>
      <c r="E210" s="36">
        <v>72145</v>
      </c>
      <c r="F210" s="37">
        <v>6.5000000000000002E-2</v>
      </c>
      <c r="G210" s="15" t="s">
        <v>155</v>
      </c>
    </row>
    <row r="211" spans="1:7" x14ac:dyDescent="0.2">
      <c r="A211" s="15" t="s">
        <v>381</v>
      </c>
      <c r="B211" s="35">
        <v>46233</v>
      </c>
      <c r="C211" s="15" t="s">
        <v>158</v>
      </c>
      <c r="D211" s="15" t="s">
        <v>162</v>
      </c>
      <c r="E211" s="36">
        <v>93516</v>
      </c>
      <c r="F211" s="37">
        <v>0.14000000000000001</v>
      </c>
      <c r="G211" s="15" t="s">
        <v>155</v>
      </c>
    </row>
    <row r="212" spans="1:7" x14ac:dyDescent="0.2">
      <c r="A212" s="15" t="s">
        <v>382</v>
      </c>
      <c r="B212" s="35">
        <v>46205</v>
      </c>
      <c r="C212" s="15" t="s">
        <v>158</v>
      </c>
      <c r="D212" s="15" t="s">
        <v>162</v>
      </c>
      <c r="E212" s="36">
        <v>20779</v>
      </c>
      <c r="F212" s="37">
        <v>8.5000000000000006E-2</v>
      </c>
      <c r="G212" s="15" t="s">
        <v>177</v>
      </c>
    </row>
    <row r="213" spans="1:7" x14ac:dyDescent="0.2">
      <c r="A213" s="15" t="s">
        <v>383</v>
      </c>
      <c r="B213" s="35">
        <v>46249</v>
      </c>
      <c r="C213" s="15" t="s">
        <v>167</v>
      </c>
      <c r="D213" s="15" t="s">
        <v>154</v>
      </c>
      <c r="E213" s="36">
        <v>18847</v>
      </c>
      <c r="F213" s="37">
        <v>0.14000000000000001</v>
      </c>
      <c r="G213" s="15" t="s">
        <v>177</v>
      </c>
    </row>
    <row r="214" spans="1:7" x14ac:dyDescent="0.2">
      <c r="A214" s="15" t="s">
        <v>384</v>
      </c>
      <c r="B214" s="35">
        <v>46183</v>
      </c>
      <c r="C214" s="15" t="s">
        <v>158</v>
      </c>
      <c r="D214" s="15" t="s">
        <v>176</v>
      </c>
      <c r="E214" s="36">
        <v>69009</v>
      </c>
      <c r="F214" s="37">
        <v>4.4999999999999998E-2</v>
      </c>
      <c r="G214" s="15" t="s">
        <v>155</v>
      </c>
    </row>
    <row r="215" spans="1:7" x14ac:dyDescent="0.2">
      <c r="A215" s="15" t="s">
        <v>385</v>
      </c>
      <c r="B215" s="35">
        <v>46229</v>
      </c>
      <c r="C215" s="15" t="s">
        <v>158</v>
      </c>
      <c r="D215" s="15" t="s">
        <v>176</v>
      </c>
      <c r="E215" s="36">
        <v>60791</v>
      </c>
      <c r="F215" s="37">
        <v>0.02</v>
      </c>
      <c r="G215" s="15" t="s">
        <v>155</v>
      </c>
    </row>
    <row r="216" spans="1:7" x14ac:dyDescent="0.2">
      <c r="A216" s="15" t="s">
        <v>386</v>
      </c>
      <c r="B216" s="35">
        <v>46179</v>
      </c>
      <c r="C216" s="15" t="s">
        <v>171</v>
      </c>
      <c r="D216" s="15" t="s">
        <v>159</v>
      </c>
      <c r="E216" s="36">
        <v>24937</v>
      </c>
      <c r="F216" s="37">
        <v>0</v>
      </c>
      <c r="G216" s="15" t="s">
        <v>155</v>
      </c>
    </row>
    <row r="217" spans="1:7" x14ac:dyDescent="0.2">
      <c r="A217" s="15" t="s">
        <v>387</v>
      </c>
      <c r="B217" s="35">
        <v>46185</v>
      </c>
      <c r="C217" s="15" t="s">
        <v>158</v>
      </c>
      <c r="D217" s="15" t="s">
        <v>176</v>
      </c>
      <c r="E217" s="36">
        <v>50928</v>
      </c>
      <c r="F217" s="37">
        <v>0</v>
      </c>
      <c r="G217" s="15" t="s">
        <v>155</v>
      </c>
    </row>
    <row r="218" spans="1:7" x14ac:dyDescent="0.2">
      <c r="A218" s="15" t="s">
        <v>388</v>
      </c>
      <c r="B218" s="35">
        <v>46224</v>
      </c>
      <c r="C218" s="15" t="s">
        <v>167</v>
      </c>
      <c r="D218" s="15" t="s">
        <v>162</v>
      </c>
      <c r="E218" s="36">
        <v>72684</v>
      </c>
      <c r="F218" s="37">
        <v>0.11</v>
      </c>
      <c r="G218" s="15" t="s">
        <v>155</v>
      </c>
    </row>
    <row r="219" spans="1:7" x14ac:dyDescent="0.2">
      <c r="A219" s="15" t="s">
        <v>389</v>
      </c>
      <c r="B219" s="35">
        <v>46251</v>
      </c>
      <c r="C219" s="15" t="s">
        <v>167</v>
      </c>
      <c r="D219" s="15" t="s">
        <v>154</v>
      </c>
      <c r="E219" s="36">
        <v>39777</v>
      </c>
      <c r="F219" s="37">
        <v>0.02</v>
      </c>
      <c r="G219" s="15" t="s">
        <v>155</v>
      </c>
    </row>
    <row r="220" spans="1:7" x14ac:dyDescent="0.2">
      <c r="A220" s="15" t="s">
        <v>390</v>
      </c>
      <c r="B220" s="35">
        <v>46194</v>
      </c>
      <c r="C220" s="15" t="s">
        <v>167</v>
      </c>
      <c r="D220" s="15" t="s">
        <v>159</v>
      </c>
      <c r="E220" s="36">
        <v>53819</v>
      </c>
      <c r="F220" s="37">
        <v>8.5000000000000006E-2</v>
      </c>
      <c r="G220" s="15" t="s">
        <v>184</v>
      </c>
    </row>
    <row r="221" spans="1:7" x14ac:dyDescent="0.2">
      <c r="A221" s="15" t="s">
        <v>391</v>
      </c>
      <c r="B221" s="35">
        <v>46198</v>
      </c>
      <c r="C221" s="15" t="s">
        <v>153</v>
      </c>
      <c r="D221" s="15" t="s">
        <v>162</v>
      </c>
      <c r="E221" s="36">
        <v>69807</v>
      </c>
      <c r="F221" s="37">
        <v>0</v>
      </c>
      <c r="G221" s="15" t="s">
        <v>155</v>
      </c>
    </row>
    <row r="222" spans="1:7" x14ac:dyDescent="0.2">
      <c r="A222" s="15" t="s">
        <v>392</v>
      </c>
      <c r="B222" s="35">
        <v>46260</v>
      </c>
      <c r="C222" s="15" t="s">
        <v>153</v>
      </c>
      <c r="D222" s="15" t="s">
        <v>159</v>
      </c>
      <c r="E222" s="36">
        <v>27954</v>
      </c>
      <c r="F222" s="37">
        <v>0.11</v>
      </c>
      <c r="G222" s="15" t="s">
        <v>155</v>
      </c>
    </row>
    <row r="223" spans="1:7" x14ac:dyDescent="0.2">
      <c r="A223" s="15" t="s">
        <v>393</v>
      </c>
      <c r="B223" s="35">
        <v>46200</v>
      </c>
      <c r="C223" s="15" t="s">
        <v>171</v>
      </c>
      <c r="D223" s="15" t="s">
        <v>162</v>
      </c>
      <c r="E223" s="36">
        <v>79012</v>
      </c>
      <c r="F223" s="37">
        <v>8.5000000000000006E-2</v>
      </c>
      <c r="G223" s="15" t="s">
        <v>177</v>
      </c>
    </row>
    <row r="224" spans="1:7" x14ac:dyDescent="0.2">
      <c r="A224" s="15" t="s">
        <v>394</v>
      </c>
      <c r="B224" s="35">
        <v>46255</v>
      </c>
      <c r="C224" s="15" t="s">
        <v>153</v>
      </c>
      <c r="D224" s="15" t="s">
        <v>154</v>
      </c>
      <c r="E224" s="36">
        <v>82729</v>
      </c>
      <c r="F224" s="37">
        <v>0.14000000000000001</v>
      </c>
      <c r="G224" s="15" t="s">
        <v>155</v>
      </c>
    </row>
    <row r="225" spans="1:7" x14ac:dyDescent="0.2">
      <c r="A225" s="15" t="s">
        <v>395</v>
      </c>
      <c r="B225" s="35">
        <v>46133</v>
      </c>
      <c r="C225" s="15" t="s">
        <v>153</v>
      </c>
      <c r="D225" s="15" t="s">
        <v>176</v>
      </c>
      <c r="E225" s="36">
        <v>9166</v>
      </c>
      <c r="F225" s="37">
        <v>6.5000000000000002E-2</v>
      </c>
      <c r="G225" s="15" t="s">
        <v>155</v>
      </c>
    </row>
    <row r="226" spans="1:7" x14ac:dyDescent="0.2">
      <c r="A226" s="15" t="s">
        <v>396</v>
      </c>
      <c r="B226" s="35">
        <v>46126</v>
      </c>
      <c r="C226" s="15" t="s">
        <v>153</v>
      </c>
      <c r="D226" s="15" t="s">
        <v>176</v>
      </c>
      <c r="E226" s="36">
        <v>63969</v>
      </c>
      <c r="F226" s="37">
        <v>6.5000000000000002E-2</v>
      </c>
      <c r="G226" s="15" t="s">
        <v>155</v>
      </c>
    </row>
    <row r="227" spans="1:7" x14ac:dyDescent="0.2">
      <c r="A227" s="15" t="s">
        <v>397</v>
      </c>
      <c r="B227" s="35">
        <v>46234</v>
      </c>
      <c r="C227" s="15" t="s">
        <v>158</v>
      </c>
      <c r="D227" s="15" t="s">
        <v>154</v>
      </c>
      <c r="E227" s="36">
        <v>46973</v>
      </c>
      <c r="F227" s="37">
        <v>0</v>
      </c>
      <c r="G227" s="15" t="s">
        <v>155</v>
      </c>
    </row>
    <row r="228" spans="1:7" x14ac:dyDescent="0.2">
      <c r="A228" s="15" t="s">
        <v>398</v>
      </c>
      <c r="B228" s="35">
        <v>46175</v>
      </c>
      <c r="C228" s="15" t="s">
        <v>158</v>
      </c>
      <c r="D228" s="15" t="s">
        <v>162</v>
      </c>
      <c r="E228" s="36">
        <v>5113</v>
      </c>
      <c r="F228" s="37">
        <v>4.4999999999999998E-2</v>
      </c>
      <c r="G228" s="15" t="s">
        <v>177</v>
      </c>
    </row>
    <row r="229" spans="1:7" x14ac:dyDescent="0.2">
      <c r="A229" s="15" t="s">
        <v>399</v>
      </c>
      <c r="B229" s="35">
        <v>46230</v>
      </c>
      <c r="C229" s="15" t="s">
        <v>171</v>
      </c>
      <c r="D229" s="15" t="s">
        <v>176</v>
      </c>
      <c r="E229" s="36">
        <v>23614</v>
      </c>
      <c r="F229" s="37">
        <v>0</v>
      </c>
      <c r="G229" s="15" t="s">
        <v>155</v>
      </c>
    </row>
    <row r="230" spans="1:7" x14ac:dyDescent="0.2">
      <c r="A230" s="15" t="s">
        <v>400</v>
      </c>
      <c r="B230" s="35">
        <v>46248</v>
      </c>
      <c r="C230" s="15" t="s">
        <v>158</v>
      </c>
      <c r="D230" s="15" t="s">
        <v>162</v>
      </c>
      <c r="E230" s="36">
        <v>75428</v>
      </c>
      <c r="F230" s="37">
        <v>6.5000000000000002E-2</v>
      </c>
      <c r="G230" s="15" t="s">
        <v>184</v>
      </c>
    </row>
    <row r="231" spans="1:7" x14ac:dyDescent="0.2">
      <c r="A231" s="15" t="s">
        <v>401</v>
      </c>
      <c r="B231" s="35">
        <v>46146</v>
      </c>
      <c r="C231" s="15" t="s">
        <v>171</v>
      </c>
      <c r="D231" s="15" t="s">
        <v>154</v>
      </c>
      <c r="E231" s="36">
        <v>21080</v>
      </c>
      <c r="F231" s="37">
        <v>0.02</v>
      </c>
      <c r="G231" s="15" t="s">
        <v>155</v>
      </c>
    </row>
    <row r="232" spans="1:7" x14ac:dyDescent="0.2">
      <c r="A232" s="15" t="s">
        <v>402</v>
      </c>
      <c r="B232" s="35">
        <v>46223</v>
      </c>
      <c r="C232" s="15" t="s">
        <v>158</v>
      </c>
      <c r="D232" s="15" t="s">
        <v>159</v>
      </c>
      <c r="E232" s="36">
        <v>6387</v>
      </c>
      <c r="F232" s="37">
        <v>8.5000000000000006E-2</v>
      </c>
      <c r="G232" s="15" t="s">
        <v>155</v>
      </c>
    </row>
    <row r="233" spans="1:7" x14ac:dyDescent="0.2">
      <c r="A233" s="15" t="s">
        <v>403</v>
      </c>
      <c r="B233" s="35">
        <v>46135</v>
      </c>
      <c r="C233" s="15" t="s">
        <v>158</v>
      </c>
      <c r="D233" s="15" t="s">
        <v>154</v>
      </c>
      <c r="E233" s="36">
        <v>75540</v>
      </c>
      <c r="F233" s="37">
        <v>0.14000000000000001</v>
      </c>
      <c r="G233" s="15" t="s">
        <v>155</v>
      </c>
    </row>
    <row r="234" spans="1:7" x14ac:dyDescent="0.2">
      <c r="A234" s="15" t="s">
        <v>404</v>
      </c>
      <c r="B234" s="35">
        <v>46252</v>
      </c>
      <c r="C234" s="15" t="s">
        <v>153</v>
      </c>
      <c r="D234" s="15" t="s">
        <v>159</v>
      </c>
      <c r="E234" s="36">
        <v>63675</v>
      </c>
      <c r="F234" s="37">
        <v>4.4999999999999998E-2</v>
      </c>
      <c r="G234" s="15" t="s">
        <v>164</v>
      </c>
    </row>
    <row r="235" spans="1:7" x14ac:dyDescent="0.2">
      <c r="A235" s="15" t="s">
        <v>405</v>
      </c>
      <c r="B235" s="35">
        <v>46174</v>
      </c>
      <c r="C235" s="15" t="s">
        <v>153</v>
      </c>
      <c r="D235" s="15" t="s">
        <v>154</v>
      </c>
      <c r="E235" s="36">
        <v>97415</v>
      </c>
      <c r="F235" s="37">
        <v>8.5000000000000006E-2</v>
      </c>
      <c r="G235" s="15" t="s">
        <v>155</v>
      </c>
    </row>
    <row r="236" spans="1:7" x14ac:dyDescent="0.2">
      <c r="A236" s="15" t="s">
        <v>406</v>
      </c>
      <c r="B236" s="35">
        <v>46162</v>
      </c>
      <c r="C236" s="15" t="s">
        <v>153</v>
      </c>
      <c r="D236" s="15" t="s">
        <v>162</v>
      </c>
      <c r="E236" s="36">
        <v>6723</v>
      </c>
      <c r="F236" s="37">
        <v>0</v>
      </c>
      <c r="G236" s="15" t="s">
        <v>155</v>
      </c>
    </row>
    <row r="237" spans="1:7" x14ac:dyDescent="0.2">
      <c r="A237" s="15" t="s">
        <v>407</v>
      </c>
      <c r="B237" s="35">
        <v>46169</v>
      </c>
      <c r="C237" s="15" t="s">
        <v>153</v>
      </c>
      <c r="D237" s="15" t="s">
        <v>162</v>
      </c>
      <c r="E237" s="36">
        <v>53014</v>
      </c>
      <c r="F237" s="37">
        <v>4.4999999999999998E-2</v>
      </c>
      <c r="G237" s="15" t="s">
        <v>164</v>
      </c>
    </row>
    <row r="238" spans="1:7" x14ac:dyDescent="0.2">
      <c r="A238" s="15" t="s">
        <v>408</v>
      </c>
      <c r="B238" s="35">
        <v>46232</v>
      </c>
      <c r="C238" s="15" t="s">
        <v>171</v>
      </c>
      <c r="D238" s="15" t="s">
        <v>176</v>
      </c>
      <c r="E238" s="36">
        <v>87755</v>
      </c>
      <c r="F238" s="37">
        <v>4.4999999999999998E-2</v>
      </c>
      <c r="G238" s="15" t="s">
        <v>184</v>
      </c>
    </row>
    <row r="239" spans="1:7" x14ac:dyDescent="0.2">
      <c r="A239" s="15" t="s">
        <v>409</v>
      </c>
      <c r="B239" s="35">
        <v>46187</v>
      </c>
      <c r="C239" s="15" t="s">
        <v>153</v>
      </c>
      <c r="D239" s="15" t="s">
        <v>176</v>
      </c>
      <c r="E239" s="36">
        <v>74693</v>
      </c>
      <c r="F239" s="37">
        <v>4.4999999999999998E-2</v>
      </c>
      <c r="G239" s="15" t="s">
        <v>184</v>
      </c>
    </row>
    <row r="240" spans="1:7" x14ac:dyDescent="0.2">
      <c r="A240" s="15" t="s">
        <v>410</v>
      </c>
      <c r="B240" s="35">
        <v>46231</v>
      </c>
      <c r="C240" s="15" t="s">
        <v>158</v>
      </c>
      <c r="D240" s="15" t="s">
        <v>176</v>
      </c>
      <c r="E240" s="36">
        <v>22816</v>
      </c>
      <c r="F240" s="37">
        <v>0.14000000000000001</v>
      </c>
      <c r="G240" s="15" t="s">
        <v>155</v>
      </c>
    </row>
    <row r="241" spans="1:7" x14ac:dyDescent="0.2">
      <c r="A241" s="15" t="s">
        <v>411</v>
      </c>
      <c r="B241" s="35">
        <v>46247</v>
      </c>
      <c r="C241" s="15" t="s">
        <v>153</v>
      </c>
      <c r="D241" s="15" t="s">
        <v>154</v>
      </c>
      <c r="E241" s="36">
        <v>56689</v>
      </c>
      <c r="F241" s="37">
        <v>6.5000000000000002E-2</v>
      </c>
      <c r="G241" s="15" t="s">
        <v>155</v>
      </c>
    </row>
    <row r="242" spans="1:7" x14ac:dyDescent="0.2">
      <c r="A242" s="15" t="s">
        <v>412</v>
      </c>
      <c r="B242" s="35">
        <v>46184</v>
      </c>
      <c r="C242" s="15" t="s">
        <v>167</v>
      </c>
      <c r="D242" s="15" t="s">
        <v>176</v>
      </c>
      <c r="E242" s="36">
        <v>82736</v>
      </c>
      <c r="F242" s="37">
        <v>8.5000000000000006E-2</v>
      </c>
      <c r="G242" s="15" t="s">
        <v>184</v>
      </c>
    </row>
    <row r="243" spans="1:7" x14ac:dyDescent="0.2">
      <c r="A243" s="15" t="s">
        <v>413</v>
      </c>
      <c r="B243" s="35">
        <v>46176</v>
      </c>
      <c r="C243" s="15" t="s">
        <v>171</v>
      </c>
      <c r="D243" s="15" t="s">
        <v>154</v>
      </c>
      <c r="E243" s="36">
        <v>79026</v>
      </c>
      <c r="F243" s="37">
        <v>0.02</v>
      </c>
      <c r="G243" s="15" t="s">
        <v>155</v>
      </c>
    </row>
    <row r="244" spans="1:7" x14ac:dyDescent="0.2">
      <c r="A244" s="15" t="s">
        <v>414</v>
      </c>
      <c r="B244" s="35">
        <v>46182</v>
      </c>
      <c r="C244" s="15" t="s">
        <v>167</v>
      </c>
      <c r="D244" s="15" t="s">
        <v>154</v>
      </c>
      <c r="E244" s="36">
        <v>3545</v>
      </c>
      <c r="F244" s="37">
        <v>0.02</v>
      </c>
      <c r="G244" s="15" t="s">
        <v>155</v>
      </c>
    </row>
    <row r="245" spans="1:7" x14ac:dyDescent="0.2">
      <c r="A245" s="15" t="s">
        <v>415</v>
      </c>
      <c r="B245" s="35">
        <v>46183</v>
      </c>
      <c r="C245" s="15" t="s">
        <v>171</v>
      </c>
      <c r="D245" s="15" t="s">
        <v>154</v>
      </c>
      <c r="E245" s="36">
        <v>16005</v>
      </c>
      <c r="F245" s="37">
        <v>6.5000000000000002E-2</v>
      </c>
      <c r="G245" s="15" t="s">
        <v>177</v>
      </c>
    </row>
    <row r="246" spans="1:7" x14ac:dyDescent="0.2">
      <c r="A246" s="15" t="s">
        <v>416</v>
      </c>
      <c r="B246" s="35">
        <v>46132</v>
      </c>
      <c r="C246" s="15" t="s">
        <v>171</v>
      </c>
      <c r="D246" s="15" t="s">
        <v>162</v>
      </c>
      <c r="E246" s="36">
        <v>75246</v>
      </c>
      <c r="F246" s="37">
        <v>4.4999999999999998E-2</v>
      </c>
      <c r="G246" s="15" t="s">
        <v>184</v>
      </c>
    </row>
    <row r="247" spans="1:7" x14ac:dyDescent="0.2">
      <c r="A247" s="15" t="s">
        <v>417</v>
      </c>
      <c r="B247" s="35">
        <v>46214</v>
      </c>
      <c r="C247" s="15" t="s">
        <v>167</v>
      </c>
      <c r="D247" s="15" t="s">
        <v>159</v>
      </c>
      <c r="E247" s="36">
        <v>61974</v>
      </c>
      <c r="F247" s="37">
        <v>0</v>
      </c>
      <c r="G247" s="15" t="s">
        <v>164</v>
      </c>
    </row>
    <row r="248" spans="1:7" x14ac:dyDescent="0.2">
      <c r="A248" s="15" t="s">
        <v>418</v>
      </c>
      <c r="B248" s="35">
        <v>46216</v>
      </c>
      <c r="C248" s="15" t="s">
        <v>171</v>
      </c>
      <c r="D248" s="15" t="s">
        <v>176</v>
      </c>
      <c r="E248" s="36">
        <v>26281</v>
      </c>
      <c r="F248" s="37">
        <v>0.11</v>
      </c>
      <c r="G248" s="15" t="s">
        <v>155</v>
      </c>
    </row>
    <row r="249" spans="1:7" x14ac:dyDescent="0.2">
      <c r="A249" s="15" t="s">
        <v>419</v>
      </c>
      <c r="B249" s="35">
        <v>46130</v>
      </c>
      <c r="C249" s="15" t="s">
        <v>167</v>
      </c>
      <c r="D249" s="15" t="s">
        <v>176</v>
      </c>
      <c r="E249" s="36">
        <v>91276</v>
      </c>
      <c r="F249" s="37">
        <v>0.11</v>
      </c>
      <c r="G249" s="15" t="s">
        <v>155</v>
      </c>
    </row>
    <row r="250" spans="1:7" x14ac:dyDescent="0.2">
      <c r="A250" s="15" t="s">
        <v>420</v>
      </c>
      <c r="B250" s="35">
        <v>46193</v>
      </c>
      <c r="C250" s="15" t="s">
        <v>153</v>
      </c>
      <c r="D250" s="15" t="s">
        <v>176</v>
      </c>
      <c r="E250" s="36">
        <v>60476</v>
      </c>
      <c r="F250" s="37">
        <v>0</v>
      </c>
      <c r="G250" s="15" t="s">
        <v>155</v>
      </c>
    </row>
    <row r="251" spans="1:7" x14ac:dyDescent="0.2">
      <c r="A251" s="15" t="s">
        <v>421</v>
      </c>
      <c r="B251" s="35">
        <v>46117</v>
      </c>
      <c r="C251" s="15" t="s">
        <v>153</v>
      </c>
      <c r="D251" s="15" t="s">
        <v>176</v>
      </c>
      <c r="E251" s="36">
        <v>16992</v>
      </c>
      <c r="F251" s="37">
        <v>6.5000000000000002E-2</v>
      </c>
      <c r="G251" s="15" t="s">
        <v>164</v>
      </c>
    </row>
    <row r="252" spans="1:7" x14ac:dyDescent="0.2">
      <c r="A252" s="15" t="s">
        <v>422</v>
      </c>
      <c r="B252" s="35">
        <v>46163</v>
      </c>
      <c r="C252" s="15" t="s">
        <v>171</v>
      </c>
      <c r="D252" s="15" t="s">
        <v>162</v>
      </c>
      <c r="E252" s="36">
        <v>19589</v>
      </c>
      <c r="F252" s="37">
        <v>6.5000000000000002E-2</v>
      </c>
      <c r="G252" s="15" t="s">
        <v>155</v>
      </c>
    </row>
    <row r="253" spans="1:7" x14ac:dyDescent="0.2">
      <c r="A253" s="15" t="s">
        <v>423</v>
      </c>
      <c r="B253" s="35">
        <v>46169</v>
      </c>
      <c r="C253" s="15" t="s">
        <v>167</v>
      </c>
      <c r="D253" s="15" t="s">
        <v>159</v>
      </c>
      <c r="E253" s="36">
        <v>77031</v>
      </c>
      <c r="F253" s="37">
        <v>0</v>
      </c>
      <c r="G253" s="15" t="s">
        <v>155</v>
      </c>
    </row>
    <row r="254" spans="1:7" x14ac:dyDescent="0.2">
      <c r="A254" s="15" t="s">
        <v>424</v>
      </c>
      <c r="B254" s="35">
        <v>46192</v>
      </c>
      <c r="C254" s="15" t="s">
        <v>153</v>
      </c>
      <c r="D254" s="15" t="s">
        <v>159</v>
      </c>
      <c r="E254" s="36">
        <v>22529</v>
      </c>
      <c r="F254" s="37">
        <v>6.5000000000000002E-2</v>
      </c>
      <c r="G254" s="15" t="s">
        <v>164</v>
      </c>
    </row>
    <row r="255" spans="1:7" x14ac:dyDescent="0.2">
      <c r="A255" s="15" t="s">
        <v>425</v>
      </c>
      <c r="B255" s="35">
        <v>46137</v>
      </c>
      <c r="C255" s="15" t="s">
        <v>171</v>
      </c>
      <c r="D255" s="15" t="s">
        <v>159</v>
      </c>
      <c r="E255" s="36">
        <v>45923</v>
      </c>
      <c r="F255" s="37">
        <v>0.14000000000000001</v>
      </c>
      <c r="G255" s="15" t="s">
        <v>155</v>
      </c>
    </row>
    <row r="256" spans="1:7" x14ac:dyDescent="0.2">
      <c r="A256" s="15" t="s">
        <v>426</v>
      </c>
      <c r="B256" s="35">
        <v>46139</v>
      </c>
      <c r="C256" s="15" t="s">
        <v>158</v>
      </c>
      <c r="D256" s="15" t="s">
        <v>162</v>
      </c>
      <c r="E256" s="36">
        <v>32483</v>
      </c>
      <c r="F256" s="37">
        <v>4.4999999999999998E-2</v>
      </c>
      <c r="G256" s="15" t="s">
        <v>155</v>
      </c>
    </row>
    <row r="257" spans="1:7" x14ac:dyDescent="0.2">
      <c r="A257" s="15" t="s">
        <v>427</v>
      </c>
      <c r="B257" s="35">
        <v>46114</v>
      </c>
      <c r="C257" s="15" t="s">
        <v>167</v>
      </c>
      <c r="D257" s="15" t="s">
        <v>162</v>
      </c>
      <c r="E257" s="36">
        <v>49983</v>
      </c>
      <c r="F257" s="37">
        <v>8.5000000000000006E-2</v>
      </c>
      <c r="G257" s="15" t="s">
        <v>155</v>
      </c>
    </row>
    <row r="258" spans="1:7" x14ac:dyDescent="0.2">
      <c r="A258" s="15" t="s">
        <v>428</v>
      </c>
      <c r="B258" s="35">
        <v>46122</v>
      </c>
      <c r="C258" s="15" t="s">
        <v>167</v>
      </c>
      <c r="D258" s="15" t="s">
        <v>154</v>
      </c>
      <c r="E258" s="36">
        <v>62324</v>
      </c>
      <c r="F258" s="37">
        <v>0</v>
      </c>
      <c r="G258" s="15" t="s">
        <v>164</v>
      </c>
    </row>
    <row r="259" spans="1:7" x14ac:dyDescent="0.2">
      <c r="A259" s="15" t="s">
        <v>429</v>
      </c>
      <c r="B259" s="35">
        <v>46113</v>
      </c>
      <c r="C259" s="15" t="s">
        <v>171</v>
      </c>
      <c r="D259" s="15" t="s">
        <v>154</v>
      </c>
      <c r="E259" s="36">
        <v>48688</v>
      </c>
      <c r="F259" s="37">
        <v>0.02</v>
      </c>
      <c r="G259" s="15" t="s">
        <v>155</v>
      </c>
    </row>
    <row r="260" spans="1:7" x14ac:dyDescent="0.2">
      <c r="A260" s="15" t="s">
        <v>430</v>
      </c>
      <c r="B260" s="35">
        <v>46226</v>
      </c>
      <c r="C260" s="15" t="s">
        <v>171</v>
      </c>
      <c r="D260" s="15" t="s">
        <v>159</v>
      </c>
      <c r="E260" s="36">
        <v>10216</v>
      </c>
      <c r="F260" s="37">
        <v>6.5000000000000002E-2</v>
      </c>
      <c r="G260" s="15" t="s">
        <v>155</v>
      </c>
    </row>
    <row r="261" spans="1:7" x14ac:dyDescent="0.2">
      <c r="A261" s="15" t="s">
        <v>431</v>
      </c>
      <c r="B261" s="35">
        <v>46202</v>
      </c>
      <c r="C261" s="15" t="s">
        <v>167</v>
      </c>
      <c r="D261" s="15" t="s">
        <v>162</v>
      </c>
      <c r="E261" s="36">
        <v>45146</v>
      </c>
      <c r="F261" s="37">
        <v>0</v>
      </c>
      <c r="G261" s="15" t="s">
        <v>155</v>
      </c>
    </row>
    <row r="262" spans="1:7" x14ac:dyDescent="0.2">
      <c r="A262" s="15" t="s">
        <v>432</v>
      </c>
      <c r="B262" s="35">
        <v>46148</v>
      </c>
      <c r="C262" s="15" t="s">
        <v>158</v>
      </c>
      <c r="D262" s="15" t="s">
        <v>176</v>
      </c>
      <c r="E262" s="36">
        <v>36165</v>
      </c>
      <c r="F262" s="37">
        <v>8.5000000000000006E-2</v>
      </c>
      <c r="G262" s="15" t="s">
        <v>164</v>
      </c>
    </row>
    <row r="263" spans="1:7" x14ac:dyDescent="0.2">
      <c r="A263" s="15" t="s">
        <v>433</v>
      </c>
      <c r="B263" s="35">
        <v>46151</v>
      </c>
      <c r="C263" s="15" t="s">
        <v>171</v>
      </c>
      <c r="D263" s="15" t="s">
        <v>159</v>
      </c>
      <c r="E263" s="36">
        <v>22669</v>
      </c>
      <c r="F263" s="37">
        <v>6.5000000000000002E-2</v>
      </c>
      <c r="G263" s="15" t="s">
        <v>155</v>
      </c>
    </row>
    <row r="264" spans="1:7" x14ac:dyDescent="0.2">
      <c r="A264" s="15" t="s">
        <v>434</v>
      </c>
      <c r="B264" s="35">
        <v>46199</v>
      </c>
      <c r="C264" s="15" t="s">
        <v>171</v>
      </c>
      <c r="D264" s="15" t="s">
        <v>162</v>
      </c>
      <c r="E264" s="36">
        <v>40659</v>
      </c>
      <c r="F264" s="37">
        <v>8.5000000000000006E-2</v>
      </c>
      <c r="G264" s="15" t="s">
        <v>164</v>
      </c>
    </row>
    <row r="265" spans="1:7" x14ac:dyDescent="0.2">
      <c r="A265" s="15" t="s">
        <v>435</v>
      </c>
      <c r="B265" s="35">
        <v>46156</v>
      </c>
      <c r="C265" s="15" t="s">
        <v>167</v>
      </c>
      <c r="D265" s="15" t="s">
        <v>176</v>
      </c>
      <c r="E265" s="36">
        <v>21234</v>
      </c>
      <c r="F265" s="37">
        <v>0.11</v>
      </c>
      <c r="G265" s="15" t="s">
        <v>184</v>
      </c>
    </row>
    <row r="266" spans="1:7" x14ac:dyDescent="0.2">
      <c r="A266" s="15" t="s">
        <v>436</v>
      </c>
      <c r="B266" s="35">
        <v>46161</v>
      </c>
      <c r="C266" s="15" t="s">
        <v>167</v>
      </c>
      <c r="D266" s="15" t="s">
        <v>176</v>
      </c>
      <c r="E266" s="36">
        <v>31412</v>
      </c>
      <c r="F266" s="37">
        <v>0.14000000000000001</v>
      </c>
      <c r="G266" s="15" t="s">
        <v>155</v>
      </c>
    </row>
    <row r="267" spans="1:7" x14ac:dyDescent="0.2">
      <c r="A267" s="15" t="s">
        <v>437</v>
      </c>
      <c r="B267" s="35">
        <v>46237</v>
      </c>
      <c r="C267" s="15" t="s">
        <v>153</v>
      </c>
      <c r="D267" s="15" t="s">
        <v>176</v>
      </c>
      <c r="E267" s="36">
        <v>54400</v>
      </c>
      <c r="F267" s="37">
        <v>8.5000000000000006E-2</v>
      </c>
      <c r="G267" s="15" t="s">
        <v>155</v>
      </c>
    </row>
    <row r="268" spans="1:7" x14ac:dyDescent="0.2">
      <c r="A268" s="15" t="s">
        <v>438</v>
      </c>
      <c r="B268" s="35">
        <v>46207</v>
      </c>
      <c r="C268" s="15" t="s">
        <v>153</v>
      </c>
      <c r="D268" s="15" t="s">
        <v>176</v>
      </c>
      <c r="E268" s="36">
        <v>90681</v>
      </c>
      <c r="F268" s="37">
        <v>0.02</v>
      </c>
      <c r="G268" s="15" t="s">
        <v>184</v>
      </c>
    </row>
    <row r="269" spans="1:7" x14ac:dyDescent="0.2">
      <c r="A269" s="15" t="s">
        <v>439</v>
      </c>
      <c r="B269" s="35">
        <v>46140</v>
      </c>
      <c r="C269" s="15" t="s">
        <v>171</v>
      </c>
      <c r="D269" s="15" t="s">
        <v>159</v>
      </c>
      <c r="E269" s="36">
        <v>94664</v>
      </c>
      <c r="F269" s="37">
        <v>0</v>
      </c>
      <c r="G269" s="15" t="s">
        <v>164</v>
      </c>
    </row>
    <row r="270" spans="1:7" x14ac:dyDescent="0.2">
      <c r="A270" s="15" t="s">
        <v>440</v>
      </c>
      <c r="B270" s="35">
        <v>46233</v>
      </c>
      <c r="C270" s="15" t="s">
        <v>171</v>
      </c>
      <c r="D270" s="15" t="s">
        <v>154</v>
      </c>
      <c r="E270" s="36">
        <v>48877</v>
      </c>
      <c r="F270" s="37">
        <v>4.4999999999999998E-2</v>
      </c>
      <c r="G270" s="15" t="s">
        <v>155</v>
      </c>
    </row>
    <row r="271" spans="1:7" x14ac:dyDescent="0.2">
      <c r="A271" s="15" t="s">
        <v>441</v>
      </c>
      <c r="B271" s="35">
        <v>46193</v>
      </c>
      <c r="C271" s="15" t="s">
        <v>167</v>
      </c>
      <c r="D271" s="15" t="s">
        <v>159</v>
      </c>
      <c r="E271" s="36">
        <v>34191</v>
      </c>
      <c r="F271" s="37">
        <v>0.02</v>
      </c>
      <c r="G271" s="15" t="s">
        <v>184</v>
      </c>
    </row>
    <row r="272" spans="1:7" x14ac:dyDescent="0.2">
      <c r="A272" s="15" t="s">
        <v>442</v>
      </c>
      <c r="B272" s="35">
        <v>46137</v>
      </c>
      <c r="C272" s="15" t="s">
        <v>158</v>
      </c>
      <c r="D272" s="15" t="s">
        <v>159</v>
      </c>
      <c r="E272" s="36">
        <v>54834</v>
      </c>
      <c r="F272" s="37">
        <v>0.14000000000000001</v>
      </c>
      <c r="G272" s="15" t="s">
        <v>184</v>
      </c>
    </row>
    <row r="273" spans="1:7" x14ac:dyDescent="0.2">
      <c r="A273" s="15" t="s">
        <v>443</v>
      </c>
      <c r="B273" s="35">
        <v>46150</v>
      </c>
      <c r="C273" s="15" t="s">
        <v>171</v>
      </c>
      <c r="D273" s="15" t="s">
        <v>154</v>
      </c>
      <c r="E273" s="36">
        <v>21493</v>
      </c>
      <c r="F273" s="37">
        <v>8.5000000000000006E-2</v>
      </c>
      <c r="G273" s="15" t="s">
        <v>155</v>
      </c>
    </row>
    <row r="274" spans="1:7" x14ac:dyDescent="0.2">
      <c r="A274" s="15" t="s">
        <v>444</v>
      </c>
      <c r="B274" s="35">
        <v>46178</v>
      </c>
      <c r="C274" s="15" t="s">
        <v>153</v>
      </c>
      <c r="D274" s="15" t="s">
        <v>176</v>
      </c>
      <c r="E274" s="36">
        <v>38559</v>
      </c>
      <c r="F274" s="37">
        <v>0.02</v>
      </c>
      <c r="G274" s="15" t="s">
        <v>155</v>
      </c>
    </row>
    <row r="275" spans="1:7" x14ac:dyDescent="0.2">
      <c r="A275" s="15" t="s">
        <v>445</v>
      </c>
      <c r="B275" s="35">
        <v>46229</v>
      </c>
      <c r="C275" s="15" t="s">
        <v>171</v>
      </c>
      <c r="D275" s="15" t="s">
        <v>162</v>
      </c>
      <c r="E275" s="36">
        <v>60756</v>
      </c>
      <c r="F275" s="37">
        <v>6.5000000000000002E-2</v>
      </c>
      <c r="G275" s="15" t="s">
        <v>155</v>
      </c>
    </row>
    <row r="276" spans="1:7" x14ac:dyDescent="0.2">
      <c r="A276" s="15" t="s">
        <v>446</v>
      </c>
      <c r="B276" s="35">
        <v>46217</v>
      </c>
      <c r="C276" s="15" t="s">
        <v>158</v>
      </c>
      <c r="D276" s="15" t="s">
        <v>162</v>
      </c>
      <c r="E276" s="36">
        <v>56479</v>
      </c>
      <c r="F276" s="37">
        <v>8.5000000000000006E-2</v>
      </c>
      <c r="G276" s="15" t="s">
        <v>184</v>
      </c>
    </row>
    <row r="277" spans="1:7" x14ac:dyDescent="0.2">
      <c r="A277" s="15" t="s">
        <v>447</v>
      </c>
      <c r="B277" s="35">
        <v>46259</v>
      </c>
      <c r="C277" s="15" t="s">
        <v>167</v>
      </c>
      <c r="D277" s="15" t="s">
        <v>162</v>
      </c>
      <c r="E277" s="36">
        <v>52188</v>
      </c>
      <c r="F277" s="37">
        <v>0</v>
      </c>
      <c r="G277" s="15" t="s">
        <v>155</v>
      </c>
    </row>
    <row r="278" spans="1:7" x14ac:dyDescent="0.2">
      <c r="A278" s="15" t="s">
        <v>448</v>
      </c>
      <c r="B278" s="35">
        <v>46147</v>
      </c>
      <c r="C278" s="15" t="s">
        <v>153</v>
      </c>
      <c r="D278" s="15" t="s">
        <v>154</v>
      </c>
      <c r="E278" s="36">
        <v>14969</v>
      </c>
      <c r="F278" s="37">
        <v>0.02</v>
      </c>
      <c r="G278" s="15" t="s">
        <v>164</v>
      </c>
    </row>
    <row r="279" spans="1:7" x14ac:dyDescent="0.2">
      <c r="A279" s="15" t="s">
        <v>449</v>
      </c>
      <c r="B279" s="35">
        <v>46119</v>
      </c>
      <c r="C279" s="15" t="s">
        <v>171</v>
      </c>
      <c r="D279" s="15" t="s">
        <v>162</v>
      </c>
      <c r="E279" s="36">
        <v>61666</v>
      </c>
      <c r="F279" s="37">
        <v>6.5000000000000002E-2</v>
      </c>
      <c r="G279" s="15" t="s">
        <v>155</v>
      </c>
    </row>
    <row r="280" spans="1:7" x14ac:dyDescent="0.2">
      <c r="A280" s="15" t="s">
        <v>450</v>
      </c>
      <c r="B280" s="35">
        <v>46170</v>
      </c>
      <c r="C280" s="15" t="s">
        <v>171</v>
      </c>
      <c r="D280" s="15" t="s">
        <v>176</v>
      </c>
      <c r="E280" s="36">
        <v>92557</v>
      </c>
      <c r="F280" s="37">
        <v>0.14000000000000001</v>
      </c>
      <c r="G280" s="15" t="s">
        <v>184</v>
      </c>
    </row>
    <row r="281" spans="1:7" x14ac:dyDescent="0.2">
      <c r="A281" s="15" t="s">
        <v>451</v>
      </c>
      <c r="B281" s="35">
        <v>46206</v>
      </c>
      <c r="C281" s="15" t="s">
        <v>167</v>
      </c>
      <c r="D281" s="15" t="s">
        <v>176</v>
      </c>
      <c r="E281" s="36">
        <v>61372</v>
      </c>
      <c r="F281" s="37">
        <v>0.11</v>
      </c>
      <c r="G281" s="15" t="s">
        <v>155</v>
      </c>
    </row>
    <row r="282" spans="1:7" x14ac:dyDescent="0.2">
      <c r="A282" s="15" t="s">
        <v>452</v>
      </c>
      <c r="B282" s="35">
        <v>46246</v>
      </c>
      <c r="C282" s="15" t="s">
        <v>153</v>
      </c>
      <c r="D282" s="15" t="s">
        <v>159</v>
      </c>
      <c r="E282" s="36">
        <v>92571</v>
      </c>
      <c r="F282" s="37">
        <v>0</v>
      </c>
      <c r="G282" s="15" t="s">
        <v>155</v>
      </c>
    </row>
    <row r="283" spans="1:7" x14ac:dyDescent="0.2">
      <c r="A283" s="15" t="s">
        <v>453</v>
      </c>
      <c r="B283" s="35">
        <v>46193</v>
      </c>
      <c r="C283" s="15" t="s">
        <v>167</v>
      </c>
      <c r="D283" s="15" t="s">
        <v>176</v>
      </c>
      <c r="E283" s="36">
        <v>32602</v>
      </c>
      <c r="F283" s="37">
        <v>0.14000000000000001</v>
      </c>
      <c r="G283" s="15" t="s">
        <v>155</v>
      </c>
    </row>
    <row r="284" spans="1:7" x14ac:dyDescent="0.2">
      <c r="A284" s="15" t="s">
        <v>454</v>
      </c>
      <c r="B284" s="35">
        <v>46172</v>
      </c>
      <c r="C284" s="15" t="s">
        <v>171</v>
      </c>
      <c r="D284" s="15" t="s">
        <v>162</v>
      </c>
      <c r="E284" s="36">
        <v>94797</v>
      </c>
      <c r="F284" s="37">
        <v>4.4999999999999998E-2</v>
      </c>
      <c r="G284" s="15" t="s">
        <v>184</v>
      </c>
    </row>
    <row r="285" spans="1:7" x14ac:dyDescent="0.2">
      <c r="A285" s="15" t="s">
        <v>455</v>
      </c>
      <c r="B285" s="35">
        <v>46211</v>
      </c>
      <c r="C285" s="15" t="s">
        <v>153</v>
      </c>
      <c r="D285" s="15" t="s">
        <v>159</v>
      </c>
      <c r="E285" s="36">
        <v>12043</v>
      </c>
      <c r="F285" s="37">
        <v>0.11</v>
      </c>
      <c r="G285" s="15" t="s">
        <v>177</v>
      </c>
    </row>
    <row r="286" spans="1:7" x14ac:dyDescent="0.2">
      <c r="A286" s="15" t="s">
        <v>456</v>
      </c>
      <c r="B286" s="35">
        <v>46233</v>
      </c>
      <c r="C286" s="15" t="s">
        <v>153</v>
      </c>
      <c r="D286" s="15" t="s">
        <v>162</v>
      </c>
      <c r="E286" s="36">
        <v>25777</v>
      </c>
      <c r="F286" s="37">
        <v>6.5000000000000002E-2</v>
      </c>
      <c r="G286" s="15" t="s">
        <v>155</v>
      </c>
    </row>
    <row r="287" spans="1:7" x14ac:dyDescent="0.2">
      <c r="A287" s="15" t="s">
        <v>457</v>
      </c>
      <c r="B287" s="35">
        <v>46121</v>
      </c>
      <c r="C287" s="15" t="s">
        <v>153</v>
      </c>
      <c r="D287" s="15" t="s">
        <v>162</v>
      </c>
      <c r="E287" s="36">
        <v>27730</v>
      </c>
      <c r="F287" s="37">
        <v>0</v>
      </c>
      <c r="G287" s="15" t="s">
        <v>164</v>
      </c>
    </row>
    <row r="288" spans="1:7" x14ac:dyDescent="0.2">
      <c r="A288" s="15" t="s">
        <v>458</v>
      </c>
      <c r="B288" s="35">
        <v>46263</v>
      </c>
      <c r="C288" s="15" t="s">
        <v>158</v>
      </c>
      <c r="D288" s="15" t="s">
        <v>176</v>
      </c>
      <c r="E288" s="36">
        <v>1760</v>
      </c>
      <c r="F288" s="37">
        <v>0.02</v>
      </c>
      <c r="G288" s="15" t="s">
        <v>155</v>
      </c>
    </row>
    <row r="289" spans="1:7" x14ac:dyDescent="0.2">
      <c r="A289" s="15" t="s">
        <v>459</v>
      </c>
      <c r="B289" s="35">
        <v>46248</v>
      </c>
      <c r="C289" s="15" t="s">
        <v>171</v>
      </c>
      <c r="D289" s="15" t="s">
        <v>159</v>
      </c>
      <c r="E289" s="36">
        <v>11875</v>
      </c>
      <c r="F289" s="37">
        <v>0</v>
      </c>
      <c r="G289" s="15" t="s">
        <v>155</v>
      </c>
    </row>
    <row r="290" spans="1:7" x14ac:dyDescent="0.2">
      <c r="A290" s="15" t="s">
        <v>460</v>
      </c>
      <c r="B290" s="35">
        <v>46118</v>
      </c>
      <c r="C290" s="15" t="s">
        <v>167</v>
      </c>
      <c r="D290" s="15" t="s">
        <v>162</v>
      </c>
      <c r="E290" s="36">
        <v>53280</v>
      </c>
      <c r="F290" s="37">
        <v>8.5000000000000006E-2</v>
      </c>
      <c r="G290" s="15" t="s">
        <v>155</v>
      </c>
    </row>
    <row r="291" spans="1:7" x14ac:dyDescent="0.2">
      <c r="A291" s="15" t="s">
        <v>461</v>
      </c>
      <c r="B291" s="35">
        <v>46261</v>
      </c>
      <c r="C291" s="15" t="s">
        <v>158</v>
      </c>
      <c r="D291" s="15" t="s">
        <v>154</v>
      </c>
      <c r="E291" s="36">
        <v>39091</v>
      </c>
      <c r="F291" s="37">
        <v>0.02</v>
      </c>
      <c r="G291" s="15" t="s">
        <v>155</v>
      </c>
    </row>
    <row r="292" spans="1:7" x14ac:dyDescent="0.2">
      <c r="A292" s="15" t="s">
        <v>462</v>
      </c>
      <c r="B292" s="35">
        <v>46145</v>
      </c>
      <c r="C292" s="15" t="s">
        <v>158</v>
      </c>
      <c r="D292" s="15" t="s">
        <v>159</v>
      </c>
      <c r="E292" s="36">
        <v>47988</v>
      </c>
      <c r="F292" s="37">
        <v>0.14000000000000001</v>
      </c>
      <c r="G292" s="15" t="s">
        <v>155</v>
      </c>
    </row>
    <row r="293" spans="1:7" x14ac:dyDescent="0.2">
      <c r="A293" s="15" t="s">
        <v>463</v>
      </c>
      <c r="B293" s="35">
        <v>46195</v>
      </c>
      <c r="C293" s="15" t="s">
        <v>167</v>
      </c>
      <c r="D293" s="15" t="s">
        <v>162</v>
      </c>
      <c r="E293" s="36">
        <v>63710</v>
      </c>
      <c r="F293" s="37">
        <v>0.14000000000000001</v>
      </c>
      <c r="G293" s="15" t="s">
        <v>177</v>
      </c>
    </row>
    <row r="294" spans="1:7" x14ac:dyDescent="0.2">
      <c r="A294" s="15" t="s">
        <v>464</v>
      </c>
      <c r="B294" s="35">
        <v>46205</v>
      </c>
      <c r="C294" s="15" t="s">
        <v>167</v>
      </c>
      <c r="D294" s="15" t="s">
        <v>176</v>
      </c>
      <c r="E294" s="36">
        <v>91031</v>
      </c>
      <c r="F294" s="37">
        <v>6.5000000000000002E-2</v>
      </c>
      <c r="G294" s="15" t="s">
        <v>155</v>
      </c>
    </row>
    <row r="295" spans="1:7" x14ac:dyDescent="0.2">
      <c r="A295" s="15" t="s">
        <v>465</v>
      </c>
      <c r="B295" s="35">
        <v>46237</v>
      </c>
      <c r="C295" s="15" t="s">
        <v>171</v>
      </c>
      <c r="D295" s="15" t="s">
        <v>159</v>
      </c>
      <c r="E295" s="36">
        <v>96792</v>
      </c>
      <c r="F295" s="37">
        <v>0</v>
      </c>
      <c r="G295" s="15" t="s">
        <v>177</v>
      </c>
    </row>
    <row r="296" spans="1:7" x14ac:dyDescent="0.2">
      <c r="A296" s="15" t="s">
        <v>466</v>
      </c>
      <c r="B296" s="35">
        <v>46144</v>
      </c>
      <c r="C296" s="15" t="s">
        <v>167</v>
      </c>
      <c r="D296" s="15" t="s">
        <v>154</v>
      </c>
      <c r="E296" s="36">
        <v>78081</v>
      </c>
      <c r="F296" s="37">
        <v>0.02</v>
      </c>
      <c r="G296" s="15" t="s">
        <v>155</v>
      </c>
    </row>
    <row r="297" spans="1:7" x14ac:dyDescent="0.2">
      <c r="A297" s="15" t="s">
        <v>467</v>
      </c>
      <c r="B297" s="35">
        <v>46206</v>
      </c>
      <c r="C297" s="15" t="s">
        <v>167</v>
      </c>
      <c r="D297" s="15" t="s">
        <v>154</v>
      </c>
      <c r="E297" s="36">
        <v>22123</v>
      </c>
      <c r="F297" s="37">
        <v>8.5000000000000006E-2</v>
      </c>
      <c r="G297" s="15" t="s">
        <v>155</v>
      </c>
    </row>
    <row r="298" spans="1:7" x14ac:dyDescent="0.2">
      <c r="A298" s="15" t="s">
        <v>468</v>
      </c>
      <c r="B298" s="35">
        <v>46255</v>
      </c>
      <c r="C298" s="15" t="s">
        <v>153</v>
      </c>
      <c r="D298" s="15" t="s">
        <v>176</v>
      </c>
      <c r="E298" s="36">
        <v>4315</v>
      </c>
      <c r="F298" s="37">
        <v>0.14000000000000001</v>
      </c>
      <c r="G298" s="15" t="s">
        <v>155</v>
      </c>
    </row>
    <row r="299" spans="1:7" x14ac:dyDescent="0.2">
      <c r="A299" s="15" t="s">
        <v>469</v>
      </c>
      <c r="B299" s="35">
        <v>46177</v>
      </c>
      <c r="C299" s="15" t="s">
        <v>167</v>
      </c>
      <c r="D299" s="15" t="s">
        <v>159</v>
      </c>
      <c r="E299" s="36">
        <v>41562</v>
      </c>
      <c r="F299" s="37">
        <v>0</v>
      </c>
      <c r="G299" s="15" t="s">
        <v>155</v>
      </c>
    </row>
    <row r="300" spans="1:7" x14ac:dyDescent="0.2">
      <c r="A300" s="15" t="s">
        <v>470</v>
      </c>
      <c r="B300" s="35">
        <v>46119</v>
      </c>
      <c r="C300" s="15" t="s">
        <v>167</v>
      </c>
      <c r="D300" s="15" t="s">
        <v>154</v>
      </c>
      <c r="E300" s="36">
        <v>19176</v>
      </c>
      <c r="F300" s="37">
        <v>0</v>
      </c>
      <c r="G300" s="15" t="s">
        <v>155</v>
      </c>
    </row>
    <row r="301" spans="1:7" x14ac:dyDescent="0.2">
      <c r="A301" s="15" t="s">
        <v>471</v>
      </c>
      <c r="B301" s="35">
        <v>46203</v>
      </c>
      <c r="C301" s="15" t="s">
        <v>171</v>
      </c>
      <c r="D301" s="15" t="s">
        <v>176</v>
      </c>
      <c r="E301" s="36">
        <v>41534</v>
      </c>
      <c r="F301" s="37">
        <v>4.4999999999999998E-2</v>
      </c>
      <c r="G301" s="15" t="s">
        <v>177</v>
      </c>
    </row>
    <row r="302" spans="1:7" x14ac:dyDescent="0.2">
      <c r="A302" s="15" t="s">
        <v>472</v>
      </c>
      <c r="B302" s="35">
        <v>46143</v>
      </c>
      <c r="C302" s="15" t="s">
        <v>167</v>
      </c>
      <c r="D302" s="15" t="s">
        <v>162</v>
      </c>
      <c r="E302" s="36">
        <v>65649</v>
      </c>
      <c r="F302" s="37">
        <v>8.5000000000000006E-2</v>
      </c>
      <c r="G302" s="15" t="s">
        <v>164</v>
      </c>
    </row>
    <row r="303" spans="1:7" x14ac:dyDescent="0.2">
      <c r="A303" s="15" t="s">
        <v>473</v>
      </c>
      <c r="B303" s="35">
        <v>46142</v>
      </c>
      <c r="C303" s="15" t="s">
        <v>171</v>
      </c>
      <c r="D303" s="15" t="s">
        <v>162</v>
      </c>
      <c r="E303" s="36">
        <v>80006</v>
      </c>
      <c r="F303" s="37">
        <v>4.4999999999999998E-2</v>
      </c>
      <c r="G303" s="15" t="s">
        <v>155</v>
      </c>
    </row>
    <row r="304" spans="1:7" x14ac:dyDescent="0.2">
      <c r="A304" s="15" t="s">
        <v>474</v>
      </c>
      <c r="B304" s="35">
        <v>46117</v>
      </c>
      <c r="C304" s="15" t="s">
        <v>171</v>
      </c>
      <c r="D304" s="15" t="s">
        <v>162</v>
      </c>
      <c r="E304" s="36">
        <v>66839</v>
      </c>
      <c r="F304" s="37">
        <v>0.14000000000000001</v>
      </c>
      <c r="G304" s="15" t="s">
        <v>155</v>
      </c>
    </row>
    <row r="305" spans="1:7" x14ac:dyDescent="0.2">
      <c r="A305" s="15" t="s">
        <v>475</v>
      </c>
      <c r="B305" s="35">
        <v>46243</v>
      </c>
      <c r="C305" s="15" t="s">
        <v>158</v>
      </c>
      <c r="D305" s="15" t="s">
        <v>176</v>
      </c>
      <c r="E305" s="36">
        <v>92004</v>
      </c>
      <c r="F305" s="37">
        <v>0.14000000000000001</v>
      </c>
      <c r="G305" s="15" t="s">
        <v>155</v>
      </c>
    </row>
    <row r="306" spans="1:7" x14ac:dyDescent="0.2">
      <c r="A306" s="15" t="s">
        <v>476</v>
      </c>
      <c r="B306" s="35">
        <v>46146</v>
      </c>
      <c r="C306" s="15" t="s">
        <v>153</v>
      </c>
      <c r="D306" s="15" t="s">
        <v>162</v>
      </c>
      <c r="E306" s="36">
        <v>62940</v>
      </c>
      <c r="F306" s="37">
        <v>0.02</v>
      </c>
      <c r="G306" s="15" t="s">
        <v>155</v>
      </c>
    </row>
    <row r="307" spans="1:7" x14ac:dyDescent="0.2">
      <c r="A307" s="15" t="s">
        <v>477</v>
      </c>
      <c r="B307" s="35">
        <v>46168</v>
      </c>
      <c r="C307" s="15" t="s">
        <v>153</v>
      </c>
      <c r="D307" s="15" t="s">
        <v>159</v>
      </c>
      <c r="E307" s="36">
        <v>26029</v>
      </c>
      <c r="F307" s="37">
        <v>0.02</v>
      </c>
      <c r="G307" s="15" t="s">
        <v>155</v>
      </c>
    </row>
    <row r="308" spans="1:7" x14ac:dyDescent="0.2">
      <c r="A308" s="15" t="s">
        <v>478</v>
      </c>
      <c r="B308" s="35">
        <v>46249</v>
      </c>
      <c r="C308" s="15" t="s">
        <v>158</v>
      </c>
      <c r="D308" s="15" t="s">
        <v>159</v>
      </c>
      <c r="E308" s="36">
        <v>13779</v>
      </c>
      <c r="F308" s="37">
        <v>0</v>
      </c>
      <c r="G308" s="15" t="s">
        <v>155</v>
      </c>
    </row>
    <row r="309" spans="1:7" x14ac:dyDescent="0.2">
      <c r="A309" s="15" t="s">
        <v>479</v>
      </c>
      <c r="B309" s="35">
        <v>46116</v>
      </c>
      <c r="C309" s="15" t="s">
        <v>158</v>
      </c>
      <c r="D309" s="15" t="s">
        <v>162</v>
      </c>
      <c r="E309" s="36">
        <v>72390</v>
      </c>
      <c r="F309" s="37">
        <v>4.4999999999999998E-2</v>
      </c>
      <c r="G309" s="15" t="s">
        <v>184</v>
      </c>
    </row>
    <row r="310" spans="1:7" x14ac:dyDescent="0.2">
      <c r="A310" s="15" t="s">
        <v>480</v>
      </c>
      <c r="B310" s="35">
        <v>46246</v>
      </c>
      <c r="C310" s="15" t="s">
        <v>153</v>
      </c>
      <c r="D310" s="15" t="s">
        <v>154</v>
      </c>
      <c r="E310" s="36">
        <v>83317</v>
      </c>
      <c r="F310" s="37">
        <v>0.11</v>
      </c>
      <c r="G310" s="15" t="s">
        <v>155</v>
      </c>
    </row>
    <row r="311" spans="1:7" x14ac:dyDescent="0.2">
      <c r="A311" s="15" t="s">
        <v>481</v>
      </c>
      <c r="B311" s="35">
        <v>46148</v>
      </c>
      <c r="C311" s="15" t="s">
        <v>171</v>
      </c>
      <c r="D311" s="15" t="s">
        <v>159</v>
      </c>
      <c r="E311" s="36">
        <v>33365</v>
      </c>
      <c r="F311" s="37">
        <v>4.4999999999999998E-2</v>
      </c>
      <c r="G311" s="15" t="s">
        <v>184</v>
      </c>
    </row>
    <row r="312" spans="1:7" x14ac:dyDescent="0.2">
      <c r="A312" s="15" t="s">
        <v>482</v>
      </c>
      <c r="B312" s="35">
        <v>46131</v>
      </c>
      <c r="C312" s="15" t="s">
        <v>153</v>
      </c>
      <c r="D312" s="15" t="s">
        <v>162</v>
      </c>
      <c r="E312" s="36">
        <v>64942</v>
      </c>
      <c r="F312" s="37">
        <v>8.5000000000000006E-2</v>
      </c>
      <c r="G312" s="15" t="s">
        <v>184</v>
      </c>
    </row>
    <row r="313" spans="1:7" x14ac:dyDescent="0.2">
      <c r="A313" s="15" t="s">
        <v>483</v>
      </c>
      <c r="B313" s="35">
        <v>46238</v>
      </c>
      <c r="C313" s="15" t="s">
        <v>158</v>
      </c>
      <c r="D313" s="15" t="s">
        <v>159</v>
      </c>
      <c r="E313" s="36">
        <v>87356</v>
      </c>
      <c r="F313" s="37">
        <v>6.5000000000000002E-2</v>
      </c>
      <c r="G313" s="15" t="s">
        <v>155</v>
      </c>
    </row>
    <row r="314" spans="1:7" x14ac:dyDescent="0.2">
      <c r="A314" s="15" t="s">
        <v>484</v>
      </c>
      <c r="B314" s="35">
        <v>46183</v>
      </c>
      <c r="C314" s="15" t="s">
        <v>171</v>
      </c>
      <c r="D314" s="15" t="s">
        <v>159</v>
      </c>
      <c r="E314" s="36">
        <v>66342</v>
      </c>
      <c r="F314" s="37">
        <v>0</v>
      </c>
      <c r="G314" s="15" t="s">
        <v>155</v>
      </c>
    </row>
    <row r="315" spans="1:7" x14ac:dyDescent="0.2">
      <c r="A315" s="15" t="s">
        <v>485</v>
      </c>
      <c r="B315" s="35">
        <v>46171</v>
      </c>
      <c r="C315" s="15" t="s">
        <v>158</v>
      </c>
      <c r="D315" s="15" t="s">
        <v>176</v>
      </c>
      <c r="E315" s="36">
        <v>85032</v>
      </c>
      <c r="F315" s="37">
        <v>0.11</v>
      </c>
      <c r="G315" s="15" t="s">
        <v>155</v>
      </c>
    </row>
    <row r="316" spans="1:7" x14ac:dyDescent="0.2">
      <c r="A316" s="15" t="s">
        <v>486</v>
      </c>
      <c r="B316" s="35">
        <v>46118</v>
      </c>
      <c r="C316" s="15" t="s">
        <v>158</v>
      </c>
      <c r="D316" s="15" t="s">
        <v>159</v>
      </c>
      <c r="E316" s="36">
        <v>25791</v>
      </c>
      <c r="F316" s="37">
        <v>4.4999999999999998E-2</v>
      </c>
      <c r="G316" s="15" t="s">
        <v>177</v>
      </c>
    </row>
    <row r="317" spans="1:7" x14ac:dyDescent="0.2">
      <c r="A317" s="15" t="s">
        <v>487</v>
      </c>
      <c r="B317" s="35">
        <v>46115</v>
      </c>
      <c r="C317" s="15" t="s">
        <v>153</v>
      </c>
      <c r="D317" s="15" t="s">
        <v>176</v>
      </c>
      <c r="E317" s="36">
        <v>66552</v>
      </c>
      <c r="F317" s="37">
        <v>4.4999999999999998E-2</v>
      </c>
      <c r="G317" s="15" t="s">
        <v>155</v>
      </c>
    </row>
    <row r="318" spans="1:7" x14ac:dyDescent="0.2">
      <c r="A318" s="15" t="s">
        <v>488</v>
      </c>
      <c r="B318" s="35">
        <v>46169</v>
      </c>
      <c r="C318" s="15" t="s">
        <v>167</v>
      </c>
      <c r="D318" s="15" t="s">
        <v>159</v>
      </c>
      <c r="E318" s="36">
        <v>34996</v>
      </c>
      <c r="F318" s="37">
        <v>0.14000000000000001</v>
      </c>
      <c r="G318" s="15" t="s">
        <v>184</v>
      </c>
    </row>
    <row r="319" spans="1:7" x14ac:dyDescent="0.2">
      <c r="A319" s="15" t="s">
        <v>489</v>
      </c>
      <c r="B319" s="35">
        <v>46155</v>
      </c>
      <c r="C319" s="15" t="s">
        <v>158</v>
      </c>
      <c r="D319" s="15" t="s">
        <v>159</v>
      </c>
      <c r="E319" s="36">
        <v>65747</v>
      </c>
      <c r="F319" s="37">
        <v>6.5000000000000002E-2</v>
      </c>
      <c r="G319" s="15" t="s">
        <v>155</v>
      </c>
    </row>
    <row r="320" spans="1:7" x14ac:dyDescent="0.2">
      <c r="A320" s="15" t="s">
        <v>490</v>
      </c>
      <c r="B320" s="35">
        <v>46215</v>
      </c>
      <c r="C320" s="15" t="s">
        <v>158</v>
      </c>
      <c r="D320" s="15" t="s">
        <v>154</v>
      </c>
      <c r="E320" s="36">
        <v>31944</v>
      </c>
      <c r="F320" s="37">
        <v>6.5000000000000002E-2</v>
      </c>
      <c r="G320" s="15" t="s">
        <v>184</v>
      </c>
    </row>
    <row r="321" spans="1:7" x14ac:dyDescent="0.2">
      <c r="A321" s="15" t="s">
        <v>491</v>
      </c>
      <c r="B321" s="35">
        <v>46191</v>
      </c>
      <c r="C321" s="15" t="s">
        <v>171</v>
      </c>
      <c r="D321" s="15" t="s">
        <v>176</v>
      </c>
      <c r="E321" s="36">
        <v>78074</v>
      </c>
      <c r="F321" s="37">
        <v>0.02</v>
      </c>
      <c r="G321" s="15" t="s">
        <v>155</v>
      </c>
    </row>
    <row r="322" spans="1:7" x14ac:dyDescent="0.2">
      <c r="A322" s="15" t="s">
        <v>492</v>
      </c>
      <c r="B322" s="35">
        <v>46119</v>
      </c>
      <c r="C322" s="15" t="s">
        <v>158</v>
      </c>
      <c r="D322" s="15" t="s">
        <v>162</v>
      </c>
      <c r="E322" s="36">
        <v>64935</v>
      </c>
      <c r="F322" s="37">
        <v>0.14000000000000001</v>
      </c>
      <c r="G322" s="15" t="s">
        <v>184</v>
      </c>
    </row>
    <row r="323" spans="1:7" x14ac:dyDescent="0.2">
      <c r="A323" s="15" t="s">
        <v>493</v>
      </c>
      <c r="B323" s="35">
        <v>46145</v>
      </c>
      <c r="C323" s="15" t="s">
        <v>171</v>
      </c>
      <c r="D323" s="15" t="s">
        <v>159</v>
      </c>
      <c r="E323" s="36">
        <v>16404</v>
      </c>
      <c r="F323" s="37">
        <v>0.11</v>
      </c>
      <c r="G323" s="15" t="s">
        <v>184</v>
      </c>
    </row>
    <row r="324" spans="1:7" x14ac:dyDescent="0.2">
      <c r="A324" s="15" t="s">
        <v>494</v>
      </c>
      <c r="B324" s="35">
        <v>46235</v>
      </c>
      <c r="C324" s="15" t="s">
        <v>158</v>
      </c>
      <c r="D324" s="15" t="s">
        <v>159</v>
      </c>
      <c r="E324" s="36">
        <v>12834</v>
      </c>
      <c r="F324" s="37">
        <v>4.4999999999999998E-2</v>
      </c>
      <c r="G324" s="15" t="s">
        <v>155</v>
      </c>
    </row>
    <row r="325" spans="1:7" x14ac:dyDescent="0.2">
      <c r="A325" s="15" t="s">
        <v>495</v>
      </c>
      <c r="B325" s="35">
        <v>46190</v>
      </c>
      <c r="C325" s="15" t="s">
        <v>153</v>
      </c>
      <c r="D325" s="15" t="s">
        <v>159</v>
      </c>
      <c r="E325" s="36">
        <v>90828</v>
      </c>
      <c r="F325" s="37">
        <v>8.5000000000000006E-2</v>
      </c>
      <c r="G325" s="15" t="s">
        <v>155</v>
      </c>
    </row>
    <row r="326" spans="1:7" x14ac:dyDescent="0.2">
      <c r="A326" s="15" t="s">
        <v>496</v>
      </c>
      <c r="B326" s="35">
        <v>46124</v>
      </c>
      <c r="C326" s="15" t="s">
        <v>153</v>
      </c>
      <c r="D326" s="15" t="s">
        <v>162</v>
      </c>
      <c r="E326" s="36">
        <v>31440</v>
      </c>
      <c r="F326" s="37">
        <v>8.5000000000000006E-2</v>
      </c>
      <c r="G326" s="15" t="s">
        <v>155</v>
      </c>
    </row>
    <row r="327" spans="1:7" x14ac:dyDescent="0.2">
      <c r="A327" s="15" t="s">
        <v>497</v>
      </c>
      <c r="B327" s="35">
        <v>46159</v>
      </c>
      <c r="C327" s="15" t="s">
        <v>167</v>
      </c>
      <c r="D327" s="15" t="s">
        <v>159</v>
      </c>
      <c r="E327" s="36">
        <v>12253</v>
      </c>
      <c r="F327" s="37">
        <v>6.5000000000000002E-2</v>
      </c>
      <c r="G327" s="15" t="s">
        <v>155</v>
      </c>
    </row>
    <row r="328" spans="1:7" x14ac:dyDescent="0.2">
      <c r="A328" s="15" t="s">
        <v>498</v>
      </c>
      <c r="B328" s="35">
        <v>46176</v>
      </c>
      <c r="C328" s="15" t="s">
        <v>153</v>
      </c>
      <c r="D328" s="15" t="s">
        <v>159</v>
      </c>
      <c r="E328" s="36">
        <v>51208</v>
      </c>
      <c r="F328" s="37">
        <v>0</v>
      </c>
      <c r="G328" s="15" t="s">
        <v>155</v>
      </c>
    </row>
    <row r="329" spans="1:7" x14ac:dyDescent="0.2">
      <c r="A329" s="15" t="s">
        <v>499</v>
      </c>
      <c r="B329" s="35">
        <v>46119</v>
      </c>
      <c r="C329" s="15" t="s">
        <v>171</v>
      </c>
      <c r="D329" s="15" t="s">
        <v>159</v>
      </c>
      <c r="E329" s="36">
        <v>20842</v>
      </c>
      <c r="F329" s="37">
        <v>6.5000000000000002E-2</v>
      </c>
      <c r="G329" s="15" t="s">
        <v>164</v>
      </c>
    </row>
    <row r="330" spans="1:7" x14ac:dyDescent="0.2">
      <c r="A330" s="15" t="s">
        <v>500</v>
      </c>
      <c r="B330" s="35">
        <v>46120</v>
      </c>
      <c r="C330" s="15" t="s">
        <v>167</v>
      </c>
      <c r="D330" s="15" t="s">
        <v>162</v>
      </c>
      <c r="E330" s="36">
        <v>13359</v>
      </c>
      <c r="F330" s="37">
        <v>0.02</v>
      </c>
      <c r="G330" s="15" t="s">
        <v>184</v>
      </c>
    </row>
    <row r="331" spans="1:7" x14ac:dyDescent="0.2">
      <c r="A331" s="15" t="s">
        <v>501</v>
      </c>
      <c r="B331" s="35">
        <v>46239</v>
      </c>
      <c r="C331" s="15" t="s">
        <v>167</v>
      </c>
      <c r="D331" s="15" t="s">
        <v>176</v>
      </c>
      <c r="E331" s="36">
        <v>79705</v>
      </c>
      <c r="F331" s="37">
        <v>0.11</v>
      </c>
      <c r="G331" s="15" t="s">
        <v>177</v>
      </c>
    </row>
    <row r="332" spans="1:7" x14ac:dyDescent="0.2">
      <c r="A332" s="15" t="s">
        <v>502</v>
      </c>
      <c r="B332" s="35">
        <v>46221</v>
      </c>
      <c r="C332" s="15" t="s">
        <v>171</v>
      </c>
      <c r="D332" s="15" t="s">
        <v>162</v>
      </c>
      <c r="E332" s="36">
        <v>8130</v>
      </c>
      <c r="F332" s="37">
        <v>8.5000000000000006E-2</v>
      </c>
      <c r="G332" s="15" t="s">
        <v>155</v>
      </c>
    </row>
    <row r="333" spans="1:7" x14ac:dyDescent="0.2">
      <c r="A333" s="15" t="s">
        <v>503</v>
      </c>
      <c r="B333" s="35">
        <v>46192</v>
      </c>
      <c r="C333" s="15" t="s">
        <v>167</v>
      </c>
      <c r="D333" s="15" t="s">
        <v>159</v>
      </c>
      <c r="E333" s="36">
        <v>88259</v>
      </c>
      <c r="F333" s="37">
        <v>8.5000000000000006E-2</v>
      </c>
      <c r="G333" s="15" t="s">
        <v>155</v>
      </c>
    </row>
    <row r="334" spans="1:7" x14ac:dyDescent="0.2">
      <c r="A334" s="15" t="s">
        <v>504</v>
      </c>
      <c r="B334" s="35">
        <v>46210</v>
      </c>
      <c r="C334" s="15" t="s">
        <v>153</v>
      </c>
      <c r="D334" s="15" t="s">
        <v>162</v>
      </c>
      <c r="E334" s="36">
        <v>42052</v>
      </c>
      <c r="F334" s="37">
        <v>4.4999999999999998E-2</v>
      </c>
      <c r="G334" s="15" t="s">
        <v>184</v>
      </c>
    </row>
    <row r="335" spans="1:7" x14ac:dyDescent="0.2">
      <c r="A335" s="15" t="s">
        <v>505</v>
      </c>
      <c r="B335" s="35">
        <v>46168</v>
      </c>
      <c r="C335" s="15" t="s">
        <v>167</v>
      </c>
      <c r="D335" s="15" t="s">
        <v>159</v>
      </c>
      <c r="E335" s="36">
        <v>84045</v>
      </c>
      <c r="F335" s="37">
        <v>0.14000000000000001</v>
      </c>
      <c r="G335" s="15" t="s">
        <v>155</v>
      </c>
    </row>
    <row r="336" spans="1:7" x14ac:dyDescent="0.2">
      <c r="A336" s="15" t="s">
        <v>506</v>
      </c>
      <c r="B336" s="35">
        <v>46221</v>
      </c>
      <c r="C336" s="15" t="s">
        <v>171</v>
      </c>
      <c r="D336" s="15" t="s">
        <v>159</v>
      </c>
      <c r="E336" s="36">
        <v>93215</v>
      </c>
      <c r="F336" s="37">
        <v>4.4999999999999998E-2</v>
      </c>
      <c r="G336" s="15" t="s">
        <v>155</v>
      </c>
    </row>
    <row r="337" spans="1:7" x14ac:dyDescent="0.2">
      <c r="A337" s="15" t="s">
        <v>507</v>
      </c>
      <c r="B337" s="35">
        <v>46166</v>
      </c>
      <c r="C337" s="15" t="s">
        <v>167</v>
      </c>
      <c r="D337" s="15" t="s">
        <v>159</v>
      </c>
      <c r="E337" s="36">
        <v>22473</v>
      </c>
      <c r="F337" s="37">
        <v>6.5000000000000002E-2</v>
      </c>
      <c r="G337" s="15" t="s">
        <v>155</v>
      </c>
    </row>
    <row r="338" spans="1:7" x14ac:dyDescent="0.2">
      <c r="A338" s="15" t="s">
        <v>508</v>
      </c>
      <c r="B338" s="35">
        <v>46153</v>
      </c>
      <c r="C338" s="15" t="s">
        <v>167</v>
      </c>
      <c r="D338" s="15" t="s">
        <v>176</v>
      </c>
      <c r="E338" s="36">
        <v>75281</v>
      </c>
      <c r="F338" s="37">
        <v>0.11</v>
      </c>
      <c r="G338" s="15" t="s">
        <v>155</v>
      </c>
    </row>
    <row r="339" spans="1:7" x14ac:dyDescent="0.2">
      <c r="A339" s="15" t="s">
        <v>509</v>
      </c>
      <c r="B339" s="35">
        <v>46168</v>
      </c>
      <c r="C339" s="15" t="s">
        <v>171</v>
      </c>
      <c r="D339" s="15" t="s">
        <v>154</v>
      </c>
      <c r="E339" s="36">
        <v>73461</v>
      </c>
      <c r="F339" s="37">
        <v>4.4999999999999998E-2</v>
      </c>
      <c r="G339" s="15" t="s">
        <v>155</v>
      </c>
    </row>
    <row r="340" spans="1:7" x14ac:dyDescent="0.2">
      <c r="A340" s="15" t="s">
        <v>510</v>
      </c>
      <c r="B340" s="35">
        <v>46213</v>
      </c>
      <c r="C340" s="15" t="s">
        <v>158</v>
      </c>
      <c r="D340" s="15" t="s">
        <v>154</v>
      </c>
      <c r="E340" s="36">
        <v>13387</v>
      </c>
      <c r="F340" s="37">
        <v>0.14000000000000001</v>
      </c>
      <c r="G340" s="15" t="s">
        <v>155</v>
      </c>
    </row>
    <row r="341" spans="1:7" x14ac:dyDescent="0.2">
      <c r="A341" s="15" t="s">
        <v>511</v>
      </c>
      <c r="B341" s="35">
        <v>46249</v>
      </c>
      <c r="C341" s="15" t="s">
        <v>171</v>
      </c>
      <c r="D341" s="15" t="s">
        <v>176</v>
      </c>
      <c r="E341" s="36">
        <v>59300</v>
      </c>
      <c r="F341" s="37">
        <v>0.14000000000000001</v>
      </c>
      <c r="G341" s="15" t="s">
        <v>155</v>
      </c>
    </row>
    <row r="342" spans="1:7" x14ac:dyDescent="0.2">
      <c r="A342" s="15" t="s">
        <v>512</v>
      </c>
      <c r="B342" s="35">
        <v>46156</v>
      </c>
      <c r="C342" s="15" t="s">
        <v>167</v>
      </c>
      <c r="D342" s="15" t="s">
        <v>159</v>
      </c>
      <c r="E342" s="36">
        <v>37159</v>
      </c>
      <c r="F342" s="37">
        <v>0.11</v>
      </c>
      <c r="G342" s="15" t="s">
        <v>155</v>
      </c>
    </row>
    <row r="343" spans="1:7" x14ac:dyDescent="0.2">
      <c r="A343" s="15" t="s">
        <v>513</v>
      </c>
      <c r="B343" s="35">
        <v>46219</v>
      </c>
      <c r="C343" s="15" t="s">
        <v>171</v>
      </c>
      <c r="D343" s="15" t="s">
        <v>162</v>
      </c>
      <c r="E343" s="36">
        <v>32938</v>
      </c>
      <c r="F343" s="37">
        <v>0.02</v>
      </c>
      <c r="G343" s="15" t="s">
        <v>155</v>
      </c>
    </row>
    <row r="344" spans="1:7" x14ac:dyDescent="0.2">
      <c r="A344" s="15" t="s">
        <v>514</v>
      </c>
      <c r="B344" s="35">
        <v>46135</v>
      </c>
      <c r="C344" s="15" t="s">
        <v>167</v>
      </c>
      <c r="D344" s="15" t="s">
        <v>162</v>
      </c>
      <c r="E344" s="36">
        <v>68645</v>
      </c>
      <c r="F344" s="37">
        <v>0.14000000000000001</v>
      </c>
      <c r="G344" s="15" t="s">
        <v>155</v>
      </c>
    </row>
    <row r="345" spans="1:7" x14ac:dyDescent="0.2">
      <c r="A345" s="15" t="s">
        <v>515</v>
      </c>
      <c r="B345" s="35">
        <v>46257</v>
      </c>
      <c r="C345" s="15" t="s">
        <v>158</v>
      </c>
      <c r="D345" s="15" t="s">
        <v>159</v>
      </c>
      <c r="E345" s="36">
        <v>97233</v>
      </c>
      <c r="F345" s="37">
        <v>0</v>
      </c>
      <c r="G345" s="15" t="s">
        <v>155</v>
      </c>
    </row>
    <row r="346" spans="1:7" x14ac:dyDescent="0.2">
      <c r="A346" s="15" t="s">
        <v>516</v>
      </c>
      <c r="B346" s="35">
        <v>46120</v>
      </c>
      <c r="C346" s="15" t="s">
        <v>171</v>
      </c>
      <c r="D346" s="15" t="s">
        <v>162</v>
      </c>
      <c r="E346" s="36">
        <v>8529</v>
      </c>
      <c r="F346" s="37">
        <v>0.11</v>
      </c>
      <c r="G346" s="15" t="s">
        <v>164</v>
      </c>
    </row>
    <row r="347" spans="1:7" x14ac:dyDescent="0.2">
      <c r="A347" s="15" t="s">
        <v>517</v>
      </c>
      <c r="B347" s="35">
        <v>46208</v>
      </c>
      <c r="C347" s="15" t="s">
        <v>167</v>
      </c>
      <c r="D347" s="15" t="s">
        <v>162</v>
      </c>
      <c r="E347" s="36">
        <v>34576</v>
      </c>
      <c r="F347" s="37">
        <v>0</v>
      </c>
      <c r="G347" s="15" t="s">
        <v>155</v>
      </c>
    </row>
    <row r="348" spans="1:7" x14ac:dyDescent="0.2">
      <c r="A348" s="15" t="s">
        <v>518</v>
      </c>
      <c r="B348" s="35">
        <v>46156</v>
      </c>
      <c r="C348" s="15" t="s">
        <v>158</v>
      </c>
      <c r="D348" s="15" t="s">
        <v>154</v>
      </c>
      <c r="E348" s="36">
        <v>37278</v>
      </c>
      <c r="F348" s="37">
        <v>6.5000000000000002E-2</v>
      </c>
      <c r="G348" s="15" t="s">
        <v>155</v>
      </c>
    </row>
    <row r="349" spans="1:7" x14ac:dyDescent="0.2">
      <c r="A349" s="15" t="s">
        <v>519</v>
      </c>
      <c r="B349" s="35">
        <v>46161</v>
      </c>
      <c r="C349" s="15" t="s">
        <v>158</v>
      </c>
      <c r="D349" s="15" t="s">
        <v>159</v>
      </c>
      <c r="E349" s="36">
        <v>19708</v>
      </c>
      <c r="F349" s="37">
        <v>0.11</v>
      </c>
      <c r="G349" s="15" t="s">
        <v>155</v>
      </c>
    </row>
    <row r="350" spans="1:7" x14ac:dyDescent="0.2">
      <c r="A350" s="15" t="s">
        <v>520</v>
      </c>
      <c r="B350" s="35">
        <v>46188</v>
      </c>
      <c r="C350" s="15" t="s">
        <v>158</v>
      </c>
      <c r="D350" s="15" t="s">
        <v>159</v>
      </c>
      <c r="E350" s="36">
        <v>31111</v>
      </c>
      <c r="F350" s="37">
        <v>0.14000000000000001</v>
      </c>
      <c r="G350" s="15" t="s">
        <v>164</v>
      </c>
    </row>
    <row r="351" spans="1:7" x14ac:dyDescent="0.2">
      <c r="A351" s="15" t="s">
        <v>521</v>
      </c>
      <c r="B351" s="35">
        <v>46222</v>
      </c>
      <c r="C351" s="15" t="s">
        <v>171</v>
      </c>
      <c r="D351" s="15" t="s">
        <v>154</v>
      </c>
      <c r="E351" s="36">
        <v>30572</v>
      </c>
      <c r="F351" s="37">
        <v>4.4999999999999998E-2</v>
      </c>
      <c r="G351" s="15" t="s">
        <v>155</v>
      </c>
    </row>
    <row r="352" spans="1:7" x14ac:dyDescent="0.2">
      <c r="A352" s="15" t="s">
        <v>522</v>
      </c>
      <c r="B352" s="35">
        <v>46131</v>
      </c>
      <c r="C352" s="15" t="s">
        <v>167</v>
      </c>
      <c r="D352" s="15" t="s">
        <v>154</v>
      </c>
      <c r="E352" s="36">
        <v>8410</v>
      </c>
      <c r="F352" s="37">
        <v>8.5000000000000006E-2</v>
      </c>
      <c r="G352" s="15" t="s">
        <v>177</v>
      </c>
    </row>
    <row r="353" spans="1:7" x14ac:dyDescent="0.2">
      <c r="A353" s="15" t="s">
        <v>523</v>
      </c>
      <c r="B353" s="35">
        <v>46186</v>
      </c>
      <c r="C353" s="15" t="s">
        <v>158</v>
      </c>
      <c r="D353" s="15" t="s">
        <v>159</v>
      </c>
      <c r="E353" s="36">
        <v>2789</v>
      </c>
      <c r="F353" s="37">
        <v>4.4999999999999998E-2</v>
      </c>
      <c r="G353" s="15" t="s">
        <v>184</v>
      </c>
    </row>
    <row r="354" spans="1:7" x14ac:dyDescent="0.2">
      <c r="A354" s="15" t="s">
        <v>524</v>
      </c>
      <c r="B354" s="35">
        <v>46249</v>
      </c>
      <c r="C354" s="15" t="s">
        <v>158</v>
      </c>
      <c r="D354" s="15" t="s">
        <v>176</v>
      </c>
      <c r="E354" s="36">
        <v>48408</v>
      </c>
      <c r="F354" s="37">
        <v>0</v>
      </c>
      <c r="G354" s="15" t="s">
        <v>155</v>
      </c>
    </row>
    <row r="355" spans="1:7" x14ac:dyDescent="0.2">
      <c r="A355" s="15" t="s">
        <v>525</v>
      </c>
      <c r="B355" s="35">
        <v>46181</v>
      </c>
      <c r="C355" s="15" t="s">
        <v>153</v>
      </c>
      <c r="D355" s="15" t="s">
        <v>154</v>
      </c>
      <c r="E355" s="36">
        <v>90282</v>
      </c>
      <c r="F355" s="37">
        <v>0</v>
      </c>
      <c r="G355" s="15" t="s">
        <v>184</v>
      </c>
    </row>
    <row r="356" spans="1:7" x14ac:dyDescent="0.2">
      <c r="A356" s="15" t="s">
        <v>526</v>
      </c>
      <c r="B356" s="35">
        <v>46252</v>
      </c>
      <c r="C356" s="15" t="s">
        <v>167</v>
      </c>
      <c r="D356" s="15" t="s">
        <v>176</v>
      </c>
      <c r="E356" s="36">
        <v>30677</v>
      </c>
      <c r="F356" s="37">
        <v>0</v>
      </c>
      <c r="G356" s="15" t="s">
        <v>155</v>
      </c>
    </row>
    <row r="357" spans="1:7" x14ac:dyDescent="0.2">
      <c r="A357" s="15" t="s">
        <v>527</v>
      </c>
      <c r="B357" s="35">
        <v>46173</v>
      </c>
      <c r="C357" s="15" t="s">
        <v>167</v>
      </c>
      <c r="D357" s="15" t="s">
        <v>154</v>
      </c>
      <c r="E357" s="36">
        <v>48737</v>
      </c>
      <c r="F357" s="37">
        <v>6.5000000000000002E-2</v>
      </c>
      <c r="G357" s="15" t="s">
        <v>155</v>
      </c>
    </row>
    <row r="358" spans="1:7" x14ac:dyDescent="0.2">
      <c r="A358" s="15" t="s">
        <v>528</v>
      </c>
      <c r="B358" s="35">
        <v>46120</v>
      </c>
      <c r="C358" s="15" t="s">
        <v>153</v>
      </c>
      <c r="D358" s="15" t="s">
        <v>162</v>
      </c>
      <c r="E358" s="36">
        <v>2964</v>
      </c>
      <c r="F358" s="37">
        <v>6.5000000000000002E-2</v>
      </c>
      <c r="G358" s="15" t="s">
        <v>155</v>
      </c>
    </row>
    <row r="359" spans="1:7" x14ac:dyDescent="0.2">
      <c r="A359" s="15" t="s">
        <v>529</v>
      </c>
      <c r="B359" s="35">
        <v>46131</v>
      </c>
      <c r="C359" s="15" t="s">
        <v>153</v>
      </c>
      <c r="D359" s="15" t="s">
        <v>159</v>
      </c>
      <c r="E359" s="36">
        <v>7766</v>
      </c>
      <c r="F359" s="37">
        <v>0</v>
      </c>
      <c r="G359" s="15" t="s">
        <v>184</v>
      </c>
    </row>
    <row r="360" spans="1:7" x14ac:dyDescent="0.2">
      <c r="A360" s="15" t="s">
        <v>530</v>
      </c>
      <c r="B360" s="35">
        <v>46116</v>
      </c>
      <c r="C360" s="15" t="s">
        <v>167</v>
      </c>
      <c r="D360" s="15" t="s">
        <v>176</v>
      </c>
      <c r="E360" s="36">
        <v>12260</v>
      </c>
      <c r="F360" s="37">
        <v>8.5000000000000006E-2</v>
      </c>
      <c r="G360" s="15" t="s">
        <v>164</v>
      </c>
    </row>
    <row r="361" spans="1:7" x14ac:dyDescent="0.2">
      <c r="A361" s="15" t="s">
        <v>531</v>
      </c>
      <c r="B361" s="35">
        <v>46199</v>
      </c>
      <c r="C361" s="15" t="s">
        <v>153</v>
      </c>
      <c r="D361" s="15" t="s">
        <v>154</v>
      </c>
      <c r="E361" s="36">
        <v>28171</v>
      </c>
      <c r="F361" s="37">
        <v>4.4999999999999998E-2</v>
      </c>
      <c r="G361" s="15" t="s">
        <v>155</v>
      </c>
    </row>
    <row r="362" spans="1:7" x14ac:dyDescent="0.2">
      <c r="A362" s="15" t="s">
        <v>532</v>
      </c>
      <c r="B362" s="35">
        <v>46129</v>
      </c>
      <c r="C362" s="15" t="s">
        <v>158</v>
      </c>
      <c r="D362" s="15" t="s">
        <v>154</v>
      </c>
      <c r="E362" s="36">
        <v>3832</v>
      </c>
      <c r="F362" s="37">
        <v>6.5000000000000002E-2</v>
      </c>
      <c r="G362" s="15" t="s">
        <v>155</v>
      </c>
    </row>
    <row r="363" spans="1:7" x14ac:dyDescent="0.2">
      <c r="A363" s="15" t="s">
        <v>533</v>
      </c>
      <c r="B363" s="35">
        <v>46176</v>
      </c>
      <c r="C363" s="15" t="s">
        <v>153</v>
      </c>
      <c r="D363" s="15" t="s">
        <v>162</v>
      </c>
      <c r="E363" s="36">
        <v>36739</v>
      </c>
      <c r="F363" s="37">
        <v>0.14000000000000001</v>
      </c>
      <c r="G363" s="15" t="s">
        <v>155</v>
      </c>
    </row>
    <row r="364" spans="1:7" x14ac:dyDescent="0.2">
      <c r="A364" s="15" t="s">
        <v>534</v>
      </c>
      <c r="B364" s="35">
        <v>46156</v>
      </c>
      <c r="C364" s="15" t="s">
        <v>158</v>
      </c>
      <c r="D364" s="15" t="s">
        <v>176</v>
      </c>
      <c r="E364" s="36">
        <v>15305</v>
      </c>
      <c r="F364" s="37">
        <v>0.14000000000000001</v>
      </c>
      <c r="G364" s="15" t="s">
        <v>164</v>
      </c>
    </row>
    <row r="365" spans="1:7" x14ac:dyDescent="0.2">
      <c r="A365" s="15" t="s">
        <v>535</v>
      </c>
      <c r="B365" s="35">
        <v>46155</v>
      </c>
      <c r="C365" s="15" t="s">
        <v>171</v>
      </c>
      <c r="D365" s="15" t="s">
        <v>176</v>
      </c>
      <c r="E365" s="36">
        <v>11959</v>
      </c>
      <c r="F365" s="37">
        <v>8.5000000000000006E-2</v>
      </c>
      <c r="G365" s="15" t="s">
        <v>164</v>
      </c>
    </row>
    <row r="366" spans="1:7" x14ac:dyDescent="0.2">
      <c r="A366" s="15" t="s">
        <v>536</v>
      </c>
      <c r="B366" s="35">
        <v>46128</v>
      </c>
      <c r="C366" s="15" t="s">
        <v>158</v>
      </c>
      <c r="D366" s="15" t="s">
        <v>154</v>
      </c>
      <c r="E366" s="36">
        <v>79852</v>
      </c>
      <c r="F366" s="37">
        <v>0.02</v>
      </c>
      <c r="G366" s="15" t="s">
        <v>184</v>
      </c>
    </row>
    <row r="367" spans="1:7" x14ac:dyDescent="0.2">
      <c r="A367" s="15" t="s">
        <v>537</v>
      </c>
      <c r="B367" s="35">
        <v>46189</v>
      </c>
      <c r="C367" s="15" t="s">
        <v>167</v>
      </c>
      <c r="D367" s="15" t="s">
        <v>159</v>
      </c>
      <c r="E367" s="36">
        <v>65558</v>
      </c>
      <c r="F367" s="37">
        <v>0.11</v>
      </c>
      <c r="G367" s="15" t="s">
        <v>155</v>
      </c>
    </row>
    <row r="368" spans="1:7" x14ac:dyDescent="0.2">
      <c r="A368" s="15" t="s">
        <v>538</v>
      </c>
      <c r="B368" s="35">
        <v>46210</v>
      </c>
      <c r="C368" s="15" t="s">
        <v>153</v>
      </c>
      <c r="D368" s="15" t="s">
        <v>159</v>
      </c>
      <c r="E368" s="36">
        <v>67315</v>
      </c>
      <c r="F368" s="37">
        <v>8.5000000000000006E-2</v>
      </c>
      <c r="G368" s="15" t="s">
        <v>155</v>
      </c>
    </row>
    <row r="369" spans="1:7" x14ac:dyDescent="0.2">
      <c r="A369" s="15" t="s">
        <v>539</v>
      </c>
      <c r="B369" s="35">
        <v>46137</v>
      </c>
      <c r="C369" s="15" t="s">
        <v>158</v>
      </c>
      <c r="D369" s="15" t="s">
        <v>154</v>
      </c>
      <c r="E369" s="36">
        <v>41373</v>
      </c>
      <c r="F369" s="37">
        <v>4.4999999999999998E-2</v>
      </c>
      <c r="G369" s="15" t="s">
        <v>155</v>
      </c>
    </row>
    <row r="370" spans="1:7" x14ac:dyDescent="0.2">
      <c r="A370" s="15" t="s">
        <v>540</v>
      </c>
      <c r="B370" s="35">
        <v>46231</v>
      </c>
      <c r="C370" s="15" t="s">
        <v>158</v>
      </c>
      <c r="D370" s="15" t="s">
        <v>176</v>
      </c>
      <c r="E370" s="36">
        <v>37320</v>
      </c>
      <c r="F370" s="37">
        <v>4.4999999999999998E-2</v>
      </c>
      <c r="G370" s="15" t="s">
        <v>155</v>
      </c>
    </row>
    <row r="371" spans="1:7" x14ac:dyDescent="0.2">
      <c r="A371" s="15" t="s">
        <v>541</v>
      </c>
      <c r="B371" s="35">
        <v>46241</v>
      </c>
      <c r="C371" s="15" t="s">
        <v>167</v>
      </c>
      <c r="D371" s="15" t="s">
        <v>159</v>
      </c>
      <c r="E371" s="36">
        <v>90625</v>
      </c>
      <c r="F371" s="37">
        <v>4.4999999999999998E-2</v>
      </c>
      <c r="G371" s="15" t="s">
        <v>155</v>
      </c>
    </row>
    <row r="372" spans="1:7" x14ac:dyDescent="0.2">
      <c r="A372" s="15" t="s">
        <v>542</v>
      </c>
      <c r="B372" s="35">
        <v>46203</v>
      </c>
      <c r="C372" s="15" t="s">
        <v>171</v>
      </c>
      <c r="D372" s="15" t="s">
        <v>162</v>
      </c>
      <c r="E372" s="36">
        <v>53497</v>
      </c>
      <c r="F372" s="37">
        <v>0.14000000000000001</v>
      </c>
      <c r="G372" s="15" t="s">
        <v>155</v>
      </c>
    </row>
    <row r="373" spans="1:7" x14ac:dyDescent="0.2">
      <c r="A373" s="15" t="s">
        <v>543</v>
      </c>
      <c r="B373" s="35">
        <v>46249</v>
      </c>
      <c r="C373" s="15" t="s">
        <v>158</v>
      </c>
      <c r="D373" s="15" t="s">
        <v>159</v>
      </c>
      <c r="E373" s="36">
        <v>70843</v>
      </c>
      <c r="F373" s="37">
        <v>0</v>
      </c>
      <c r="G373" s="15" t="s">
        <v>177</v>
      </c>
    </row>
    <row r="374" spans="1:7" x14ac:dyDescent="0.2">
      <c r="A374" s="15" t="s">
        <v>544</v>
      </c>
      <c r="B374" s="35">
        <v>46220</v>
      </c>
      <c r="C374" s="15" t="s">
        <v>153</v>
      </c>
      <c r="D374" s="15" t="s">
        <v>154</v>
      </c>
      <c r="E374" s="36">
        <v>72957</v>
      </c>
      <c r="F374" s="37">
        <v>0</v>
      </c>
      <c r="G374" s="15" t="s">
        <v>164</v>
      </c>
    </row>
    <row r="375" spans="1:7" x14ac:dyDescent="0.2">
      <c r="A375" s="15" t="s">
        <v>545</v>
      </c>
      <c r="B375" s="35">
        <v>46215</v>
      </c>
      <c r="C375" s="15" t="s">
        <v>167</v>
      </c>
      <c r="D375" s="15" t="s">
        <v>154</v>
      </c>
      <c r="E375" s="36">
        <v>76282</v>
      </c>
      <c r="F375" s="37">
        <v>6.5000000000000002E-2</v>
      </c>
      <c r="G375" s="15" t="s">
        <v>164</v>
      </c>
    </row>
    <row r="376" spans="1:7" x14ac:dyDescent="0.2">
      <c r="A376" s="15" t="s">
        <v>546</v>
      </c>
      <c r="B376" s="35">
        <v>46118</v>
      </c>
      <c r="C376" s="15" t="s">
        <v>158</v>
      </c>
      <c r="D376" s="15" t="s">
        <v>154</v>
      </c>
      <c r="E376" s="36">
        <v>83107</v>
      </c>
      <c r="F376" s="37">
        <v>0.02</v>
      </c>
      <c r="G376" s="15" t="s">
        <v>155</v>
      </c>
    </row>
    <row r="377" spans="1:7" x14ac:dyDescent="0.2">
      <c r="A377" s="15" t="s">
        <v>547</v>
      </c>
      <c r="B377" s="35">
        <v>46211</v>
      </c>
      <c r="C377" s="15" t="s">
        <v>153</v>
      </c>
      <c r="D377" s="15" t="s">
        <v>176</v>
      </c>
      <c r="E377" s="36">
        <v>71746</v>
      </c>
      <c r="F377" s="37">
        <v>0.11</v>
      </c>
      <c r="G377" s="15" t="s">
        <v>155</v>
      </c>
    </row>
    <row r="378" spans="1:7" x14ac:dyDescent="0.2">
      <c r="A378" s="15" t="s">
        <v>548</v>
      </c>
      <c r="B378" s="35">
        <v>46166</v>
      </c>
      <c r="C378" s="15" t="s">
        <v>167</v>
      </c>
      <c r="D378" s="15" t="s">
        <v>159</v>
      </c>
      <c r="E378" s="36">
        <v>5554</v>
      </c>
      <c r="F378" s="37">
        <v>8.5000000000000006E-2</v>
      </c>
      <c r="G378" s="15" t="s">
        <v>177</v>
      </c>
    </row>
    <row r="379" spans="1:7" x14ac:dyDescent="0.2">
      <c r="A379" s="15" t="s">
        <v>549</v>
      </c>
      <c r="B379" s="35">
        <v>46133</v>
      </c>
      <c r="C379" s="15" t="s">
        <v>171</v>
      </c>
      <c r="D379" s="15" t="s">
        <v>162</v>
      </c>
      <c r="E379" s="36">
        <v>47554</v>
      </c>
      <c r="F379" s="37">
        <v>0.11</v>
      </c>
      <c r="G379" s="15" t="s">
        <v>155</v>
      </c>
    </row>
    <row r="380" spans="1:7" x14ac:dyDescent="0.2">
      <c r="A380" s="15" t="s">
        <v>550</v>
      </c>
      <c r="B380" s="35">
        <v>46183</v>
      </c>
      <c r="C380" s="15" t="s">
        <v>158</v>
      </c>
      <c r="D380" s="15" t="s">
        <v>159</v>
      </c>
      <c r="E380" s="36">
        <v>37446</v>
      </c>
      <c r="F380" s="37">
        <v>6.5000000000000002E-2</v>
      </c>
      <c r="G380" s="15" t="s">
        <v>155</v>
      </c>
    </row>
    <row r="381" spans="1:7" x14ac:dyDescent="0.2">
      <c r="A381" s="15" t="s">
        <v>551</v>
      </c>
      <c r="B381" s="35">
        <v>46255</v>
      </c>
      <c r="C381" s="15" t="s">
        <v>153</v>
      </c>
      <c r="D381" s="15" t="s">
        <v>159</v>
      </c>
      <c r="E381" s="36">
        <v>70899</v>
      </c>
      <c r="F381" s="37">
        <v>0.11</v>
      </c>
      <c r="G381" s="15" t="s">
        <v>155</v>
      </c>
    </row>
    <row r="382" spans="1:7" x14ac:dyDescent="0.2">
      <c r="A382" s="15" t="s">
        <v>552</v>
      </c>
      <c r="B382" s="35">
        <v>46250</v>
      </c>
      <c r="C382" s="15" t="s">
        <v>167</v>
      </c>
      <c r="D382" s="15" t="s">
        <v>154</v>
      </c>
      <c r="E382" s="36">
        <v>25924</v>
      </c>
      <c r="F382" s="37">
        <v>0</v>
      </c>
      <c r="G382" s="15" t="s">
        <v>155</v>
      </c>
    </row>
    <row r="383" spans="1:7" x14ac:dyDescent="0.2">
      <c r="A383" s="15" t="s">
        <v>553</v>
      </c>
      <c r="B383" s="35">
        <v>46130</v>
      </c>
      <c r="C383" s="15" t="s">
        <v>171</v>
      </c>
      <c r="D383" s="15" t="s">
        <v>162</v>
      </c>
      <c r="E383" s="36">
        <v>69331</v>
      </c>
      <c r="F383" s="37">
        <v>0.11</v>
      </c>
      <c r="G383" s="15" t="s">
        <v>177</v>
      </c>
    </row>
    <row r="384" spans="1:7" x14ac:dyDescent="0.2">
      <c r="A384" s="15" t="s">
        <v>554</v>
      </c>
      <c r="B384" s="35">
        <v>46177</v>
      </c>
      <c r="C384" s="15" t="s">
        <v>167</v>
      </c>
      <c r="D384" s="15" t="s">
        <v>159</v>
      </c>
      <c r="E384" s="36">
        <v>54260</v>
      </c>
      <c r="F384" s="37">
        <v>8.5000000000000006E-2</v>
      </c>
      <c r="G384" s="15" t="s">
        <v>164</v>
      </c>
    </row>
    <row r="385" spans="1:7" x14ac:dyDescent="0.2">
      <c r="A385" s="15" t="s">
        <v>555</v>
      </c>
      <c r="B385" s="35">
        <v>46221</v>
      </c>
      <c r="C385" s="15" t="s">
        <v>171</v>
      </c>
      <c r="D385" s="15" t="s">
        <v>176</v>
      </c>
      <c r="E385" s="36">
        <v>50067</v>
      </c>
      <c r="F385" s="37">
        <v>4.4999999999999998E-2</v>
      </c>
      <c r="G385" s="15" t="s">
        <v>155</v>
      </c>
    </row>
    <row r="386" spans="1:7" x14ac:dyDescent="0.2">
      <c r="A386" s="15" t="s">
        <v>556</v>
      </c>
      <c r="B386" s="35">
        <v>46262</v>
      </c>
      <c r="C386" s="15" t="s">
        <v>153</v>
      </c>
      <c r="D386" s="15" t="s">
        <v>154</v>
      </c>
      <c r="E386" s="36">
        <v>78718</v>
      </c>
      <c r="F386" s="37">
        <v>4.4999999999999998E-2</v>
      </c>
      <c r="G386" s="15" t="s">
        <v>164</v>
      </c>
    </row>
    <row r="387" spans="1:7" x14ac:dyDescent="0.2">
      <c r="A387" s="15" t="s">
        <v>557</v>
      </c>
      <c r="B387" s="35">
        <v>46141</v>
      </c>
      <c r="C387" s="15" t="s">
        <v>153</v>
      </c>
      <c r="D387" s="15" t="s">
        <v>159</v>
      </c>
      <c r="E387" s="36">
        <v>14892</v>
      </c>
      <c r="F387" s="37">
        <v>0.14000000000000001</v>
      </c>
      <c r="G387" s="15" t="s">
        <v>155</v>
      </c>
    </row>
    <row r="388" spans="1:7" x14ac:dyDescent="0.2">
      <c r="A388" s="15" t="s">
        <v>558</v>
      </c>
      <c r="B388" s="35">
        <v>46225</v>
      </c>
      <c r="C388" s="15" t="s">
        <v>153</v>
      </c>
      <c r="D388" s="15" t="s">
        <v>159</v>
      </c>
      <c r="E388" s="36">
        <v>79929</v>
      </c>
      <c r="F388" s="37">
        <v>0.02</v>
      </c>
      <c r="G388" s="15" t="s">
        <v>177</v>
      </c>
    </row>
    <row r="389" spans="1:7" x14ac:dyDescent="0.2">
      <c r="A389" s="15" t="s">
        <v>559</v>
      </c>
      <c r="B389" s="35">
        <v>46184</v>
      </c>
      <c r="C389" s="15" t="s">
        <v>153</v>
      </c>
      <c r="D389" s="15" t="s">
        <v>159</v>
      </c>
      <c r="E389" s="36">
        <v>44110</v>
      </c>
      <c r="F389" s="37">
        <v>4.4999999999999998E-2</v>
      </c>
      <c r="G389" s="15" t="s">
        <v>155</v>
      </c>
    </row>
    <row r="390" spans="1:7" x14ac:dyDescent="0.2">
      <c r="A390" s="15" t="s">
        <v>560</v>
      </c>
      <c r="B390" s="35">
        <v>46150</v>
      </c>
      <c r="C390" s="15" t="s">
        <v>171</v>
      </c>
      <c r="D390" s="15" t="s">
        <v>176</v>
      </c>
      <c r="E390" s="36">
        <v>58684</v>
      </c>
      <c r="F390" s="37">
        <v>0.02</v>
      </c>
      <c r="G390" s="15" t="s">
        <v>155</v>
      </c>
    </row>
    <row r="391" spans="1:7" x14ac:dyDescent="0.2">
      <c r="A391" s="15" t="s">
        <v>561</v>
      </c>
      <c r="B391" s="35">
        <v>46181</v>
      </c>
      <c r="C391" s="15" t="s">
        <v>153</v>
      </c>
      <c r="D391" s="15" t="s">
        <v>162</v>
      </c>
      <c r="E391" s="36">
        <v>79348</v>
      </c>
      <c r="F391" s="37">
        <v>0.11</v>
      </c>
      <c r="G391" s="15" t="s">
        <v>177</v>
      </c>
    </row>
    <row r="392" spans="1:7" x14ac:dyDescent="0.2">
      <c r="A392" s="15" t="s">
        <v>562</v>
      </c>
      <c r="B392" s="35">
        <v>46254</v>
      </c>
      <c r="C392" s="15" t="s">
        <v>167</v>
      </c>
      <c r="D392" s="15" t="s">
        <v>162</v>
      </c>
      <c r="E392" s="36">
        <v>30047</v>
      </c>
      <c r="F392" s="37">
        <v>0.11</v>
      </c>
      <c r="G392" s="15" t="s">
        <v>155</v>
      </c>
    </row>
    <row r="393" spans="1:7" x14ac:dyDescent="0.2">
      <c r="A393" s="15" t="s">
        <v>563</v>
      </c>
      <c r="B393" s="35">
        <v>46232</v>
      </c>
      <c r="C393" s="15" t="s">
        <v>171</v>
      </c>
      <c r="D393" s="15" t="s">
        <v>159</v>
      </c>
      <c r="E393" s="36">
        <v>45818</v>
      </c>
      <c r="F393" s="37">
        <v>8.5000000000000006E-2</v>
      </c>
      <c r="G393" s="15" t="s">
        <v>155</v>
      </c>
    </row>
    <row r="394" spans="1:7" x14ac:dyDescent="0.2">
      <c r="A394" s="15" t="s">
        <v>564</v>
      </c>
      <c r="B394" s="35">
        <v>46237</v>
      </c>
      <c r="C394" s="15" t="s">
        <v>158</v>
      </c>
      <c r="D394" s="15" t="s">
        <v>159</v>
      </c>
      <c r="E394" s="36">
        <v>34674</v>
      </c>
      <c r="F394" s="37">
        <v>8.5000000000000006E-2</v>
      </c>
      <c r="G394" s="15" t="s">
        <v>155</v>
      </c>
    </row>
    <row r="395" spans="1:7" x14ac:dyDescent="0.2">
      <c r="A395" s="15" t="s">
        <v>565</v>
      </c>
      <c r="B395" s="35">
        <v>46260</v>
      </c>
      <c r="C395" s="15" t="s">
        <v>153</v>
      </c>
      <c r="D395" s="15" t="s">
        <v>159</v>
      </c>
      <c r="E395" s="36">
        <v>94874</v>
      </c>
      <c r="F395" s="37">
        <v>0.14000000000000001</v>
      </c>
      <c r="G395" s="15" t="s">
        <v>164</v>
      </c>
    </row>
    <row r="396" spans="1:7" x14ac:dyDescent="0.2">
      <c r="A396" s="15" t="s">
        <v>566</v>
      </c>
      <c r="B396" s="35">
        <v>46238</v>
      </c>
      <c r="C396" s="15" t="s">
        <v>153</v>
      </c>
      <c r="D396" s="15" t="s">
        <v>154</v>
      </c>
      <c r="E396" s="36">
        <v>42059</v>
      </c>
      <c r="F396" s="37">
        <v>4.4999999999999998E-2</v>
      </c>
      <c r="G396" s="15" t="s">
        <v>155</v>
      </c>
    </row>
    <row r="397" spans="1:7" x14ac:dyDescent="0.2">
      <c r="A397" s="15" t="s">
        <v>567</v>
      </c>
      <c r="B397" s="35">
        <v>46218</v>
      </c>
      <c r="C397" s="15" t="s">
        <v>158</v>
      </c>
      <c r="D397" s="15" t="s">
        <v>154</v>
      </c>
      <c r="E397" s="36">
        <v>7808</v>
      </c>
      <c r="F397" s="37">
        <v>4.4999999999999998E-2</v>
      </c>
      <c r="G397" s="15" t="s">
        <v>177</v>
      </c>
    </row>
    <row r="398" spans="1:7" x14ac:dyDescent="0.2">
      <c r="A398" s="15" t="s">
        <v>568</v>
      </c>
      <c r="B398" s="35">
        <v>46187</v>
      </c>
      <c r="C398" s="15" t="s">
        <v>153</v>
      </c>
      <c r="D398" s="15" t="s">
        <v>162</v>
      </c>
      <c r="E398" s="36">
        <v>85536</v>
      </c>
      <c r="F398" s="37">
        <v>0.14000000000000001</v>
      </c>
      <c r="G398" s="15" t="s">
        <v>164</v>
      </c>
    </row>
    <row r="399" spans="1:7" x14ac:dyDescent="0.2">
      <c r="A399" s="15" t="s">
        <v>569</v>
      </c>
      <c r="B399" s="35">
        <v>46218</v>
      </c>
      <c r="C399" s="15" t="s">
        <v>158</v>
      </c>
      <c r="D399" s="15" t="s">
        <v>159</v>
      </c>
      <c r="E399" s="36">
        <v>83219</v>
      </c>
      <c r="F399" s="37">
        <v>8.5000000000000006E-2</v>
      </c>
      <c r="G399" s="15" t="s">
        <v>155</v>
      </c>
    </row>
    <row r="400" spans="1:7" x14ac:dyDescent="0.2">
      <c r="A400" s="15" t="s">
        <v>570</v>
      </c>
      <c r="B400" s="35">
        <v>46130</v>
      </c>
      <c r="C400" s="15" t="s">
        <v>158</v>
      </c>
      <c r="D400" s="15" t="s">
        <v>162</v>
      </c>
      <c r="E400" s="36">
        <v>51285</v>
      </c>
      <c r="F400" s="37">
        <v>4.4999999999999998E-2</v>
      </c>
      <c r="G400" s="15" t="s">
        <v>164</v>
      </c>
    </row>
    <row r="401" spans="1:7" x14ac:dyDescent="0.2">
      <c r="A401" s="15" t="s">
        <v>571</v>
      </c>
      <c r="B401" s="35">
        <v>46245</v>
      </c>
      <c r="C401" s="15" t="s">
        <v>158</v>
      </c>
      <c r="D401" s="15" t="s">
        <v>159</v>
      </c>
      <c r="E401" s="36">
        <v>3909</v>
      </c>
      <c r="F401" s="37">
        <v>6.5000000000000002E-2</v>
      </c>
      <c r="G401" s="15" t="s">
        <v>155</v>
      </c>
    </row>
    <row r="402" spans="1:7" x14ac:dyDescent="0.2">
      <c r="A402" s="15" t="s">
        <v>572</v>
      </c>
      <c r="B402" s="35">
        <v>46164</v>
      </c>
      <c r="C402" s="15" t="s">
        <v>158</v>
      </c>
      <c r="D402" s="15" t="s">
        <v>154</v>
      </c>
      <c r="E402" s="36">
        <v>33470</v>
      </c>
      <c r="F402" s="37">
        <v>0</v>
      </c>
      <c r="G402" s="15" t="s">
        <v>184</v>
      </c>
    </row>
    <row r="403" spans="1:7" x14ac:dyDescent="0.2">
      <c r="A403" s="15" t="s">
        <v>573</v>
      </c>
      <c r="B403" s="35">
        <v>46148</v>
      </c>
      <c r="C403" s="15" t="s">
        <v>167</v>
      </c>
      <c r="D403" s="15" t="s">
        <v>176</v>
      </c>
      <c r="E403" s="36">
        <v>80937</v>
      </c>
      <c r="F403" s="37">
        <v>6.5000000000000002E-2</v>
      </c>
      <c r="G403" s="15" t="s">
        <v>155</v>
      </c>
    </row>
    <row r="404" spans="1:7" x14ac:dyDescent="0.2">
      <c r="A404" s="15" t="s">
        <v>574</v>
      </c>
      <c r="B404" s="35">
        <v>46148</v>
      </c>
      <c r="C404" s="15" t="s">
        <v>153</v>
      </c>
      <c r="D404" s="15" t="s">
        <v>162</v>
      </c>
      <c r="E404" s="36">
        <v>39105</v>
      </c>
      <c r="F404" s="37">
        <v>0.14000000000000001</v>
      </c>
      <c r="G404" s="15" t="s">
        <v>155</v>
      </c>
    </row>
    <row r="405" spans="1:7" x14ac:dyDescent="0.2">
      <c r="A405" s="15" t="s">
        <v>575</v>
      </c>
      <c r="B405" s="35">
        <v>46200</v>
      </c>
      <c r="C405" s="15" t="s">
        <v>167</v>
      </c>
      <c r="D405" s="15" t="s">
        <v>176</v>
      </c>
      <c r="E405" s="36">
        <v>34408</v>
      </c>
      <c r="F405" s="37">
        <v>6.5000000000000002E-2</v>
      </c>
      <c r="G405" s="15" t="s">
        <v>184</v>
      </c>
    </row>
    <row r="406" spans="1:7" x14ac:dyDescent="0.2">
      <c r="A406" s="15" t="s">
        <v>576</v>
      </c>
      <c r="B406" s="35">
        <v>46232</v>
      </c>
      <c r="C406" s="15" t="s">
        <v>158</v>
      </c>
      <c r="D406" s="15" t="s">
        <v>154</v>
      </c>
      <c r="E406" s="36">
        <v>84591</v>
      </c>
      <c r="F406" s="37">
        <v>0.11</v>
      </c>
      <c r="G406" s="15" t="s">
        <v>155</v>
      </c>
    </row>
    <row r="407" spans="1:7" x14ac:dyDescent="0.2">
      <c r="A407" s="15" t="s">
        <v>577</v>
      </c>
      <c r="B407" s="35">
        <v>46234</v>
      </c>
      <c r="C407" s="15" t="s">
        <v>153</v>
      </c>
      <c r="D407" s="15" t="s">
        <v>176</v>
      </c>
      <c r="E407" s="36">
        <v>89407</v>
      </c>
      <c r="F407" s="37">
        <v>0</v>
      </c>
      <c r="G407" s="15" t="s">
        <v>177</v>
      </c>
    </row>
    <row r="408" spans="1:7" x14ac:dyDescent="0.2">
      <c r="A408" s="15" t="s">
        <v>578</v>
      </c>
      <c r="B408" s="35">
        <v>46211</v>
      </c>
      <c r="C408" s="15" t="s">
        <v>153</v>
      </c>
      <c r="D408" s="15" t="s">
        <v>162</v>
      </c>
      <c r="E408" s="36">
        <v>92928</v>
      </c>
      <c r="F408" s="37">
        <v>8.5000000000000006E-2</v>
      </c>
      <c r="G408" s="15" t="s">
        <v>155</v>
      </c>
    </row>
    <row r="409" spans="1:7" x14ac:dyDescent="0.2">
      <c r="A409" s="15" t="s">
        <v>579</v>
      </c>
      <c r="B409" s="35">
        <v>46248</v>
      </c>
      <c r="C409" s="15" t="s">
        <v>167</v>
      </c>
      <c r="D409" s="15" t="s">
        <v>159</v>
      </c>
      <c r="E409" s="36">
        <v>15228</v>
      </c>
      <c r="F409" s="37">
        <v>0</v>
      </c>
      <c r="G409" s="15" t="s">
        <v>177</v>
      </c>
    </row>
    <row r="410" spans="1:7" x14ac:dyDescent="0.2">
      <c r="A410" s="15" t="s">
        <v>580</v>
      </c>
      <c r="B410" s="35">
        <v>46184</v>
      </c>
      <c r="C410" s="15" t="s">
        <v>158</v>
      </c>
      <c r="D410" s="15" t="s">
        <v>176</v>
      </c>
      <c r="E410" s="36">
        <v>35255</v>
      </c>
      <c r="F410" s="37">
        <v>0.11</v>
      </c>
      <c r="G410" s="15" t="s">
        <v>155</v>
      </c>
    </row>
    <row r="411" spans="1:7" x14ac:dyDescent="0.2">
      <c r="A411" s="15" t="s">
        <v>581</v>
      </c>
      <c r="B411" s="35">
        <v>46194</v>
      </c>
      <c r="C411" s="15" t="s">
        <v>171</v>
      </c>
      <c r="D411" s="15" t="s">
        <v>176</v>
      </c>
      <c r="E411" s="36">
        <v>89267</v>
      </c>
      <c r="F411" s="37">
        <v>4.4999999999999998E-2</v>
      </c>
      <c r="G411" s="15" t="s">
        <v>155</v>
      </c>
    </row>
    <row r="412" spans="1:7" x14ac:dyDescent="0.2">
      <c r="A412" s="15" t="s">
        <v>582</v>
      </c>
      <c r="B412" s="35">
        <v>46240</v>
      </c>
      <c r="C412" s="15" t="s">
        <v>153</v>
      </c>
      <c r="D412" s="15" t="s">
        <v>159</v>
      </c>
      <c r="E412" s="36">
        <v>48982</v>
      </c>
      <c r="F412" s="37">
        <v>0.02</v>
      </c>
      <c r="G412" s="15" t="s">
        <v>155</v>
      </c>
    </row>
    <row r="413" spans="1:7" x14ac:dyDescent="0.2">
      <c r="A413" s="15" t="s">
        <v>583</v>
      </c>
      <c r="B413" s="35">
        <v>46236</v>
      </c>
      <c r="C413" s="15" t="s">
        <v>171</v>
      </c>
      <c r="D413" s="15" t="s">
        <v>154</v>
      </c>
      <c r="E413" s="36">
        <v>37768</v>
      </c>
      <c r="F413" s="37">
        <v>6.5000000000000002E-2</v>
      </c>
      <c r="G413" s="15" t="s">
        <v>155</v>
      </c>
    </row>
    <row r="414" spans="1:7" x14ac:dyDescent="0.2">
      <c r="A414" s="15" t="s">
        <v>584</v>
      </c>
      <c r="B414" s="35">
        <v>46232</v>
      </c>
      <c r="C414" s="15" t="s">
        <v>167</v>
      </c>
      <c r="D414" s="15" t="s">
        <v>162</v>
      </c>
      <c r="E414" s="36">
        <v>68358</v>
      </c>
      <c r="F414" s="37">
        <v>0</v>
      </c>
      <c r="G414" s="15" t="s">
        <v>155</v>
      </c>
    </row>
    <row r="415" spans="1:7" x14ac:dyDescent="0.2">
      <c r="A415" s="15" t="s">
        <v>585</v>
      </c>
      <c r="B415" s="35">
        <v>46182</v>
      </c>
      <c r="C415" s="15" t="s">
        <v>158</v>
      </c>
      <c r="D415" s="15" t="s">
        <v>159</v>
      </c>
      <c r="E415" s="36">
        <v>3524</v>
      </c>
      <c r="F415" s="37">
        <v>6.5000000000000002E-2</v>
      </c>
      <c r="G415" s="15" t="s">
        <v>155</v>
      </c>
    </row>
    <row r="416" spans="1:7" x14ac:dyDescent="0.2">
      <c r="A416" s="15" t="s">
        <v>586</v>
      </c>
      <c r="B416" s="35">
        <v>46157</v>
      </c>
      <c r="C416" s="15" t="s">
        <v>153</v>
      </c>
      <c r="D416" s="15" t="s">
        <v>154</v>
      </c>
      <c r="E416" s="36">
        <v>63374</v>
      </c>
      <c r="F416" s="37">
        <v>4.4999999999999998E-2</v>
      </c>
      <c r="G416" s="15" t="s">
        <v>184</v>
      </c>
    </row>
    <row r="417" spans="1:7" x14ac:dyDescent="0.2">
      <c r="A417" s="15" t="s">
        <v>587</v>
      </c>
      <c r="B417" s="35">
        <v>46116</v>
      </c>
      <c r="C417" s="15" t="s">
        <v>158</v>
      </c>
      <c r="D417" s="15" t="s">
        <v>176</v>
      </c>
      <c r="E417" s="36">
        <v>40477</v>
      </c>
      <c r="F417" s="37">
        <v>8.5000000000000006E-2</v>
      </c>
      <c r="G417" s="15" t="s">
        <v>164</v>
      </c>
    </row>
    <row r="418" spans="1:7" x14ac:dyDescent="0.2">
      <c r="A418" s="15" t="s">
        <v>588</v>
      </c>
      <c r="B418" s="35">
        <v>46184</v>
      </c>
      <c r="C418" s="15" t="s">
        <v>167</v>
      </c>
      <c r="D418" s="15" t="s">
        <v>162</v>
      </c>
      <c r="E418" s="36">
        <v>23838</v>
      </c>
      <c r="F418" s="37">
        <v>4.4999999999999998E-2</v>
      </c>
      <c r="G418" s="15" t="s">
        <v>177</v>
      </c>
    </row>
    <row r="419" spans="1:7" x14ac:dyDescent="0.2">
      <c r="A419" s="15" t="s">
        <v>589</v>
      </c>
      <c r="B419" s="35">
        <v>46165</v>
      </c>
      <c r="C419" s="15" t="s">
        <v>171</v>
      </c>
      <c r="D419" s="15" t="s">
        <v>154</v>
      </c>
      <c r="E419" s="36">
        <v>65523</v>
      </c>
      <c r="F419" s="37">
        <v>0.14000000000000001</v>
      </c>
      <c r="G419" s="15" t="s">
        <v>155</v>
      </c>
    </row>
    <row r="420" spans="1:7" x14ac:dyDescent="0.2">
      <c r="A420" s="15" t="s">
        <v>590</v>
      </c>
      <c r="B420" s="35">
        <v>46199</v>
      </c>
      <c r="C420" s="15" t="s">
        <v>153</v>
      </c>
      <c r="D420" s="15" t="s">
        <v>162</v>
      </c>
      <c r="E420" s="36">
        <v>7633</v>
      </c>
      <c r="F420" s="37">
        <v>8.5000000000000006E-2</v>
      </c>
      <c r="G420" s="15" t="s">
        <v>155</v>
      </c>
    </row>
    <row r="421" spans="1:7" x14ac:dyDescent="0.2">
      <c r="A421" s="15" t="s">
        <v>591</v>
      </c>
      <c r="B421" s="35">
        <v>46187</v>
      </c>
      <c r="C421" s="15" t="s">
        <v>153</v>
      </c>
      <c r="D421" s="15" t="s">
        <v>154</v>
      </c>
      <c r="E421" s="36">
        <v>83961</v>
      </c>
      <c r="F421" s="37">
        <v>0.14000000000000001</v>
      </c>
      <c r="G421" s="15" t="s">
        <v>155</v>
      </c>
    </row>
    <row r="422" spans="1:7" x14ac:dyDescent="0.2">
      <c r="A422" s="15" t="s">
        <v>592</v>
      </c>
      <c r="B422" s="35">
        <v>46187</v>
      </c>
      <c r="C422" s="15" t="s">
        <v>167</v>
      </c>
      <c r="D422" s="15" t="s">
        <v>154</v>
      </c>
      <c r="E422" s="36">
        <v>14108</v>
      </c>
      <c r="F422" s="37">
        <v>8.5000000000000006E-2</v>
      </c>
      <c r="G422" s="15" t="s">
        <v>155</v>
      </c>
    </row>
    <row r="423" spans="1:7" x14ac:dyDescent="0.2">
      <c r="A423" s="15" t="s">
        <v>593</v>
      </c>
      <c r="B423" s="35">
        <v>46156</v>
      </c>
      <c r="C423" s="15" t="s">
        <v>171</v>
      </c>
      <c r="D423" s="15" t="s">
        <v>159</v>
      </c>
      <c r="E423" s="36">
        <v>19792</v>
      </c>
      <c r="F423" s="37">
        <v>0</v>
      </c>
      <c r="G423" s="15" t="s">
        <v>177</v>
      </c>
    </row>
    <row r="424" spans="1:7" x14ac:dyDescent="0.2">
      <c r="A424" s="15" t="s">
        <v>594</v>
      </c>
      <c r="B424" s="35">
        <v>46206</v>
      </c>
      <c r="C424" s="15" t="s">
        <v>153</v>
      </c>
      <c r="D424" s="15" t="s">
        <v>162</v>
      </c>
      <c r="E424" s="36">
        <v>72187</v>
      </c>
      <c r="F424" s="37">
        <v>0</v>
      </c>
      <c r="G424" s="15" t="s">
        <v>184</v>
      </c>
    </row>
    <row r="425" spans="1:7" x14ac:dyDescent="0.2">
      <c r="A425" s="15" t="s">
        <v>595</v>
      </c>
      <c r="B425" s="35">
        <v>46189</v>
      </c>
      <c r="C425" s="15" t="s">
        <v>153</v>
      </c>
      <c r="D425" s="15" t="s">
        <v>159</v>
      </c>
      <c r="E425" s="36">
        <v>15270</v>
      </c>
      <c r="F425" s="37">
        <v>4.4999999999999998E-2</v>
      </c>
      <c r="G425" s="15" t="s">
        <v>184</v>
      </c>
    </row>
    <row r="426" spans="1:7" x14ac:dyDescent="0.2">
      <c r="A426" s="15" t="s">
        <v>596</v>
      </c>
      <c r="B426" s="35">
        <v>46133</v>
      </c>
      <c r="C426" s="15" t="s">
        <v>171</v>
      </c>
      <c r="D426" s="15" t="s">
        <v>159</v>
      </c>
      <c r="E426" s="36">
        <v>14759</v>
      </c>
      <c r="F426" s="37">
        <v>0.02</v>
      </c>
      <c r="G426" s="15" t="s">
        <v>155</v>
      </c>
    </row>
    <row r="427" spans="1:7" x14ac:dyDescent="0.2">
      <c r="A427" s="15" t="s">
        <v>597</v>
      </c>
      <c r="B427" s="35">
        <v>46199</v>
      </c>
      <c r="C427" s="15" t="s">
        <v>153</v>
      </c>
      <c r="D427" s="15" t="s">
        <v>154</v>
      </c>
      <c r="E427" s="36">
        <v>5477</v>
      </c>
      <c r="F427" s="37">
        <v>0.11</v>
      </c>
      <c r="G427" s="15" t="s">
        <v>164</v>
      </c>
    </row>
    <row r="428" spans="1:7" x14ac:dyDescent="0.2">
      <c r="A428" s="15" t="s">
        <v>598</v>
      </c>
      <c r="B428" s="35">
        <v>46128</v>
      </c>
      <c r="C428" s="15" t="s">
        <v>167</v>
      </c>
      <c r="D428" s="15" t="s">
        <v>176</v>
      </c>
      <c r="E428" s="36">
        <v>15613</v>
      </c>
      <c r="F428" s="37">
        <v>0</v>
      </c>
      <c r="G428" s="15" t="s">
        <v>177</v>
      </c>
    </row>
    <row r="429" spans="1:7" x14ac:dyDescent="0.2">
      <c r="A429" s="15" t="s">
        <v>599</v>
      </c>
      <c r="B429" s="35">
        <v>46205</v>
      </c>
      <c r="C429" s="15" t="s">
        <v>167</v>
      </c>
      <c r="D429" s="15" t="s">
        <v>159</v>
      </c>
      <c r="E429" s="36">
        <v>61134</v>
      </c>
      <c r="F429" s="37">
        <v>4.4999999999999998E-2</v>
      </c>
      <c r="G429" s="15" t="s">
        <v>164</v>
      </c>
    </row>
  </sheetData>
  <mergeCells count="12">
    <mergeCell ref="I8:K8"/>
    <mergeCell ref="I9:K9"/>
    <mergeCell ref="I10:K10"/>
    <mergeCell ref="I11:K11"/>
    <mergeCell ref="A1:G1"/>
    <mergeCell ref="I2:K2"/>
    <mergeCell ref="A3:G7"/>
    <mergeCell ref="I3:K3"/>
    <mergeCell ref="I4:K4"/>
    <mergeCell ref="I5:K5"/>
    <mergeCell ref="I6:K6"/>
    <mergeCell ref="I7:K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0"/>
  <sheetViews>
    <sheetView showGridLines="0" zoomScaleNormal="100" workbookViewId="0"/>
  </sheetViews>
  <sheetFormatPr baseColWidth="10" defaultColWidth="8.6640625" defaultRowHeight="15" x14ac:dyDescent="0.2"/>
  <cols>
    <col min="1" max="1" width="12" customWidth="1"/>
    <col min="2" max="2" width="18" customWidth="1"/>
    <col min="3" max="3" width="14" customWidth="1"/>
    <col min="4" max="4" width="4" customWidth="1"/>
    <col min="5" max="5" width="14" customWidth="1"/>
    <col min="6" max="6" width="22" customWidth="1"/>
    <col min="7" max="7" width="30" customWidth="1"/>
    <col min="8" max="8" width="40" customWidth="1"/>
    <col min="9" max="9" width="4" customWidth="1"/>
  </cols>
  <sheetData>
    <row r="1" spans="1:9" ht="25.5" customHeight="1" x14ac:dyDescent="0.2">
      <c r="A1" s="12" t="s">
        <v>600</v>
      </c>
      <c r="B1" s="12"/>
      <c r="C1" s="12"/>
      <c r="D1" s="12"/>
      <c r="E1" s="12"/>
      <c r="F1" s="12"/>
      <c r="G1" s="12"/>
      <c r="H1" s="12"/>
      <c r="I1" s="12"/>
    </row>
    <row r="2" spans="1:9" ht="30" customHeight="1" x14ac:dyDescent="0.2">
      <c r="A2" s="11" t="s">
        <v>601</v>
      </c>
      <c r="B2" s="11"/>
      <c r="C2" s="11"/>
      <c r="D2" s="11"/>
      <c r="E2" s="11"/>
      <c r="F2" s="11"/>
      <c r="G2" s="11"/>
      <c r="H2" s="11"/>
      <c r="I2" s="11"/>
    </row>
    <row r="4" spans="1:9" ht="15" customHeight="1" x14ac:dyDescent="0.2">
      <c r="A4" s="10" t="s">
        <v>602</v>
      </c>
      <c r="B4" s="10"/>
      <c r="C4" s="10"/>
      <c r="D4" s="10"/>
      <c r="E4" s="10"/>
      <c r="F4" s="10"/>
      <c r="G4" s="10"/>
      <c r="H4" s="10"/>
    </row>
    <row r="5" spans="1:9" x14ac:dyDescent="0.2">
      <c r="A5" s="10"/>
      <c r="B5" s="10"/>
      <c r="C5" s="10"/>
      <c r="D5" s="10"/>
      <c r="E5" s="10"/>
      <c r="F5" s="10"/>
      <c r="G5" s="10"/>
      <c r="H5" s="10"/>
    </row>
    <row r="6" spans="1:9" x14ac:dyDescent="0.2">
      <c r="A6" s="10"/>
      <c r="B6" s="10"/>
      <c r="C6" s="10"/>
      <c r="D6" s="10"/>
      <c r="E6" s="10"/>
      <c r="F6" s="10"/>
      <c r="G6" s="10"/>
      <c r="H6" s="10"/>
    </row>
    <row r="7" spans="1:9" x14ac:dyDescent="0.2">
      <c r="A7" s="10"/>
      <c r="B7" s="10"/>
      <c r="C7" s="10"/>
      <c r="D7" s="10"/>
      <c r="E7" s="10"/>
      <c r="F7" s="10"/>
      <c r="G7" s="10"/>
      <c r="H7" s="10"/>
    </row>
    <row r="9" spans="1:9" x14ac:dyDescent="0.2">
      <c r="A9" s="13" t="s">
        <v>603</v>
      </c>
    </row>
    <row r="10" spans="1:9" ht="42" customHeight="1" x14ac:dyDescent="0.2">
      <c r="A10" s="8" t="s">
        <v>604</v>
      </c>
      <c r="B10" s="8"/>
      <c r="C10" s="8"/>
      <c r="D10" s="8"/>
      <c r="E10" s="8"/>
      <c r="F10" s="8"/>
      <c r="G10" s="8"/>
      <c r="H10" s="8"/>
    </row>
    <row r="12" spans="1:9" x14ac:dyDescent="0.2">
      <c r="A12" s="18" t="s">
        <v>605</v>
      </c>
      <c r="B12" s="18" t="s">
        <v>606</v>
      </c>
      <c r="C12" s="18" t="s">
        <v>607</v>
      </c>
      <c r="E12" s="18" t="s">
        <v>608</v>
      </c>
      <c r="F12" s="18" t="s">
        <v>609</v>
      </c>
      <c r="G12" s="18" t="s">
        <v>610</v>
      </c>
      <c r="H12" s="18" t="s">
        <v>611</v>
      </c>
    </row>
    <row r="13" spans="1:9" x14ac:dyDescent="0.2">
      <c r="A13" s="21" t="s">
        <v>612</v>
      </c>
      <c r="B13" s="21" t="s">
        <v>613</v>
      </c>
      <c r="C13" s="21" t="s">
        <v>614</v>
      </c>
      <c r="E13" s="21" t="s">
        <v>615</v>
      </c>
      <c r="F13" s="27" t="str">
        <f>VLOOKUP(E13,$A$13:$B$32,2,FALSE())</f>
        <v>Michael Reed</v>
      </c>
      <c r="G13" s="27" t="s">
        <v>616</v>
      </c>
      <c r="H13" s="40"/>
    </row>
    <row r="14" spans="1:9" x14ac:dyDescent="0.2">
      <c r="A14" s="21" t="s">
        <v>617</v>
      </c>
      <c r="B14" s="21" t="s">
        <v>618</v>
      </c>
      <c r="C14" s="21" t="s">
        <v>619</v>
      </c>
      <c r="E14" s="21" t="s">
        <v>620</v>
      </c>
      <c r="F14" s="27" t="str">
        <f>VLOOKUP(E14,$A$13:$B$32,2,FALSE())</f>
        <v>Tyler Morgan</v>
      </c>
      <c r="G14" s="27" t="s">
        <v>616</v>
      </c>
      <c r="H14" s="40"/>
    </row>
    <row r="15" spans="1:9" x14ac:dyDescent="0.2">
      <c r="A15" s="21" t="s">
        <v>621</v>
      </c>
      <c r="B15" s="21" t="s">
        <v>622</v>
      </c>
      <c r="C15" s="21" t="s">
        <v>623</v>
      </c>
      <c r="E15" s="21" t="s">
        <v>612</v>
      </c>
      <c r="F15" s="27" t="str">
        <f>VLOOKUP(E15,$A$13:$B$32,2,FALSE())</f>
        <v>Emily Carter</v>
      </c>
      <c r="G15" s="27" t="s">
        <v>616</v>
      </c>
      <c r="H15" s="40"/>
    </row>
    <row r="16" spans="1:9" ht="30" customHeight="1" x14ac:dyDescent="0.2">
      <c r="A16" s="21" t="s">
        <v>615</v>
      </c>
      <c r="B16" s="21" t="s">
        <v>624</v>
      </c>
      <c r="C16" s="21" t="s">
        <v>614</v>
      </c>
      <c r="E16" s="21" t="s">
        <v>625</v>
      </c>
      <c r="F16" s="27" t="s">
        <v>626</v>
      </c>
      <c r="G16" s="27" t="s">
        <v>627</v>
      </c>
      <c r="H16" s="26" t="s">
        <v>628</v>
      </c>
    </row>
    <row r="17" spans="1:8" x14ac:dyDescent="0.2">
      <c r="A17" s="21" t="s">
        <v>629</v>
      </c>
      <c r="B17" s="21" t="s">
        <v>630</v>
      </c>
      <c r="C17" s="21" t="s">
        <v>63</v>
      </c>
      <c r="E17" s="21" t="s">
        <v>631</v>
      </c>
      <c r="F17" s="27" t="str">
        <f>VLOOKUP(E17,$A$13:$B$32,2,FALSE())</f>
        <v>Lauren Hayes</v>
      </c>
      <c r="G17" s="27" t="s">
        <v>616</v>
      </c>
      <c r="H17" s="40"/>
    </row>
    <row r="18" spans="1:8" x14ac:dyDescent="0.2">
      <c r="A18" s="21" t="s">
        <v>632</v>
      </c>
      <c r="B18" s="21" t="s">
        <v>633</v>
      </c>
      <c r="C18" s="21" t="s">
        <v>619</v>
      </c>
      <c r="E18" s="21" t="s">
        <v>634</v>
      </c>
      <c r="F18" s="27" t="str">
        <f>VLOOKUP(E18,$A$13:$B$32,2,FALSE())</f>
        <v>Nathan Bryant</v>
      </c>
      <c r="G18" s="27" t="s">
        <v>616</v>
      </c>
      <c r="H18" s="40"/>
    </row>
    <row r="19" spans="1:8" x14ac:dyDescent="0.2">
      <c r="A19" s="21" t="s">
        <v>635</v>
      </c>
      <c r="B19" s="21" t="s">
        <v>636</v>
      </c>
      <c r="C19" s="21" t="s">
        <v>614</v>
      </c>
      <c r="E19" s="21" t="s">
        <v>632</v>
      </c>
      <c r="F19" s="27" t="str">
        <f>VLOOKUP(E19,$A$13:$B$32,2,FALSE())</f>
        <v>Daniel Hughes</v>
      </c>
      <c r="G19" s="27" t="s">
        <v>616</v>
      </c>
      <c r="H19" s="40"/>
    </row>
    <row r="20" spans="1:8" ht="30" customHeight="1" x14ac:dyDescent="0.2">
      <c r="A20" s="21" t="s">
        <v>637</v>
      </c>
      <c r="B20" s="21" t="s">
        <v>638</v>
      </c>
      <c r="C20" s="21" t="s">
        <v>623</v>
      </c>
      <c r="E20" s="21" t="s">
        <v>639</v>
      </c>
      <c r="F20" s="27" t="s">
        <v>626</v>
      </c>
      <c r="G20" s="27" t="s">
        <v>627</v>
      </c>
      <c r="H20" s="26" t="s">
        <v>640</v>
      </c>
    </row>
    <row r="21" spans="1:8" x14ac:dyDescent="0.2">
      <c r="A21" s="21" t="s">
        <v>641</v>
      </c>
      <c r="B21" s="21" t="s">
        <v>642</v>
      </c>
      <c r="C21" s="21" t="s">
        <v>63</v>
      </c>
      <c r="E21" s="21" t="s">
        <v>641</v>
      </c>
      <c r="F21" s="27" t="str">
        <f>VLOOKUP(E21,$A$13:$B$32,2,FALSE())</f>
        <v>Grace Bennett</v>
      </c>
      <c r="G21" s="27" t="s">
        <v>616</v>
      </c>
      <c r="H21" s="40"/>
    </row>
    <row r="22" spans="1:8" x14ac:dyDescent="0.2">
      <c r="A22" s="21" t="s">
        <v>620</v>
      </c>
      <c r="B22" s="21" t="s">
        <v>643</v>
      </c>
      <c r="C22" s="21" t="s">
        <v>614</v>
      </c>
      <c r="E22" s="21" t="s">
        <v>644</v>
      </c>
      <c r="F22" s="27" t="str">
        <f>VLOOKUP(E22,$A$13:$B$32,2,FALSE())</f>
        <v>Eric Russell</v>
      </c>
      <c r="G22" s="27" t="s">
        <v>616</v>
      </c>
      <c r="H22" s="40"/>
    </row>
    <row r="23" spans="1:8" x14ac:dyDescent="0.2">
      <c r="A23" s="21" t="s">
        <v>645</v>
      </c>
      <c r="B23" s="21" t="s">
        <v>646</v>
      </c>
      <c r="C23" s="21" t="s">
        <v>614</v>
      </c>
      <c r="E23" s="21" t="s">
        <v>621</v>
      </c>
      <c r="F23" s="27" t="str">
        <f>VLOOKUP(E23,$A$13:$B$32,2,FALSE())</f>
        <v>Olivia Brooks</v>
      </c>
      <c r="G23" s="27" t="s">
        <v>616</v>
      </c>
      <c r="H23" s="40"/>
    </row>
    <row r="24" spans="1:8" ht="30" customHeight="1" x14ac:dyDescent="0.2">
      <c r="A24" s="21" t="s">
        <v>647</v>
      </c>
      <c r="B24" s="21" t="s">
        <v>648</v>
      </c>
      <c r="C24" s="21" t="s">
        <v>619</v>
      </c>
      <c r="E24" s="21" t="s">
        <v>649</v>
      </c>
      <c r="F24" s="27" t="s">
        <v>626</v>
      </c>
      <c r="G24" s="27" t="s">
        <v>627</v>
      </c>
      <c r="H24" s="26" t="s">
        <v>650</v>
      </c>
    </row>
    <row r="25" spans="1:8" x14ac:dyDescent="0.2">
      <c r="A25" s="21" t="s">
        <v>631</v>
      </c>
      <c r="B25" s="21" t="s">
        <v>651</v>
      </c>
      <c r="C25" s="21" t="s">
        <v>623</v>
      </c>
      <c r="E25" s="21" t="s">
        <v>635</v>
      </c>
      <c r="F25" s="27" t="str">
        <f t="shared" ref="F25:F30" si="0">VLOOKUP(E25,$A$13:$B$32,2,FALSE())</f>
        <v>Ava Mitchell</v>
      </c>
      <c r="G25" s="27" t="s">
        <v>616</v>
      </c>
      <c r="H25" s="40"/>
    </row>
    <row r="26" spans="1:8" x14ac:dyDescent="0.2">
      <c r="A26" s="21" t="s">
        <v>652</v>
      </c>
      <c r="B26" s="21" t="s">
        <v>653</v>
      </c>
      <c r="C26" s="21" t="s">
        <v>614</v>
      </c>
      <c r="E26" s="21" t="s">
        <v>654</v>
      </c>
      <c r="F26" s="27" t="str">
        <f t="shared" si="0"/>
        <v>Natalie Sanders</v>
      </c>
      <c r="G26" s="27" t="s">
        <v>616</v>
      </c>
      <c r="H26" s="40"/>
    </row>
    <row r="27" spans="1:8" x14ac:dyDescent="0.2">
      <c r="A27" s="21" t="s">
        <v>655</v>
      </c>
      <c r="B27" s="21" t="s">
        <v>656</v>
      </c>
      <c r="C27" s="21" t="s">
        <v>63</v>
      </c>
      <c r="E27" s="21" t="s">
        <v>617</v>
      </c>
      <c r="F27" s="27" t="str">
        <f t="shared" si="0"/>
        <v>James Walker</v>
      </c>
      <c r="G27" s="27" t="s">
        <v>616</v>
      </c>
      <c r="H27" s="40"/>
    </row>
    <row r="28" spans="1:8" x14ac:dyDescent="0.2">
      <c r="A28" s="21" t="s">
        <v>657</v>
      </c>
      <c r="B28" s="21" t="s">
        <v>658</v>
      </c>
      <c r="C28" s="21" t="s">
        <v>619</v>
      </c>
      <c r="E28" s="21" t="s">
        <v>645</v>
      </c>
      <c r="F28" s="27" t="str">
        <f t="shared" si="0"/>
        <v>Hannah Price</v>
      </c>
      <c r="G28" s="27" t="s">
        <v>616</v>
      </c>
      <c r="H28" s="40"/>
    </row>
    <row r="29" spans="1:8" x14ac:dyDescent="0.2">
      <c r="A29" s="21" t="s">
        <v>659</v>
      </c>
      <c r="B29" s="21" t="s">
        <v>660</v>
      </c>
      <c r="C29" s="21" t="s">
        <v>614</v>
      </c>
      <c r="E29" s="21" t="s">
        <v>657</v>
      </c>
      <c r="F29" s="27" t="str">
        <f t="shared" si="0"/>
        <v>Justin Perry</v>
      </c>
      <c r="G29" s="27" t="s">
        <v>616</v>
      </c>
      <c r="H29" s="40"/>
    </row>
    <row r="30" spans="1:8" x14ac:dyDescent="0.2">
      <c r="A30" s="21" t="s">
        <v>634</v>
      </c>
      <c r="B30" s="21" t="s">
        <v>661</v>
      </c>
      <c r="C30" s="21" t="s">
        <v>623</v>
      </c>
      <c r="E30" s="21" t="s">
        <v>637</v>
      </c>
      <c r="F30" s="27" t="str">
        <f t="shared" si="0"/>
        <v>Ryan Cooper</v>
      </c>
      <c r="G30" s="27" t="s">
        <v>616</v>
      </c>
      <c r="H30" s="40"/>
    </row>
    <row r="31" spans="1:8" x14ac:dyDescent="0.2">
      <c r="A31" s="21" t="s">
        <v>654</v>
      </c>
      <c r="B31" s="21" t="s">
        <v>662</v>
      </c>
      <c r="C31" s="21" t="s">
        <v>63</v>
      </c>
    </row>
    <row r="32" spans="1:8" x14ac:dyDescent="0.2">
      <c r="A32" s="21" t="s">
        <v>644</v>
      </c>
      <c r="B32" s="21" t="s">
        <v>663</v>
      </c>
      <c r="C32" s="21" t="s">
        <v>614</v>
      </c>
    </row>
    <row r="34" spans="1:8" x14ac:dyDescent="0.2">
      <c r="A34" s="6" t="s">
        <v>664</v>
      </c>
      <c r="B34" s="6"/>
      <c r="C34" s="6"/>
      <c r="D34" s="6"/>
      <c r="E34" s="6"/>
      <c r="F34" s="6"/>
      <c r="G34" s="6"/>
      <c r="H34" s="6"/>
    </row>
    <row r="35" spans="1:8" ht="45" customHeight="1" x14ac:dyDescent="0.2">
      <c r="A35" s="7" t="s">
        <v>665</v>
      </c>
      <c r="B35" s="7"/>
      <c r="C35" s="7"/>
      <c r="D35" s="7"/>
      <c r="E35" s="7"/>
      <c r="F35" s="7"/>
      <c r="G35" s="7"/>
      <c r="H35" s="7"/>
    </row>
    <row r="37" spans="1:8" x14ac:dyDescent="0.2">
      <c r="A37" s="13" t="s">
        <v>666</v>
      </c>
    </row>
    <row r="38" spans="1:8" ht="30" customHeight="1" x14ac:dyDescent="0.2">
      <c r="A38" s="8" t="s">
        <v>667</v>
      </c>
      <c r="B38" s="8"/>
      <c r="C38" s="8"/>
      <c r="D38" s="8"/>
      <c r="E38" s="8"/>
      <c r="F38" s="8"/>
      <c r="G38" s="8"/>
      <c r="H38" s="8"/>
    </row>
    <row r="40" spans="1:8" ht="15" customHeight="1" x14ac:dyDescent="0.2">
      <c r="A40" s="18" t="s">
        <v>668</v>
      </c>
      <c r="B40" s="18" t="s">
        <v>669</v>
      </c>
      <c r="C40" s="18" t="s">
        <v>670</v>
      </c>
      <c r="E40" s="18" t="s">
        <v>671</v>
      </c>
      <c r="F40" s="4" t="s">
        <v>672</v>
      </c>
      <c r="G40" s="4"/>
      <c r="H40" s="4"/>
    </row>
    <row r="41" spans="1:8" x14ac:dyDescent="0.2">
      <c r="A41" s="21" t="s">
        <v>673</v>
      </c>
      <c r="B41" s="21">
        <v>12</v>
      </c>
      <c r="C41" s="23">
        <v>450</v>
      </c>
      <c r="E41" s="25">
        <f>B41*C41</f>
        <v>5400</v>
      </c>
      <c r="F41" s="3" t="s">
        <v>674</v>
      </c>
      <c r="G41" s="3"/>
      <c r="H41" s="3"/>
    </row>
    <row r="42" spans="1:8" ht="15" customHeight="1" x14ac:dyDescent="0.2">
      <c r="A42" s="21" t="s">
        <v>675</v>
      </c>
      <c r="B42" s="21">
        <v>9</v>
      </c>
      <c r="C42" s="23" t="s">
        <v>676</v>
      </c>
      <c r="E42" s="27" t="s">
        <v>677</v>
      </c>
      <c r="F42" s="2" t="s">
        <v>678</v>
      </c>
      <c r="G42" s="2"/>
      <c r="H42" s="2"/>
    </row>
    <row r="43" spans="1:8" x14ac:dyDescent="0.2">
      <c r="A43" s="21" t="s">
        <v>679</v>
      </c>
      <c r="B43" s="21">
        <v>22</v>
      </c>
      <c r="C43" s="23">
        <v>135</v>
      </c>
      <c r="E43" s="25">
        <f>B43*C43</f>
        <v>2970</v>
      </c>
      <c r="F43" s="3" t="s">
        <v>674</v>
      </c>
      <c r="G43" s="3"/>
      <c r="H43" s="3"/>
    </row>
    <row r="44" spans="1:8" ht="15" customHeight="1" x14ac:dyDescent="0.2">
      <c r="A44" s="21" t="s">
        <v>680</v>
      </c>
      <c r="B44" s="21" t="s">
        <v>681</v>
      </c>
      <c r="C44" s="23">
        <v>340</v>
      </c>
      <c r="E44" s="27" t="s">
        <v>677</v>
      </c>
      <c r="F44" s="2" t="s">
        <v>682</v>
      </c>
      <c r="G44" s="2"/>
      <c r="H44" s="2"/>
    </row>
    <row r="45" spans="1:8" x14ac:dyDescent="0.2">
      <c r="A45" s="21" t="s">
        <v>683</v>
      </c>
      <c r="B45" s="21">
        <v>5</v>
      </c>
      <c r="C45" s="23">
        <v>999</v>
      </c>
      <c r="E45" s="25">
        <f>B45*C45</f>
        <v>4995</v>
      </c>
      <c r="F45" s="3" t="s">
        <v>674</v>
      </c>
      <c r="G45" s="3"/>
      <c r="H45" s="3"/>
    </row>
    <row r="46" spans="1:8" ht="15" customHeight="1" x14ac:dyDescent="0.2">
      <c r="A46" s="21" t="s">
        <v>684</v>
      </c>
      <c r="B46" s="21">
        <v>14</v>
      </c>
      <c r="C46" s="23" t="s">
        <v>685</v>
      </c>
      <c r="E46" s="27" t="s">
        <v>677</v>
      </c>
      <c r="F46" s="2" t="s">
        <v>686</v>
      </c>
      <c r="G46" s="2"/>
      <c r="H46" s="2"/>
    </row>
    <row r="47" spans="1:8" x14ac:dyDescent="0.2">
      <c r="A47" s="21" t="s">
        <v>687</v>
      </c>
      <c r="B47" s="21">
        <v>7</v>
      </c>
      <c r="C47" s="23">
        <v>650</v>
      </c>
      <c r="E47" s="25">
        <f>B47*C47</f>
        <v>4550</v>
      </c>
      <c r="F47" s="3" t="s">
        <v>674</v>
      </c>
      <c r="G47" s="3"/>
      <c r="H47" s="3"/>
    </row>
    <row r="49" spans="1:8" x14ac:dyDescent="0.2">
      <c r="A49" s="6" t="s">
        <v>688</v>
      </c>
      <c r="B49" s="6"/>
      <c r="C49" s="6"/>
      <c r="D49" s="6"/>
      <c r="E49" s="6"/>
      <c r="F49" s="6"/>
      <c r="G49" s="6"/>
      <c r="H49" s="6"/>
    </row>
    <row r="50" spans="1:8" ht="45" customHeight="1" x14ac:dyDescent="0.2">
      <c r="A50" s="7" t="s">
        <v>689</v>
      </c>
      <c r="B50" s="7"/>
      <c r="C50" s="7"/>
      <c r="D50" s="7"/>
      <c r="E50" s="7"/>
      <c r="F50" s="7"/>
      <c r="G50" s="7"/>
      <c r="H50" s="7"/>
    </row>
  </sheetData>
  <mergeCells count="17">
    <mergeCell ref="A49:H49"/>
    <mergeCell ref="A50:H50"/>
    <mergeCell ref="F43:H43"/>
    <mergeCell ref="F44:H44"/>
    <mergeCell ref="F45:H45"/>
    <mergeCell ref="F46:H46"/>
    <mergeCell ref="F47:H47"/>
    <mergeCell ref="A35:H35"/>
    <mergeCell ref="A38:H38"/>
    <mergeCell ref="F40:H40"/>
    <mergeCell ref="F41:H41"/>
    <mergeCell ref="F42:H42"/>
    <mergeCell ref="A1:I1"/>
    <mergeCell ref="A2:I2"/>
    <mergeCell ref="A4:H7"/>
    <mergeCell ref="A10:H10"/>
    <mergeCell ref="A34:H3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showGridLines="0" zoomScaleNormal="100" workbookViewId="0"/>
  </sheetViews>
  <sheetFormatPr baseColWidth="10" defaultColWidth="8.6640625" defaultRowHeight="15" x14ac:dyDescent="0.2"/>
  <cols>
    <col min="1" max="1" width="30" customWidth="1"/>
    <col min="2" max="2" width="10" customWidth="1"/>
    <col min="3" max="5" width="22" customWidth="1"/>
    <col min="6" max="6" width="26" customWidth="1"/>
    <col min="7" max="7" width="10" customWidth="1"/>
    <col min="8" max="8" width="4" customWidth="1"/>
  </cols>
  <sheetData>
    <row r="1" spans="1:8" ht="25.5" customHeight="1" x14ac:dyDescent="0.2">
      <c r="A1" s="12" t="s">
        <v>690</v>
      </c>
      <c r="B1" s="12"/>
      <c r="C1" s="12"/>
      <c r="D1" s="12"/>
      <c r="E1" s="12"/>
      <c r="F1" s="12"/>
      <c r="G1" s="12"/>
      <c r="H1" s="12"/>
    </row>
    <row r="2" spans="1:8" ht="30" customHeight="1" x14ac:dyDescent="0.2">
      <c r="A2" s="11" t="s">
        <v>691</v>
      </c>
      <c r="B2" s="11"/>
      <c r="C2" s="11"/>
      <c r="D2" s="11"/>
      <c r="E2" s="11"/>
      <c r="F2" s="11"/>
      <c r="G2" s="11"/>
      <c r="H2" s="11"/>
    </row>
    <row r="4" spans="1:8" ht="15" customHeight="1" x14ac:dyDescent="0.2">
      <c r="A4" s="10" t="s">
        <v>692</v>
      </c>
      <c r="B4" s="10"/>
      <c r="C4" s="10"/>
      <c r="D4" s="10"/>
      <c r="E4" s="10"/>
      <c r="F4" s="10"/>
      <c r="G4" s="10"/>
    </row>
    <row r="5" spans="1:8" x14ac:dyDescent="0.2">
      <c r="A5" s="10"/>
      <c r="B5" s="10"/>
      <c r="C5" s="10"/>
      <c r="D5" s="10"/>
      <c r="E5" s="10"/>
      <c r="F5" s="10"/>
      <c r="G5" s="10"/>
    </row>
    <row r="6" spans="1:8" x14ac:dyDescent="0.2">
      <c r="A6" s="10"/>
      <c r="B6" s="10"/>
      <c r="C6" s="10"/>
      <c r="D6" s="10"/>
      <c r="E6" s="10"/>
      <c r="F6" s="10"/>
      <c r="G6" s="10"/>
    </row>
    <row r="7" spans="1:8" x14ac:dyDescent="0.2">
      <c r="A7" s="10"/>
      <c r="B7" s="10"/>
      <c r="C7" s="10"/>
      <c r="D7" s="10"/>
      <c r="E7" s="10"/>
      <c r="F7" s="10"/>
      <c r="G7" s="10"/>
    </row>
    <row r="9" spans="1:8" x14ac:dyDescent="0.2">
      <c r="A9" s="13" t="s">
        <v>693</v>
      </c>
    </row>
    <row r="10" spans="1:8" ht="42" customHeight="1" x14ac:dyDescent="0.2">
      <c r="A10" s="8" t="s">
        <v>694</v>
      </c>
      <c r="B10" s="8"/>
      <c r="C10" s="8"/>
      <c r="D10" s="8"/>
      <c r="E10" s="8"/>
      <c r="F10" s="8"/>
      <c r="G10" s="8"/>
      <c r="H10" s="8"/>
    </row>
    <row r="11" spans="1:8" ht="28" x14ac:dyDescent="0.2">
      <c r="A11" s="18" t="s">
        <v>695</v>
      </c>
      <c r="B11" s="18" t="s">
        <v>696</v>
      </c>
      <c r="C11" s="18" t="s">
        <v>697</v>
      </c>
      <c r="D11" s="18" t="s">
        <v>698</v>
      </c>
      <c r="E11" s="18" t="s">
        <v>699</v>
      </c>
      <c r="F11" s="18" t="s">
        <v>700</v>
      </c>
      <c r="G11" s="18" t="s">
        <v>701</v>
      </c>
    </row>
    <row r="12" spans="1:8" x14ac:dyDescent="0.2">
      <c r="A12" s="21" t="s">
        <v>702</v>
      </c>
      <c r="B12" s="21">
        <f t="shared" ref="B12:B19" si="0">LEN(A12)</f>
        <v>18</v>
      </c>
      <c r="C12" s="27" t="str">
        <f t="shared" ref="C12:C19" si="1">TRIM(A12)</f>
        <v>aMANDA wilson</v>
      </c>
      <c r="D12" s="27" t="str">
        <f t="shared" ref="D12:D19" si="2">CLEAN(A12)</f>
        <v xml:space="preserve">  aMANDA   wilson </v>
      </c>
      <c r="E12" s="27" t="str">
        <f t="shared" ref="E12:E19" si="3">PROPER(A12)</f>
        <v xml:space="preserve">  Amanda   Wilson </v>
      </c>
      <c r="F12" s="27" t="str">
        <f t="shared" ref="F12:F19" si="4">PROPER(TRIM(CLEAN(A12)))</f>
        <v>Amanda Wilson</v>
      </c>
      <c r="G12" s="27">
        <f t="shared" ref="G12:G19" si="5">LEN(F12)</f>
        <v>13</v>
      </c>
    </row>
    <row r="13" spans="1:8" x14ac:dyDescent="0.2">
      <c r="A13" s="21" t="s">
        <v>703</v>
      </c>
      <c r="B13" s="21">
        <f t="shared" si="0"/>
        <v>16</v>
      </c>
      <c r="C13" s="27" t="str">
        <f t="shared" si="1"/>
        <v xml:space="preserve">ROBERT JOHNSON	</v>
      </c>
      <c r="D13" s="27" t="str">
        <f t="shared" si="2"/>
        <v>ROBERT  JOHNSON</v>
      </c>
      <c r="E13" s="27" t="str">
        <f t="shared" si="3"/>
        <v xml:space="preserve">Robert  Johnson	</v>
      </c>
      <c r="F13" s="27" t="str">
        <f t="shared" si="4"/>
        <v>Robert Johnson</v>
      </c>
      <c r="G13" s="27">
        <f t="shared" si="5"/>
        <v>14</v>
      </c>
    </row>
    <row r="14" spans="1:8" ht="29" x14ac:dyDescent="0.2">
      <c r="A14" s="41" t="s">
        <v>704</v>
      </c>
      <c r="B14" s="21">
        <f t="shared" si="0"/>
        <v>16</v>
      </c>
      <c r="C14" s="42" t="str">
        <f t="shared" si="1"/>
        <v xml:space="preserve">
 katie anderson</v>
      </c>
      <c r="D14" s="42" t="str">
        <f t="shared" si="2"/>
        <v xml:space="preserve"> katie anderson</v>
      </c>
      <c r="E14" s="42" t="str">
        <f t="shared" si="3"/>
        <v xml:space="preserve">
 Katie Anderson</v>
      </c>
      <c r="F14" s="42" t="str">
        <f t="shared" si="4"/>
        <v>Katie Anderson</v>
      </c>
      <c r="G14" s="42">
        <f t="shared" si="5"/>
        <v>14</v>
      </c>
    </row>
    <row r="15" spans="1:8" x14ac:dyDescent="0.2">
      <c r="A15" s="21" t="s">
        <v>705</v>
      </c>
      <c r="B15" s="21">
        <f t="shared" si="0"/>
        <v>13</v>
      </c>
      <c r="C15" s="42" t="str">
        <f t="shared" si="1"/>
        <v>cHRIS lee</v>
      </c>
      <c r="D15" s="42" t="str">
        <f t="shared" si="2"/>
        <v xml:space="preserve">  cHRIS   lee</v>
      </c>
      <c r="E15" s="42" t="str">
        <f t="shared" si="3"/>
        <v xml:space="preserve">  Chris   Lee</v>
      </c>
      <c r="F15" s="42" t="str">
        <f t="shared" si="4"/>
        <v>Chris Lee</v>
      </c>
      <c r="G15" s="42">
        <f t="shared" si="5"/>
        <v>9</v>
      </c>
    </row>
    <row r="16" spans="1:8" x14ac:dyDescent="0.2">
      <c r="A16" s="21" t="s">
        <v>706</v>
      </c>
      <c r="B16" s="21">
        <f t="shared" si="0"/>
        <v>16</v>
      </c>
      <c r="C16" s="42" t="str">
        <f t="shared" si="1"/>
        <v xml:space="preserve">Nicole Martin	</v>
      </c>
      <c r="D16" s="42" t="str">
        <f t="shared" si="2"/>
        <v xml:space="preserve">Nicole Martin  </v>
      </c>
      <c r="E16" s="42" t="str">
        <f t="shared" si="3"/>
        <v xml:space="preserve">Nicole Martin	  </v>
      </c>
      <c r="F16" s="42" t="str">
        <f t="shared" si="4"/>
        <v>Nicole Martin</v>
      </c>
      <c r="G16" s="42">
        <f t="shared" si="5"/>
        <v>13</v>
      </c>
    </row>
    <row r="17" spans="1:8" x14ac:dyDescent="0.2">
      <c r="A17" s="21" t="s">
        <v>707</v>
      </c>
      <c r="B17" s="21">
        <f t="shared" si="0"/>
        <v>19</v>
      </c>
      <c r="C17" s="42" t="str">
        <f t="shared" si="1"/>
        <v>matthew THOMPSON</v>
      </c>
      <c r="D17" s="42" t="str">
        <f t="shared" si="2"/>
        <v xml:space="preserve">matthew  THOMPSON  </v>
      </c>
      <c r="E17" s="42" t="str">
        <f t="shared" si="3"/>
        <v xml:space="preserve">Matthew  Thompson  </v>
      </c>
      <c r="F17" s="42" t="str">
        <f t="shared" si="4"/>
        <v>Matthew Thompson</v>
      </c>
      <c r="G17" s="42">
        <f t="shared" si="5"/>
        <v>16</v>
      </c>
    </row>
    <row r="18" spans="1:8" ht="29" x14ac:dyDescent="0.2">
      <c r="A18" s="41" t="s">
        <v>708</v>
      </c>
      <c r="B18" s="21">
        <f t="shared" si="0"/>
        <v>17</v>
      </c>
      <c r="C18" s="42" t="str">
        <f t="shared" si="1"/>
        <v xml:space="preserve">bRITTANY clark
</v>
      </c>
      <c r="D18" s="42" t="str">
        <f t="shared" si="2"/>
        <v xml:space="preserve">  bRITTANY clark</v>
      </c>
      <c r="E18" s="42" t="str">
        <f t="shared" si="3"/>
        <v xml:space="preserve">  Brittany Clark
</v>
      </c>
      <c r="F18" s="42" t="str">
        <f t="shared" si="4"/>
        <v>Brittany Clark</v>
      </c>
      <c r="G18" s="42">
        <f t="shared" si="5"/>
        <v>14</v>
      </c>
    </row>
    <row r="19" spans="1:8" x14ac:dyDescent="0.2">
      <c r="A19" s="21" t="s">
        <v>709</v>
      </c>
      <c r="B19" s="21">
        <f t="shared" si="0"/>
        <v>16</v>
      </c>
      <c r="C19" s="42" t="str">
        <f t="shared" si="1"/>
        <v>JOSHUA davis</v>
      </c>
      <c r="D19" s="42" t="str">
        <f t="shared" si="2"/>
        <v xml:space="preserve">JOSHUA davis    </v>
      </c>
      <c r="E19" s="42" t="str">
        <f t="shared" si="3"/>
        <v xml:space="preserve">Joshua Davis    </v>
      </c>
      <c r="F19" s="42" t="str">
        <f t="shared" si="4"/>
        <v>Joshua Davis</v>
      </c>
      <c r="G19" s="42">
        <f t="shared" si="5"/>
        <v>12</v>
      </c>
    </row>
    <row r="20" spans="1:8" x14ac:dyDescent="0.2">
      <c r="A20" s="6" t="s">
        <v>710</v>
      </c>
      <c r="B20" s="6"/>
      <c r="C20" s="6"/>
      <c r="D20" s="6"/>
      <c r="E20" s="6"/>
      <c r="F20" s="6"/>
      <c r="G20" s="6"/>
    </row>
    <row r="21" spans="1:8" ht="36" customHeight="1" x14ac:dyDescent="0.2">
      <c r="A21" s="7" t="s">
        <v>711</v>
      </c>
      <c r="B21" s="7"/>
      <c r="C21" s="7"/>
      <c r="D21" s="7"/>
      <c r="E21" s="7"/>
      <c r="F21" s="7"/>
      <c r="G21" s="7"/>
    </row>
    <row r="23" spans="1:8" x14ac:dyDescent="0.2">
      <c r="A23" s="13" t="s">
        <v>712</v>
      </c>
    </row>
    <row r="24" spans="1:8" ht="42" customHeight="1" x14ac:dyDescent="0.2">
      <c r="A24" s="8" t="s">
        <v>713</v>
      </c>
      <c r="B24" s="8"/>
      <c r="C24" s="8"/>
      <c r="D24" s="8"/>
      <c r="E24" s="8"/>
      <c r="F24" s="8"/>
      <c r="G24" s="8"/>
      <c r="H24" s="8"/>
    </row>
    <row r="25" spans="1:8" x14ac:dyDescent="0.2">
      <c r="A25" s="18" t="s">
        <v>714</v>
      </c>
      <c r="C25" s="18" t="s">
        <v>715</v>
      </c>
      <c r="D25" s="18" t="s">
        <v>716</v>
      </c>
      <c r="E25" s="18" t="s">
        <v>150</v>
      </c>
    </row>
    <row r="26" spans="1:8" x14ac:dyDescent="0.2">
      <c r="A26" s="21" t="s">
        <v>717</v>
      </c>
      <c r="C26" s="42" t="s">
        <v>718</v>
      </c>
      <c r="D26" s="42" t="s">
        <v>158</v>
      </c>
      <c r="E26" s="42" t="s">
        <v>719</v>
      </c>
    </row>
    <row r="27" spans="1:8" x14ac:dyDescent="0.2">
      <c r="A27" s="21" t="s">
        <v>720</v>
      </c>
      <c r="C27" s="42" t="s">
        <v>721</v>
      </c>
      <c r="D27" s="42" t="s">
        <v>167</v>
      </c>
      <c r="E27" s="42" t="s">
        <v>722</v>
      </c>
    </row>
    <row r="28" spans="1:8" x14ac:dyDescent="0.2">
      <c r="A28" s="21" t="s">
        <v>723</v>
      </c>
      <c r="C28" s="42" t="s">
        <v>724</v>
      </c>
      <c r="D28" s="42" t="s">
        <v>153</v>
      </c>
      <c r="E28" s="42" t="s">
        <v>155</v>
      </c>
    </row>
    <row r="29" spans="1:8" x14ac:dyDescent="0.2">
      <c r="A29" s="21" t="s">
        <v>725</v>
      </c>
      <c r="C29" s="42" t="s">
        <v>726</v>
      </c>
      <c r="D29" s="42" t="s">
        <v>171</v>
      </c>
      <c r="E29" s="42" t="s">
        <v>727</v>
      </c>
    </row>
    <row r="30" spans="1:8" x14ac:dyDescent="0.2">
      <c r="A30" s="21" t="s">
        <v>728</v>
      </c>
      <c r="C30" s="42" t="s">
        <v>729</v>
      </c>
      <c r="D30" s="42" t="s">
        <v>167</v>
      </c>
      <c r="E30" s="42" t="s">
        <v>155</v>
      </c>
    </row>
    <row r="31" spans="1:8" x14ac:dyDescent="0.2">
      <c r="A31" s="21" t="s">
        <v>730</v>
      </c>
      <c r="C31" s="42" t="s">
        <v>731</v>
      </c>
      <c r="D31" s="42" t="s">
        <v>158</v>
      </c>
      <c r="E31" s="42" t="s">
        <v>722</v>
      </c>
    </row>
    <row r="32" spans="1:8" x14ac:dyDescent="0.2">
      <c r="A32" s="21" t="s">
        <v>732</v>
      </c>
      <c r="C32" s="42" t="s">
        <v>733</v>
      </c>
      <c r="D32" s="42" t="s">
        <v>171</v>
      </c>
      <c r="E32" s="42" t="s">
        <v>719</v>
      </c>
    </row>
    <row r="33" spans="1:8" x14ac:dyDescent="0.2">
      <c r="A33" s="6" t="s">
        <v>734</v>
      </c>
      <c r="B33" s="6"/>
      <c r="C33" s="6"/>
      <c r="D33" s="6"/>
      <c r="E33" s="6"/>
      <c r="F33" s="6"/>
      <c r="G33" s="6"/>
    </row>
    <row r="34" spans="1:8" ht="31.5" customHeight="1" x14ac:dyDescent="0.2">
      <c r="A34" s="7" t="s">
        <v>735</v>
      </c>
      <c r="B34" s="7"/>
      <c r="C34" s="7"/>
      <c r="D34" s="7"/>
      <c r="E34" s="7"/>
      <c r="F34" s="7"/>
      <c r="G34" s="7"/>
    </row>
    <row r="36" spans="1:8" x14ac:dyDescent="0.2">
      <c r="A36" s="13" t="s">
        <v>736</v>
      </c>
    </row>
    <row r="37" spans="1:8" ht="42" customHeight="1" x14ac:dyDescent="0.2">
      <c r="A37" s="8" t="s">
        <v>737</v>
      </c>
      <c r="B37" s="8"/>
      <c r="C37" s="8"/>
      <c r="D37" s="8"/>
      <c r="E37" s="8"/>
      <c r="F37" s="8"/>
      <c r="G37" s="8"/>
      <c r="H37" s="8"/>
    </row>
    <row r="38" spans="1:8" ht="28" x14ac:dyDescent="0.2">
      <c r="A38" s="18" t="s">
        <v>738</v>
      </c>
      <c r="B38" s="18" t="s">
        <v>739</v>
      </c>
      <c r="C38" s="18" t="s">
        <v>740</v>
      </c>
      <c r="D38" s="18" t="s">
        <v>741</v>
      </c>
    </row>
    <row r="39" spans="1:8" x14ac:dyDescent="0.2">
      <c r="A39" s="43" t="s">
        <v>742</v>
      </c>
      <c r="B39" s="21">
        <v>412</v>
      </c>
      <c r="C39" s="42" t="str">
        <f t="shared" ref="C39:C45" si="6">TEXT(B39,"00000")</f>
        <v>00412</v>
      </c>
      <c r="D39" s="42" t="str">
        <f t="shared" ref="D39:D45" si="7">IF(A39=C39,"Match","Check")</f>
        <v>Match</v>
      </c>
    </row>
    <row r="40" spans="1:8" x14ac:dyDescent="0.2">
      <c r="A40" s="43" t="s">
        <v>743</v>
      </c>
      <c r="B40" s="21">
        <v>64</v>
      </c>
      <c r="C40" s="42" t="str">
        <f t="shared" si="6"/>
        <v>00064</v>
      </c>
      <c r="D40" s="42" t="str">
        <f t="shared" si="7"/>
        <v>Match</v>
      </c>
    </row>
    <row r="41" spans="1:8" x14ac:dyDescent="0.2">
      <c r="A41" s="43" t="s">
        <v>744</v>
      </c>
      <c r="B41" s="21">
        <v>1375</v>
      </c>
      <c r="C41" s="42" t="str">
        <f t="shared" si="6"/>
        <v>01375</v>
      </c>
      <c r="D41" s="42" t="str">
        <f t="shared" si="7"/>
        <v>Match</v>
      </c>
    </row>
    <row r="42" spans="1:8" x14ac:dyDescent="0.2">
      <c r="A42" s="43" t="s">
        <v>745</v>
      </c>
      <c r="B42" s="21">
        <v>9</v>
      </c>
      <c r="C42" s="42" t="str">
        <f t="shared" si="6"/>
        <v>00009</v>
      </c>
      <c r="D42" s="42" t="str">
        <f t="shared" si="7"/>
        <v>Match</v>
      </c>
    </row>
    <row r="43" spans="1:8" x14ac:dyDescent="0.2">
      <c r="A43" s="43" t="s">
        <v>746</v>
      </c>
      <c r="B43" s="21">
        <v>737</v>
      </c>
      <c r="C43" s="42" t="str">
        <f t="shared" si="6"/>
        <v>00737</v>
      </c>
      <c r="D43" s="42" t="str">
        <f t="shared" si="7"/>
        <v>Check</v>
      </c>
    </row>
    <row r="44" spans="1:8" x14ac:dyDescent="0.2">
      <c r="A44" s="43" t="s">
        <v>747</v>
      </c>
      <c r="B44" s="21">
        <v>2041</v>
      </c>
      <c r="C44" s="42" t="str">
        <f t="shared" si="6"/>
        <v>02041</v>
      </c>
      <c r="D44" s="42" t="str">
        <f t="shared" si="7"/>
        <v>Match</v>
      </c>
    </row>
    <row r="45" spans="1:8" x14ac:dyDescent="0.2">
      <c r="A45" s="43" t="s">
        <v>748</v>
      </c>
      <c r="B45" s="21">
        <v>560</v>
      </c>
      <c r="C45" s="42" t="str">
        <f t="shared" si="6"/>
        <v>00560</v>
      </c>
      <c r="D45" s="42" t="str">
        <f t="shared" si="7"/>
        <v>Match</v>
      </c>
    </row>
    <row r="46" spans="1:8" x14ac:dyDescent="0.2">
      <c r="A46" s="6" t="s">
        <v>749</v>
      </c>
      <c r="B46" s="6"/>
      <c r="C46" s="6"/>
      <c r="D46" s="6"/>
      <c r="E46" s="6"/>
      <c r="F46" s="6"/>
      <c r="G46" s="6"/>
    </row>
    <row r="47" spans="1:8" ht="31.5" customHeight="1" x14ac:dyDescent="0.2">
      <c r="A47" s="7" t="s">
        <v>750</v>
      </c>
      <c r="B47" s="7"/>
      <c r="C47" s="7"/>
      <c r="D47" s="7"/>
      <c r="E47" s="7"/>
      <c r="F47" s="7"/>
      <c r="G47" s="7"/>
    </row>
  </sheetData>
  <mergeCells count="12">
    <mergeCell ref="A46:G46"/>
    <mergeCell ref="A47:G47"/>
    <mergeCell ref="A21:G21"/>
    <mergeCell ref="A24:H24"/>
    <mergeCell ref="A33:G33"/>
    <mergeCell ref="A34:G34"/>
    <mergeCell ref="A37:H37"/>
    <mergeCell ref="A1:H1"/>
    <mergeCell ref="A2:H2"/>
    <mergeCell ref="A4:G7"/>
    <mergeCell ref="A10:H10"/>
    <mergeCell ref="A20:G2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1"/>
  <sheetViews>
    <sheetView zoomScaleNormal="100" workbookViewId="0"/>
  </sheetViews>
  <sheetFormatPr baseColWidth="10" defaultColWidth="8.6640625" defaultRowHeight="15" x14ac:dyDescent="0.2"/>
  <cols>
    <col min="1" max="1" width="12" customWidth="1"/>
    <col min="2" max="3" width="18" customWidth="1"/>
    <col min="4" max="4" width="12" customWidth="1"/>
    <col min="5" max="5" width="13" customWidth="1"/>
    <col min="6" max="6" width="3" customWidth="1"/>
    <col min="7" max="7" width="40" customWidth="1"/>
    <col min="8" max="9" width="16" customWidth="1"/>
  </cols>
  <sheetData>
    <row r="1" spans="1:9" ht="25.5" customHeight="1" x14ac:dyDescent="0.2">
      <c r="A1" s="12" t="s">
        <v>751</v>
      </c>
      <c r="B1" s="12"/>
      <c r="C1" s="12"/>
      <c r="D1" s="12"/>
      <c r="E1" s="12"/>
      <c r="F1" s="12"/>
      <c r="G1" s="12"/>
    </row>
    <row r="2" spans="1:9" ht="30" customHeight="1" x14ac:dyDescent="0.2">
      <c r="A2" s="11" t="s">
        <v>752</v>
      </c>
      <c r="B2" s="11"/>
      <c r="C2" s="11"/>
      <c r="D2" s="11"/>
      <c r="E2" s="11"/>
      <c r="F2" s="11"/>
      <c r="G2" s="11"/>
    </row>
    <row r="4" spans="1:9" ht="15" customHeight="1" x14ac:dyDescent="0.2">
      <c r="A4" s="10" t="s">
        <v>753</v>
      </c>
      <c r="B4" s="10"/>
      <c r="C4" s="10"/>
      <c r="D4" s="10"/>
      <c r="E4" s="10"/>
      <c r="F4" s="10"/>
      <c r="G4" s="10"/>
      <c r="H4" s="10"/>
      <c r="I4" s="10"/>
    </row>
    <row r="5" spans="1:9" x14ac:dyDescent="0.2">
      <c r="A5" s="10"/>
      <c r="B5" s="10"/>
      <c r="C5" s="10"/>
      <c r="D5" s="10"/>
      <c r="E5" s="10"/>
      <c r="F5" s="10"/>
      <c r="G5" s="10"/>
      <c r="H5" s="10"/>
      <c r="I5" s="10"/>
    </row>
    <row r="6" spans="1:9" x14ac:dyDescent="0.2">
      <c r="A6" s="10"/>
      <c r="B6" s="10"/>
      <c r="C6" s="10"/>
      <c r="D6" s="10"/>
      <c r="E6" s="10"/>
      <c r="F6" s="10"/>
      <c r="G6" s="10"/>
      <c r="H6" s="10"/>
      <c r="I6" s="10"/>
    </row>
    <row r="7" spans="1:9" x14ac:dyDescent="0.2">
      <c r="A7" s="10"/>
      <c r="B7" s="10"/>
      <c r="C7" s="10"/>
      <c r="D7" s="10"/>
      <c r="E7" s="10"/>
      <c r="F7" s="10"/>
      <c r="G7" s="10"/>
      <c r="H7" s="10"/>
      <c r="I7" s="10"/>
    </row>
    <row r="9" spans="1:9" ht="39.75" customHeight="1" x14ac:dyDescent="0.2">
      <c r="A9" s="18" t="s">
        <v>754</v>
      </c>
      <c r="B9" s="18" t="s">
        <v>755</v>
      </c>
      <c r="C9" s="18" t="s">
        <v>756</v>
      </c>
      <c r="D9" s="18" t="s">
        <v>148</v>
      </c>
      <c r="E9" s="18" t="s">
        <v>757</v>
      </c>
      <c r="G9" s="8" t="s">
        <v>758</v>
      </c>
      <c r="H9" s="8"/>
      <c r="I9" s="8"/>
    </row>
    <row r="10" spans="1:9" ht="39.75" customHeight="1" x14ac:dyDescent="0.2">
      <c r="A10" s="15" t="s">
        <v>759</v>
      </c>
      <c r="B10" s="15" t="s">
        <v>760</v>
      </c>
      <c r="C10" s="15" t="s">
        <v>761</v>
      </c>
      <c r="D10" s="36">
        <v>39769</v>
      </c>
      <c r="E10" s="35">
        <v>46249</v>
      </c>
      <c r="G10" s="8" t="s">
        <v>762</v>
      </c>
      <c r="H10" s="8"/>
      <c r="I10" s="8"/>
    </row>
    <row r="11" spans="1:9" ht="39.75" customHeight="1" x14ac:dyDescent="0.2">
      <c r="A11" s="15" t="s">
        <v>763</v>
      </c>
      <c r="B11" s="15" t="s">
        <v>760</v>
      </c>
      <c r="C11" s="15" t="s">
        <v>764</v>
      </c>
      <c r="D11" s="36">
        <v>48305</v>
      </c>
      <c r="E11" s="35">
        <v>46206</v>
      </c>
      <c r="G11" s="8" t="s">
        <v>765</v>
      </c>
      <c r="H11" s="8"/>
      <c r="I11" s="8"/>
    </row>
    <row r="12" spans="1:9" ht="39.75" customHeight="1" x14ac:dyDescent="0.2">
      <c r="A12" s="15" t="s">
        <v>766</v>
      </c>
      <c r="B12" s="15" t="s">
        <v>760</v>
      </c>
      <c r="C12" s="15" t="s">
        <v>767</v>
      </c>
      <c r="D12" s="36">
        <v>46787</v>
      </c>
      <c r="E12" s="35">
        <v>46223</v>
      </c>
      <c r="G12" s="8" t="s">
        <v>768</v>
      </c>
      <c r="H12" s="8"/>
      <c r="I12" s="8"/>
    </row>
    <row r="13" spans="1:9" x14ac:dyDescent="0.2">
      <c r="A13" s="15" t="s">
        <v>769</v>
      </c>
      <c r="B13" s="15" t="s">
        <v>770</v>
      </c>
      <c r="C13" s="15" t="s">
        <v>771</v>
      </c>
      <c r="D13" s="36">
        <v>1764</v>
      </c>
      <c r="E13" s="35">
        <v>46216</v>
      </c>
    </row>
    <row r="14" spans="1:9" x14ac:dyDescent="0.2">
      <c r="A14" s="15" t="s">
        <v>772</v>
      </c>
      <c r="B14" s="15" t="s">
        <v>770</v>
      </c>
      <c r="C14" s="15" t="s">
        <v>764</v>
      </c>
      <c r="D14" s="36">
        <v>25601</v>
      </c>
      <c r="E14" s="35">
        <v>46242</v>
      </c>
      <c r="G14" s="18" t="s">
        <v>773</v>
      </c>
      <c r="H14" s="18" t="s">
        <v>774</v>
      </c>
      <c r="I14" s="18" t="s">
        <v>775</v>
      </c>
    </row>
    <row r="15" spans="1:9" x14ac:dyDescent="0.2">
      <c r="A15" s="15" t="s">
        <v>776</v>
      </c>
      <c r="B15" s="15" t="s">
        <v>770</v>
      </c>
      <c r="C15" s="15" t="s">
        <v>771</v>
      </c>
      <c r="D15" s="36">
        <v>49823</v>
      </c>
      <c r="E15" s="35">
        <v>46214</v>
      </c>
      <c r="G15" s="21" t="s">
        <v>777</v>
      </c>
      <c r="H15" s="42">
        <v>62</v>
      </c>
      <c r="I15" s="42">
        <v>56</v>
      </c>
    </row>
    <row r="16" spans="1:9" x14ac:dyDescent="0.2">
      <c r="A16" s="15" t="s">
        <v>778</v>
      </c>
      <c r="B16" s="15" t="s">
        <v>779</v>
      </c>
      <c r="C16" s="15" t="s">
        <v>780</v>
      </c>
      <c r="D16" s="36">
        <v>32652</v>
      </c>
      <c r="E16" s="35">
        <v>46232</v>
      </c>
      <c r="G16" s="21" t="s">
        <v>781</v>
      </c>
      <c r="H16" s="25">
        <v>1784624</v>
      </c>
      <c r="I16" s="25">
        <v>1596698</v>
      </c>
    </row>
    <row r="17" spans="1:9" x14ac:dyDescent="0.2">
      <c r="A17" s="15" t="s">
        <v>782</v>
      </c>
      <c r="B17" s="15" t="s">
        <v>783</v>
      </c>
      <c r="C17" s="15" t="s">
        <v>784</v>
      </c>
      <c r="D17" s="36">
        <v>54520</v>
      </c>
      <c r="E17" s="35">
        <v>46218</v>
      </c>
      <c r="G17" s="21" t="s">
        <v>785</v>
      </c>
      <c r="H17" s="42">
        <f>H15-I15</f>
        <v>6</v>
      </c>
    </row>
    <row r="18" spans="1:9" x14ac:dyDescent="0.2">
      <c r="A18" s="15" t="s">
        <v>786</v>
      </c>
      <c r="B18" s="15" t="s">
        <v>760</v>
      </c>
      <c r="C18" s="15" t="s">
        <v>787</v>
      </c>
      <c r="D18" s="36">
        <v>16768</v>
      </c>
      <c r="E18" s="35">
        <v>46221</v>
      </c>
      <c r="G18" s="21" t="s">
        <v>788</v>
      </c>
      <c r="H18" s="21">
        <v>6</v>
      </c>
      <c r="I18" s="44" t="s">
        <v>789</v>
      </c>
    </row>
    <row r="19" spans="1:9" x14ac:dyDescent="0.2">
      <c r="A19" s="15" t="s">
        <v>790</v>
      </c>
      <c r="B19" s="15" t="s">
        <v>783</v>
      </c>
      <c r="C19" s="15" t="s">
        <v>761</v>
      </c>
      <c r="D19" s="36">
        <v>32399</v>
      </c>
      <c r="E19" s="35">
        <v>46238</v>
      </c>
      <c r="G19" s="21" t="s">
        <v>791</v>
      </c>
      <c r="H19" s="42" t="str">
        <f>IF(H17=H18,"OK","Investigate")</f>
        <v>OK</v>
      </c>
    </row>
    <row r="20" spans="1:9" x14ac:dyDescent="0.2">
      <c r="A20" s="15" t="s">
        <v>792</v>
      </c>
      <c r="B20" s="15" t="s">
        <v>770</v>
      </c>
      <c r="C20" s="15" t="s">
        <v>784</v>
      </c>
      <c r="D20" s="36">
        <v>21542</v>
      </c>
      <c r="E20" s="35">
        <v>46247</v>
      </c>
      <c r="G20" s="21" t="s">
        <v>793</v>
      </c>
      <c r="H20" s="25">
        <f>H16-I16</f>
        <v>187926</v>
      </c>
    </row>
    <row r="21" spans="1:9" x14ac:dyDescent="0.2">
      <c r="A21" s="15" t="s">
        <v>794</v>
      </c>
      <c r="B21" s="15" t="s">
        <v>760</v>
      </c>
      <c r="C21" s="15" t="s">
        <v>787</v>
      </c>
      <c r="D21" s="36">
        <v>21311</v>
      </c>
      <c r="E21" s="35">
        <v>46211</v>
      </c>
    </row>
    <row r="22" spans="1:9" ht="30" customHeight="1" x14ac:dyDescent="0.2">
      <c r="A22" s="15" t="s">
        <v>795</v>
      </c>
      <c r="B22" s="15" t="s">
        <v>796</v>
      </c>
      <c r="C22" s="15" t="s">
        <v>784</v>
      </c>
      <c r="D22" s="36">
        <v>22301</v>
      </c>
      <c r="E22" s="35">
        <v>46229</v>
      </c>
      <c r="G22" s="1" t="s">
        <v>797</v>
      </c>
      <c r="H22" s="1"/>
      <c r="I22" s="1"/>
    </row>
    <row r="23" spans="1:9" ht="48" customHeight="1" x14ac:dyDescent="0.2">
      <c r="A23" s="15" t="s">
        <v>798</v>
      </c>
      <c r="B23" s="15" t="s">
        <v>783</v>
      </c>
      <c r="C23" s="15" t="s">
        <v>787</v>
      </c>
      <c r="D23" s="36">
        <v>4492</v>
      </c>
      <c r="E23" s="35">
        <v>46264</v>
      </c>
      <c r="G23" s="7" t="s">
        <v>799</v>
      </c>
      <c r="H23" s="7"/>
      <c r="I23" s="7"/>
    </row>
    <row r="24" spans="1:9" ht="30" customHeight="1" x14ac:dyDescent="0.2">
      <c r="A24" s="15" t="s">
        <v>800</v>
      </c>
      <c r="B24" s="15" t="s">
        <v>760</v>
      </c>
      <c r="C24" s="15" t="s">
        <v>784</v>
      </c>
      <c r="D24" s="36">
        <v>3271</v>
      </c>
      <c r="E24" s="35">
        <v>46244</v>
      </c>
      <c r="G24" s="1" t="s">
        <v>801</v>
      </c>
      <c r="H24" s="1"/>
      <c r="I24" s="1"/>
    </row>
    <row r="25" spans="1:9" ht="48" customHeight="1" x14ac:dyDescent="0.2">
      <c r="A25" s="15" t="s">
        <v>802</v>
      </c>
      <c r="B25" s="15" t="s">
        <v>796</v>
      </c>
      <c r="C25" s="15" t="s">
        <v>764</v>
      </c>
      <c r="D25" s="36">
        <v>3084</v>
      </c>
      <c r="E25" s="35">
        <v>46231</v>
      </c>
      <c r="G25" s="7" t="s">
        <v>803</v>
      </c>
      <c r="H25" s="7"/>
      <c r="I25" s="7"/>
    </row>
    <row r="26" spans="1:9" ht="30" customHeight="1" x14ac:dyDescent="0.2">
      <c r="A26" s="15" t="s">
        <v>804</v>
      </c>
      <c r="B26" s="15" t="s">
        <v>796</v>
      </c>
      <c r="C26" s="15" t="s">
        <v>761</v>
      </c>
      <c r="D26" s="36">
        <v>58073</v>
      </c>
      <c r="E26" s="35">
        <v>46219</v>
      </c>
      <c r="G26" s="1" t="s">
        <v>805</v>
      </c>
      <c r="H26" s="1"/>
      <c r="I26" s="1"/>
    </row>
    <row r="27" spans="1:9" ht="48" customHeight="1" x14ac:dyDescent="0.2">
      <c r="A27" s="15" t="s">
        <v>806</v>
      </c>
      <c r="B27" s="15" t="s">
        <v>760</v>
      </c>
      <c r="C27" s="15" t="s">
        <v>787</v>
      </c>
      <c r="D27" s="36">
        <v>16922</v>
      </c>
      <c r="E27" s="35">
        <v>46264</v>
      </c>
      <c r="G27" s="7" t="s">
        <v>807</v>
      </c>
      <c r="H27" s="7"/>
      <c r="I27" s="7"/>
    </row>
    <row r="28" spans="1:9" x14ac:dyDescent="0.2">
      <c r="A28" s="15" t="s">
        <v>808</v>
      </c>
      <c r="B28" s="15" t="s">
        <v>760</v>
      </c>
      <c r="C28" s="15" t="s">
        <v>784</v>
      </c>
      <c r="D28" s="36">
        <v>1533</v>
      </c>
      <c r="E28" s="35">
        <v>46233</v>
      </c>
    </row>
    <row r="29" spans="1:9" x14ac:dyDescent="0.2">
      <c r="A29" s="15" t="s">
        <v>809</v>
      </c>
      <c r="B29" s="15" t="s">
        <v>796</v>
      </c>
      <c r="C29" s="15" t="s">
        <v>784</v>
      </c>
      <c r="D29" s="36">
        <v>20013</v>
      </c>
      <c r="E29" s="35">
        <v>46206</v>
      </c>
    </row>
    <row r="30" spans="1:9" x14ac:dyDescent="0.2">
      <c r="A30" s="15" t="s">
        <v>810</v>
      </c>
      <c r="B30" s="15" t="s">
        <v>770</v>
      </c>
      <c r="C30" s="15" t="s">
        <v>761</v>
      </c>
      <c r="D30" s="36">
        <v>42002</v>
      </c>
      <c r="E30" s="35">
        <v>46214</v>
      </c>
    </row>
    <row r="31" spans="1:9" x14ac:dyDescent="0.2">
      <c r="A31" s="15" t="s">
        <v>800</v>
      </c>
      <c r="B31" s="15" t="s">
        <v>760</v>
      </c>
      <c r="C31" s="15" t="s">
        <v>784</v>
      </c>
      <c r="D31" s="36">
        <v>3271</v>
      </c>
      <c r="E31" s="35">
        <v>46244</v>
      </c>
    </row>
    <row r="32" spans="1:9" x14ac:dyDescent="0.2">
      <c r="A32" s="15" t="s">
        <v>811</v>
      </c>
      <c r="B32" s="15" t="s">
        <v>779</v>
      </c>
      <c r="C32" s="15" t="s">
        <v>764</v>
      </c>
      <c r="D32" s="36">
        <v>48547</v>
      </c>
      <c r="E32" s="35">
        <v>46225</v>
      </c>
    </row>
    <row r="33" spans="1:5" x14ac:dyDescent="0.2">
      <c r="A33" s="15" t="s">
        <v>812</v>
      </c>
      <c r="B33" s="15" t="s">
        <v>783</v>
      </c>
      <c r="C33" s="15" t="s">
        <v>780</v>
      </c>
      <c r="D33" s="36">
        <v>6087</v>
      </c>
      <c r="E33" s="35">
        <v>46253</v>
      </c>
    </row>
    <row r="34" spans="1:5" x14ac:dyDescent="0.2">
      <c r="A34" s="15" t="s">
        <v>813</v>
      </c>
      <c r="B34" s="15" t="s">
        <v>760</v>
      </c>
      <c r="C34" s="15" t="s">
        <v>767</v>
      </c>
      <c r="D34" s="36">
        <v>3084</v>
      </c>
      <c r="E34" s="35">
        <v>46211</v>
      </c>
    </row>
    <row r="35" spans="1:5" x14ac:dyDescent="0.2">
      <c r="A35" s="15" t="s">
        <v>814</v>
      </c>
      <c r="B35" s="15" t="s">
        <v>779</v>
      </c>
      <c r="C35" s="15" t="s">
        <v>780</v>
      </c>
      <c r="D35" s="36">
        <v>40198</v>
      </c>
      <c r="E35" s="35">
        <v>46249</v>
      </c>
    </row>
    <row r="36" spans="1:5" x14ac:dyDescent="0.2">
      <c r="A36" s="15" t="s">
        <v>815</v>
      </c>
      <c r="B36" s="15" t="s">
        <v>783</v>
      </c>
      <c r="C36" s="15" t="s">
        <v>780</v>
      </c>
      <c r="D36" s="36">
        <v>24556</v>
      </c>
      <c r="E36" s="35">
        <v>46237</v>
      </c>
    </row>
    <row r="37" spans="1:5" x14ac:dyDescent="0.2">
      <c r="A37" s="15" t="s">
        <v>816</v>
      </c>
      <c r="B37" s="15" t="s">
        <v>760</v>
      </c>
      <c r="C37" s="15" t="s">
        <v>780</v>
      </c>
      <c r="D37" s="36">
        <v>29616</v>
      </c>
      <c r="E37" s="35">
        <v>46205</v>
      </c>
    </row>
    <row r="38" spans="1:5" x14ac:dyDescent="0.2">
      <c r="A38" s="15" t="s">
        <v>817</v>
      </c>
      <c r="B38" s="15" t="s">
        <v>783</v>
      </c>
      <c r="C38" s="15" t="s">
        <v>767</v>
      </c>
      <c r="D38" s="36">
        <v>42002</v>
      </c>
      <c r="E38" s="35">
        <v>46219</v>
      </c>
    </row>
    <row r="39" spans="1:5" x14ac:dyDescent="0.2">
      <c r="A39" s="15" t="s">
        <v>818</v>
      </c>
      <c r="B39" s="15" t="s">
        <v>796</v>
      </c>
      <c r="C39" s="15" t="s">
        <v>764</v>
      </c>
      <c r="D39" s="36">
        <v>30639</v>
      </c>
      <c r="E39" s="35">
        <v>46217</v>
      </c>
    </row>
    <row r="40" spans="1:5" x14ac:dyDescent="0.2">
      <c r="A40" s="15" t="s">
        <v>819</v>
      </c>
      <c r="B40" s="15" t="s">
        <v>796</v>
      </c>
      <c r="C40" s="15" t="s">
        <v>771</v>
      </c>
      <c r="D40" s="36">
        <v>56753</v>
      </c>
      <c r="E40" s="35">
        <v>46241</v>
      </c>
    </row>
    <row r="41" spans="1:5" x14ac:dyDescent="0.2">
      <c r="A41" s="15" t="s">
        <v>816</v>
      </c>
      <c r="B41" s="15" t="s">
        <v>760</v>
      </c>
      <c r="C41" s="15" t="s">
        <v>780</v>
      </c>
      <c r="D41" s="36">
        <v>29616</v>
      </c>
      <c r="E41" s="35">
        <v>46205</v>
      </c>
    </row>
    <row r="42" spans="1:5" x14ac:dyDescent="0.2">
      <c r="A42" s="15" t="s">
        <v>820</v>
      </c>
      <c r="B42" s="15" t="s">
        <v>770</v>
      </c>
      <c r="C42" s="15" t="s">
        <v>784</v>
      </c>
      <c r="D42" s="36">
        <v>37536</v>
      </c>
      <c r="E42" s="35">
        <v>46237</v>
      </c>
    </row>
    <row r="43" spans="1:5" x14ac:dyDescent="0.2">
      <c r="A43" s="15" t="s">
        <v>821</v>
      </c>
      <c r="B43" s="15" t="s">
        <v>760</v>
      </c>
      <c r="C43" s="15" t="s">
        <v>767</v>
      </c>
      <c r="D43" s="36">
        <v>47535</v>
      </c>
      <c r="E43" s="35">
        <v>46207</v>
      </c>
    </row>
    <row r="44" spans="1:5" x14ac:dyDescent="0.2">
      <c r="A44" s="15" t="s">
        <v>822</v>
      </c>
      <c r="B44" s="15" t="s">
        <v>770</v>
      </c>
      <c r="C44" s="15" t="s">
        <v>771</v>
      </c>
      <c r="D44" s="36">
        <v>9904</v>
      </c>
      <c r="E44" s="35">
        <v>46259</v>
      </c>
    </row>
    <row r="45" spans="1:5" x14ac:dyDescent="0.2">
      <c r="A45" s="15" t="s">
        <v>821</v>
      </c>
      <c r="B45" s="15" t="s">
        <v>760</v>
      </c>
      <c r="C45" s="15" t="s">
        <v>767</v>
      </c>
      <c r="D45" s="36">
        <v>47535</v>
      </c>
      <c r="E45" s="35">
        <v>46207</v>
      </c>
    </row>
    <row r="46" spans="1:5" x14ac:dyDescent="0.2">
      <c r="A46" s="15" t="s">
        <v>823</v>
      </c>
      <c r="B46" s="15" t="s">
        <v>796</v>
      </c>
      <c r="C46" s="15" t="s">
        <v>767</v>
      </c>
      <c r="D46" s="36">
        <v>48492</v>
      </c>
      <c r="E46" s="35">
        <v>46209</v>
      </c>
    </row>
    <row r="47" spans="1:5" x14ac:dyDescent="0.2">
      <c r="A47" s="15" t="s">
        <v>824</v>
      </c>
      <c r="B47" s="15" t="s">
        <v>783</v>
      </c>
      <c r="C47" s="15" t="s">
        <v>787</v>
      </c>
      <c r="D47" s="36">
        <v>36183</v>
      </c>
      <c r="E47" s="35">
        <v>46240</v>
      </c>
    </row>
    <row r="48" spans="1:5" x14ac:dyDescent="0.2">
      <c r="A48" s="15" t="s">
        <v>825</v>
      </c>
      <c r="B48" s="15" t="s">
        <v>796</v>
      </c>
      <c r="C48" s="15" t="s">
        <v>767</v>
      </c>
      <c r="D48" s="36">
        <v>31068</v>
      </c>
      <c r="E48" s="35">
        <v>46221</v>
      </c>
    </row>
    <row r="49" spans="1:5" x14ac:dyDescent="0.2">
      <c r="A49" s="15" t="s">
        <v>826</v>
      </c>
      <c r="B49" s="15" t="s">
        <v>783</v>
      </c>
      <c r="C49" s="15" t="s">
        <v>784</v>
      </c>
      <c r="D49" s="36">
        <v>28956</v>
      </c>
      <c r="E49" s="35">
        <v>46233</v>
      </c>
    </row>
    <row r="50" spans="1:5" x14ac:dyDescent="0.2">
      <c r="A50" s="15" t="s">
        <v>827</v>
      </c>
      <c r="B50" s="15" t="s">
        <v>779</v>
      </c>
      <c r="C50" s="15" t="s">
        <v>780</v>
      </c>
      <c r="D50" s="36">
        <v>54861</v>
      </c>
      <c r="E50" s="35">
        <v>46262</v>
      </c>
    </row>
    <row r="51" spans="1:5" x14ac:dyDescent="0.2">
      <c r="A51" s="15" t="s">
        <v>828</v>
      </c>
      <c r="B51" s="15" t="s">
        <v>770</v>
      </c>
      <c r="C51" s="15" t="s">
        <v>784</v>
      </c>
      <c r="D51" s="36">
        <v>25590</v>
      </c>
      <c r="E51" s="35">
        <v>46235</v>
      </c>
    </row>
    <row r="52" spans="1:5" x14ac:dyDescent="0.2">
      <c r="A52" s="15" t="s">
        <v>829</v>
      </c>
      <c r="B52" s="15" t="s">
        <v>760</v>
      </c>
      <c r="C52" s="15" t="s">
        <v>780</v>
      </c>
      <c r="D52" s="36">
        <v>20321</v>
      </c>
      <c r="E52" s="35">
        <v>46235</v>
      </c>
    </row>
    <row r="53" spans="1:5" x14ac:dyDescent="0.2">
      <c r="A53" s="15" t="s">
        <v>830</v>
      </c>
      <c r="B53" s="15" t="s">
        <v>770</v>
      </c>
      <c r="C53" s="15" t="s">
        <v>784</v>
      </c>
      <c r="D53" s="36">
        <v>48580</v>
      </c>
      <c r="E53" s="35">
        <v>46224</v>
      </c>
    </row>
    <row r="54" spans="1:5" x14ac:dyDescent="0.2">
      <c r="A54" s="15" t="s">
        <v>831</v>
      </c>
      <c r="B54" s="15" t="s">
        <v>796</v>
      </c>
      <c r="C54" s="15" t="s">
        <v>764</v>
      </c>
      <c r="D54" s="36">
        <v>7649</v>
      </c>
      <c r="E54" s="35">
        <v>46206</v>
      </c>
    </row>
    <row r="55" spans="1:5" x14ac:dyDescent="0.2">
      <c r="A55" s="15" t="s">
        <v>832</v>
      </c>
      <c r="B55" s="15" t="s">
        <v>760</v>
      </c>
      <c r="C55" s="15" t="s">
        <v>787</v>
      </c>
      <c r="D55" s="36">
        <v>30639</v>
      </c>
      <c r="E55" s="35">
        <v>46206</v>
      </c>
    </row>
    <row r="56" spans="1:5" x14ac:dyDescent="0.2">
      <c r="A56" s="15" t="s">
        <v>833</v>
      </c>
      <c r="B56" s="15" t="s">
        <v>760</v>
      </c>
      <c r="C56" s="15" t="s">
        <v>767</v>
      </c>
      <c r="D56" s="36">
        <v>32399</v>
      </c>
      <c r="E56" s="35">
        <v>46225</v>
      </c>
    </row>
    <row r="57" spans="1:5" x14ac:dyDescent="0.2">
      <c r="A57" s="15" t="s">
        <v>830</v>
      </c>
      <c r="B57" s="15" t="s">
        <v>770</v>
      </c>
      <c r="C57" s="15" t="s">
        <v>784</v>
      </c>
      <c r="D57" s="36">
        <v>48580</v>
      </c>
      <c r="E57" s="35">
        <v>46224</v>
      </c>
    </row>
    <row r="58" spans="1:5" x14ac:dyDescent="0.2">
      <c r="A58" s="15" t="s">
        <v>834</v>
      </c>
      <c r="B58" s="15" t="s">
        <v>783</v>
      </c>
      <c r="C58" s="15" t="s">
        <v>767</v>
      </c>
      <c r="D58" s="36">
        <v>11796</v>
      </c>
      <c r="E58" s="35">
        <v>46248</v>
      </c>
    </row>
    <row r="59" spans="1:5" x14ac:dyDescent="0.2">
      <c r="A59" s="15" t="s">
        <v>806</v>
      </c>
      <c r="B59" s="15" t="s">
        <v>760</v>
      </c>
      <c r="C59" s="15" t="s">
        <v>787</v>
      </c>
      <c r="D59" s="36">
        <v>16922</v>
      </c>
      <c r="E59" s="35">
        <v>46264</v>
      </c>
    </row>
    <row r="60" spans="1:5" x14ac:dyDescent="0.2">
      <c r="A60" s="15" t="s">
        <v>835</v>
      </c>
      <c r="B60" s="15" t="s">
        <v>770</v>
      </c>
      <c r="C60" s="15" t="s">
        <v>764</v>
      </c>
      <c r="D60" s="36">
        <v>42321</v>
      </c>
      <c r="E60" s="35">
        <v>46224</v>
      </c>
    </row>
    <row r="61" spans="1:5" x14ac:dyDescent="0.2">
      <c r="A61" s="15" t="s">
        <v>836</v>
      </c>
      <c r="B61" s="15" t="s">
        <v>783</v>
      </c>
      <c r="C61" s="15" t="s">
        <v>771</v>
      </c>
      <c r="D61" s="36">
        <v>4756</v>
      </c>
      <c r="E61" s="35">
        <v>46255</v>
      </c>
    </row>
    <row r="62" spans="1:5" x14ac:dyDescent="0.2">
      <c r="A62" s="15" t="s">
        <v>837</v>
      </c>
      <c r="B62" s="15" t="s">
        <v>760</v>
      </c>
      <c r="C62" s="15" t="s">
        <v>767</v>
      </c>
      <c r="D62" s="36">
        <v>22752</v>
      </c>
      <c r="E62" s="35">
        <v>46260</v>
      </c>
    </row>
    <row r="63" spans="1:5" x14ac:dyDescent="0.2">
      <c r="A63" s="15" t="s">
        <v>838</v>
      </c>
      <c r="B63" s="15" t="s">
        <v>760</v>
      </c>
      <c r="C63" s="15" t="s">
        <v>761</v>
      </c>
      <c r="D63" s="36">
        <v>16812</v>
      </c>
      <c r="E63" s="35">
        <v>46246</v>
      </c>
    </row>
    <row r="64" spans="1:5" x14ac:dyDescent="0.2">
      <c r="A64" s="15" t="s">
        <v>839</v>
      </c>
      <c r="B64" s="15" t="s">
        <v>796</v>
      </c>
      <c r="C64" s="15" t="s">
        <v>767</v>
      </c>
      <c r="D64" s="36">
        <v>14942</v>
      </c>
      <c r="E64" s="35">
        <v>46205</v>
      </c>
    </row>
    <row r="65" spans="1:5" x14ac:dyDescent="0.2">
      <c r="A65" s="15" t="s">
        <v>840</v>
      </c>
      <c r="B65" s="15" t="s">
        <v>760</v>
      </c>
      <c r="C65" s="15" t="s">
        <v>764</v>
      </c>
      <c r="D65" s="36">
        <v>34368</v>
      </c>
      <c r="E65" s="35">
        <v>46218</v>
      </c>
    </row>
    <row r="66" spans="1:5" x14ac:dyDescent="0.2">
      <c r="A66" s="15" t="s">
        <v>841</v>
      </c>
      <c r="B66" s="15" t="s">
        <v>760</v>
      </c>
      <c r="C66" s="15" t="s">
        <v>842</v>
      </c>
      <c r="D66" s="36">
        <v>17582</v>
      </c>
      <c r="E66" s="35">
        <v>46218</v>
      </c>
    </row>
    <row r="67" spans="1:5" x14ac:dyDescent="0.2">
      <c r="A67" s="15" t="s">
        <v>843</v>
      </c>
      <c r="B67" s="15" t="s">
        <v>760</v>
      </c>
      <c r="C67" s="15" t="s">
        <v>787</v>
      </c>
      <c r="D67" s="36">
        <v>58293</v>
      </c>
      <c r="E67" s="35">
        <v>46224</v>
      </c>
    </row>
    <row r="68" spans="1:5" x14ac:dyDescent="0.2">
      <c r="A68" s="15" t="s">
        <v>817</v>
      </c>
      <c r="B68" s="15" t="s">
        <v>783</v>
      </c>
      <c r="C68" s="15" t="s">
        <v>767</v>
      </c>
      <c r="D68" s="36">
        <v>42002</v>
      </c>
      <c r="E68" s="35">
        <v>46219</v>
      </c>
    </row>
    <row r="69" spans="1:5" x14ac:dyDescent="0.2">
      <c r="A69" s="15" t="s">
        <v>844</v>
      </c>
      <c r="B69" s="15" t="s">
        <v>770</v>
      </c>
      <c r="C69" s="15" t="s">
        <v>764</v>
      </c>
      <c r="D69" s="36">
        <v>5834</v>
      </c>
      <c r="E69" s="35">
        <v>46229</v>
      </c>
    </row>
    <row r="70" spans="1:5" x14ac:dyDescent="0.2">
      <c r="A70" s="15" t="s">
        <v>845</v>
      </c>
      <c r="B70" s="15" t="s">
        <v>760</v>
      </c>
      <c r="C70" s="15" t="s">
        <v>767</v>
      </c>
      <c r="D70" s="36">
        <v>32179</v>
      </c>
      <c r="E70" s="35">
        <v>46249</v>
      </c>
    </row>
    <row r="71" spans="1:5" x14ac:dyDescent="0.2">
      <c r="A71" s="15" t="s">
        <v>846</v>
      </c>
      <c r="B71" s="15" t="s">
        <v>779</v>
      </c>
      <c r="C71" s="15" t="s">
        <v>767</v>
      </c>
      <c r="D71" s="36">
        <v>30936</v>
      </c>
      <c r="E71" s="35">
        <v>46214</v>
      </c>
    </row>
  </sheetData>
  <mergeCells count="13">
    <mergeCell ref="G25:I25"/>
    <mergeCell ref="G26:I26"/>
    <mergeCell ref="G27:I27"/>
    <mergeCell ref="G11:I11"/>
    <mergeCell ref="G12:I12"/>
    <mergeCell ref="G22:I22"/>
    <mergeCell ref="G23:I23"/>
    <mergeCell ref="G24:I24"/>
    <mergeCell ref="A1:G1"/>
    <mergeCell ref="A2:G2"/>
    <mergeCell ref="A4:I7"/>
    <mergeCell ref="G9:I9"/>
    <mergeCell ref="G10:I1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7"/>
  <sheetViews>
    <sheetView zoomScaleNormal="100" workbookViewId="0"/>
  </sheetViews>
  <sheetFormatPr baseColWidth="10" defaultColWidth="8.6640625" defaultRowHeight="15" x14ac:dyDescent="0.2"/>
  <cols>
    <col min="1" max="2" width="10" customWidth="1"/>
    <col min="3" max="3" width="12" customWidth="1"/>
    <col min="4" max="4" width="13" customWidth="1"/>
    <col min="5" max="5" width="3" customWidth="1"/>
    <col min="6" max="6" width="60" customWidth="1"/>
  </cols>
  <sheetData>
    <row r="1" spans="1:6" ht="45" customHeight="1" x14ac:dyDescent="0.2">
      <c r="A1" s="13" t="s">
        <v>847</v>
      </c>
      <c r="F1" s="22" t="s">
        <v>848</v>
      </c>
    </row>
    <row r="3" spans="1:6" ht="45" customHeight="1" x14ac:dyDescent="0.2">
      <c r="A3" s="44" t="s">
        <v>849</v>
      </c>
      <c r="F3" s="22" t="s">
        <v>850</v>
      </c>
    </row>
    <row r="5" spans="1:6" ht="45" customHeight="1" x14ac:dyDescent="0.2">
      <c r="F5" s="22" t="s">
        <v>851</v>
      </c>
    </row>
    <row r="7" spans="1:6" ht="45" customHeight="1" x14ac:dyDescent="0.2">
      <c r="F7" s="22" t="s">
        <v>852</v>
      </c>
    </row>
    <row r="9" spans="1:6" ht="45" customHeight="1" x14ac:dyDescent="0.2">
      <c r="A9" s="18" t="s">
        <v>853</v>
      </c>
      <c r="B9" s="18" t="s">
        <v>97</v>
      </c>
      <c r="C9" s="18" t="s">
        <v>147</v>
      </c>
      <c r="D9" s="18" t="s">
        <v>148</v>
      </c>
      <c r="F9" s="22" t="s">
        <v>854</v>
      </c>
    </row>
    <row r="10" spans="1:6" x14ac:dyDescent="0.2">
      <c r="A10" s="15" t="s">
        <v>855</v>
      </c>
      <c r="B10" s="15" t="s">
        <v>103</v>
      </c>
      <c r="C10" s="15" t="s">
        <v>856</v>
      </c>
      <c r="D10" s="36">
        <v>11782</v>
      </c>
    </row>
    <row r="11" spans="1:6" ht="45" customHeight="1" x14ac:dyDescent="0.2">
      <c r="A11" s="15" t="s">
        <v>855</v>
      </c>
      <c r="B11" s="15" t="s">
        <v>106</v>
      </c>
      <c r="C11" s="15" t="s">
        <v>856</v>
      </c>
      <c r="D11" s="36">
        <v>13754</v>
      </c>
      <c r="F11" s="22" t="s">
        <v>857</v>
      </c>
    </row>
    <row r="12" spans="1:6" x14ac:dyDescent="0.2">
      <c r="A12" s="15" t="s">
        <v>855</v>
      </c>
      <c r="B12" s="15" t="s">
        <v>103</v>
      </c>
      <c r="C12" s="15" t="s">
        <v>858</v>
      </c>
      <c r="D12" s="36">
        <v>16134</v>
      </c>
    </row>
    <row r="13" spans="1:6" ht="45" customHeight="1" x14ac:dyDescent="0.2">
      <c r="A13" s="15" t="s">
        <v>855</v>
      </c>
      <c r="B13" s="15" t="s">
        <v>859</v>
      </c>
      <c r="C13" s="15" t="s">
        <v>860</v>
      </c>
      <c r="D13" s="36">
        <v>13731</v>
      </c>
      <c r="F13" s="22" t="s">
        <v>861</v>
      </c>
    </row>
    <row r="14" spans="1:6" x14ac:dyDescent="0.2">
      <c r="A14" s="15" t="s">
        <v>855</v>
      </c>
      <c r="B14" s="15" t="s">
        <v>114</v>
      </c>
      <c r="C14" s="15" t="s">
        <v>856</v>
      </c>
      <c r="D14" s="36">
        <v>13333</v>
      </c>
    </row>
    <row r="15" spans="1:6" x14ac:dyDescent="0.2">
      <c r="A15" s="15" t="s">
        <v>855</v>
      </c>
      <c r="B15" s="15" t="s">
        <v>103</v>
      </c>
      <c r="C15" s="15" t="s">
        <v>856</v>
      </c>
      <c r="D15" s="36">
        <v>13079</v>
      </c>
    </row>
    <row r="16" spans="1:6" x14ac:dyDescent="0.2">
      <c r="A16" s="15" t="s">
        <v>855</v>
      </c>
      <c r="B16" s="15" t="s">
        <v>106</v>
      </c>
      <c r="C16" s="15" t="s">
        <v>858</v>
      </c>
      <c r="D16" s="36">
        <v>19934</v>
      </c>
    </row>
    <row r="17" spans="1:4" x14ac:dyDescent="0.2">
      <c r="A17" s="15" t="s">
        <v>855</v>
      </c>
      <c r="B17" s="15" t="s">
        <v>106</v>
      </c>
      <c r="C17" s="15" t="s">
        <v>862</v>
      </c>
      <c r="D17" s="36">
        <v>8848</v>
      </c>
    </row>
    <row r="18" spans="1:4" x14ac:dyDescent="0.2">
      <c r="A18" s="15" t="s">
        <v>855</v>
      </c>
      <c r="B18" s="15" t="s">
        <v>103</v>
      </c>
      <c r="C18" s="15" t="s">
        <v>858</v>
      </c>
      <c r="D18" s="36">
        <v>8968</v>
      </c>
    </row>
    <row r="19" spans="1:4" x14ac:dyDescent="0.2">
      <c r="A19" s="15" t="s">
        <v>855</v>
      </c>
      <c r="B19" s="15" t="s">
        <v>859</v>
      </c>
      <c r="C19" s="15" t="s">
        <v>856</v>
      </c>
      <c r="D19" s="36">
        <v>14383</v>
      </c>
    </row>
    <row r="20" spans="1:4" x14ac:dyDescent="0.2">
      <c r="A20" s="15" t="s">
        <v>855</v>
      </c>
      <c r="B20" s="15" t="s">
        <v>859</v>
      </c>
      <c r="C20" s="15" t="s">
        <v>856</v>
      </c>
      <c r="D20" s="36">
        <v>17780</v>
      </c>
    </row>
    <row r="21" spans="1:4" x14ac:dyDescent="0.2">
      <c r="A21" s="15" t="s">
        <v>855</v>
      </c>
      <c r="B21" s="15" t="s">
        <v>106</v>
      </c>
      <c r="C21" s="15" t="s">
        <v>858</v>
      </c>
      <c r="D21" s="36">
        <v>14856</v>
      </c>
    </row>
    <row r="22" spans="1:4" x14ac:dyDescent="0.2">
      <c r="A22" s="15" t="s">
        <v>863</v>
      </c>
      <c r="B22" s="15" t="s">
        <v>106</v>
      </c>
      <c r="C22" s="15" t="s">
        <v>856</v>
      </c>
      <c r="D22" s="36">
        <v>15289</v>
      </c>
    </row>
    <row r="23" spans="1:4" x14ac:dyDescent="0.2">
      <c r="A23" s="15" t="s">
        <v>863</v>
      </c>
      <c r="B23" s="15" t="s">
        <v>106</v>
      </c>
      <c r="C23" s="15" t="s">
        <v>856</v>
      </c>
      <c r="D23" s="36">
        <v>9739</v>
      </c>
    </row>
    <row r="24" spans="1:4" x14ac:dyDescent="0.2">
      <c r="A24" s="15" t="s">
        <v>863</v>
      </c>
      <c r="B24" s="15" t="s">
        <v>106</v>
      </c>
      <c r="C24" s="15" t="s">
        <v>856</v>
      </c>
      <c r="D24" s="36">
        <v>11897</v>
      </c>
    </row>
    <row r="25" spans="1:4" x14ac:dyDescent="0.2">
      <c r="A25" s="15" t="s">
        <v>863</v>
      </c>
      <c r="B25" s="15" t="s">
        <v>103</v>
      </c>
      <c r="C25" s="15" t="s">
        <v>856</v>
      </c>
      <c r="D25" s="36">
        <v>13208</v>
      </c>
    </row>
    <row r="26" spans="1:4" x14ac:dyDescent="0.2">
      <c r="A26" s="15" t="s">
        <v>863</v>
      </c>
      <c r="B26" s="15" t="s">
        <v>103</v>
      </c>
      <c r="C26" s="15" t="s">
        <v>860</v>
      </c>
      <c r="D26" s="36">
        <v>9021</v>
      </c>
    </row>
    <row r="27" spans="1:4" x14ac:dyDescent="0.2">
      <c r="A27" s="15" t="s">
        <v>863</v>
      </c>
      <c r="B27" s="15" t="s">
        <v>859</v>
      </c>
      <c r="C27" s="15" t="s">
        <v>856</v>
      </c>
      <c r="D27" s="36">
        <v>18309</v>
      </c>
    </row>
    <row r="28" spans="1:4" x14ac:dyDescent="0.2">
      <c r="A28" s="15" t="s">
        <v>863</v>
      </c>
      <c r="B28" s="15" t="s">
        <v>106</v>
      </c>
      <c r="C28" s="15" t="s">
        <v>860</v>
      </c>
      <c r="D28" s="36">
        <v>19088</v>
      </c>
    </row>
    <row r="29" spans="1:4" x14ac:dyDescent="0.2">
      <c r="A29" s="15" t="s">
        <v>863</v>
      </c>
      <c r="B29" s="15" t="s">
        <v>106</v>
      </c>
      <c r="C29" s="15" t="s">
        <v>858</v>
      </c>
      <c r="D29" s="36">
        <v>10843</v>
      </c>
    </row>
    <row r="30" spans="1:4" x14ac:dyDescent="0.2">
      <c r="A30" s="15" t="s">
        <v>863</v>
      </c>
      <c r="B30" s="15" t="s">
        <v>114</v>
      </c>
      <c r="C30" s="15" t="s">
        <v>860</v>
      </c>
      <c r="D30" s="36">
        <v>19625</v>
      </c>
    </row>
    <row r="31" spans="1:4" x14ac:dyDescent="0.2">
      <c r="A31" s="15" t="s">
        <v>863</v>
      </c>
      <c r="B31" s="15" t="s">
        <v>103</v>
      </c>
      <c r="C31" s="15" t="s">
        <v>862</v>
      </c>
      <c r="D31" s="36">
        <v>12885</v>
      </c>
    </row>
    <row r="32" spans="1:4" x14ac:dyDescent="0.2">
      <c r="A32" s="15" t="s">
        <v>863</v>
      </c>
      <c r="B32" s="15" t="s">
        <v>106</v>
      </c>
      <c r="C32" s="15" t="s">
        <v>862</v>
      </c>
      <c r="D32" s="36">
        <v>18051</v>
      </c>
    </row>
    <row r="33" spans="1:4" x14ac:dyDescent="0.2">
      <c r="A33" s="15" t="s">
        <v>863</v>
      </c>
      <c r="B33" s="15" t="s">
        <v>114</v>
      </c>
      <c r="C33" s="15" t="s">
        <v>862</v>
      </c>
      <c r="D33" s="36">
        <v>17111</v>
      </c>
    </row>
    <row r="34" spans="1:4" x14ac:dyDescent="0.2">
      <c r="A34" s="15" t="s">
        <v>864</v>
      </c>
      <c r="B34" s="15" t="s">
        <v>859</v>
      </c>
      <c r="C34" s="15" t="s">
        <v>856</v>
      </c>
      <c r="D34" s="36">
        <v>20069</v>
      </c>
    </row>
    <row r="35" spans="1:4" x14ac:dyDescent="0.2">
      <c r="A35" s="15" t="s">
        <v>864</v>
      </c>
      <c r="B35" s="15" t="s">
        <v>114</v>
      </c>
      <c r="C35" s="15" t="s">
        <v>860</v>
      </c>
      <c r="D35" s="36">
        <v>9616</v>
      </c>
    </row>
    <row r="36" spans="1:4" x14ac:dyDescent="0.2">
      <c r="A36" s="15" t="s">
        <v>864</v>
      </c>
      <c r="B36" s="15" t="s">
        <v>114</v>
      </c>
      <c r="C36" s="15" t="s">
        <v>858</v>
      </c>
      <c r="D36" s="36">
        <v>19923</v>
      </c>
    </row>
    <row r="37" spans="1:4" x14ac:dyDescent="0.2">
      <c r="A37" s="15" t="s">
        <v>864</v>
      </c>
      <c r="B37" s="15" t="s">
        <v>106</v>
      </c>
      <c r="C37" s="15" t="s">
        <v>860</v>
      </c>
      <c r="D37" s="36">
        <v>14414</v>
      </c>
    </row>
    <row r="38" spans="1:4" x14ac:dyDescent="0.2">
      <c r="A38" s="15" t="s">
        <v>864</v>
      </c>
      <c r="B38" s="15" t="s">
        <v>103</v>
      </c>
      <c r="C38" s="15" t="s">
        <v>858</v>
      </c>
      <c r="D38" s="36">
        <v>15380</v>
      </c>
    </row>
    <row r="39" spans="1:4" x14ac:dyDescent="0.2">
      <c r="A39" s="15" t="s">
        <v>864</v>
      </c>
      <c r="B39" s="15" t="s">
        <v>859</v>
      </c>
      <c r="C39" s="15" t="s">
        <v>862</v>
      </c>
      <c r="D39" s="36">
        <v>19402</v>
      </c>
    </row>
    <row r="40" spans="1:4" x14ac:dyDescent="0.2">
      <c r="A40" s="15" t="s">
        <v>864</v>
      </c>
      <c r="B40" s="15" t="s">
        <v>106</v>
      </c>
      <c r="C40" s="15" t="s">
        <v>862</v>
      </c>
      <c r="D40" s="36">
        <v>17730</v>
      </c>
    </row>
    <row r="41" spans="1:4" x14ac:dyDescent="0.2">
      <c r="A41" s="15" t="s">
        <v>864</v>
      </c>
      <c r="B41" s="15" t="s">
        <v>106</v>
      </c>
      <c r="C41" s="15" t="s">
        <v>858</v>
      </c>
      <c r="D41" s="36">
        <v>18775</v>
      </c>
    </row>
    <row r="42" spans="1:4" x14ac:dyDescent="0.2">
      <c r="A42" s="15" t="s">
        <v>864</v>
      </c>
      <c r="B42" s="15" t="s">
        <v>106</v>
      </c>
      <c r="C42" s="15" t="s">
        <v>860</v>
      </c>
      <c r="D42" s="36">
        <v>12913</v>
      </c>
    </row>
    <row r="43" spans="1:4" x14ac:dyDescent="0.2">
      <c r="A43" s="15" t="s">
        <v>864</v>
      </c>
      <c r="B43" s="15" t="s">
        <v>114</v>
      </c>
      <c r="C43" s="15" t="s">
        <v>862</v>
      </c>
      <c r="D43" s="36">
        <v>21657</v>
      </c>
    </row>
    <row r="44" spans="1:4" x14ac:dyDescent="0.2">
      <c r="A44" s="15" t="s">
        <v>864</v>
      </c>
      <c r="B44" s="15" t="s">
        <v>103</v>
      </c>
      <c r="C44" s="15" t="s">
        <v>860</v>
      </c>
      <c r="D44" s="36">
        <v>17605</v>
      </c>
    </row>
    <row r="45" spans="1:4" x14ac:dyDescent="0.2">
      <c r="A45" s="15" t="s">
        <v>864</v>
      </c>
      <c r="B45" s="15" t="s">
        <v>103</v>
      </c>
      <c r="C45" s="15" t="s">
        <v>856</v>
      </c>
      <c r="D45" s="36">
        <v>16466</v>
      </c>
    </row>
    <row r="46" spans="1:4" x14ac:dyDescent="0.2">
      <c r="A46" s="15" t="s">
        <v>865</v>
      </c>
      <c r="B46" s="15" t="s">
        <v>103</v>
      </c>
      <c r="C46" s="15" t="s">
        <v>858</v>
      </c>
      <c r="D46" s="36">
        <v>18734</v>
      </c>
    </row>
    <row r="47" spans="1:4" x14ac:dyDescent="0.2">
      <c r="A47" s="15" t="s">
        <v>865</v>
      </c>
      <c r="B47" s="15" t="s">
        <v>114</v>
      </c>
      <c r="C47" s="15" t="s">
        <v>862</v>
      </c>
      <c r="D47" s="36">
        <v>14325</v>
      </c>
    </row>
    <row r="48" spans="1:4" x14ac:dyDescent="0.2">
      <c r="A48" s="15" t="s">
        <v>865</v>
      </c>
      <c r="B48" s="15" t="s">
        <v>106</v>
      </c>
      <c r="C48" s="15" t="s">
        <v>862</v>
      </c>
      <c r="D48" s="36">
        <v>17115</v>
      </c>
    </row>
    <row r="49" spans="1:4" x14ac:dyDescent="0.2">
      <c r="A49" s="15" t="s">
        <v>865</v>
      </c>
      <c r="B49" s="15" t="s">
        <v>859</v>
      </c>
      <c r="C49" s="15" t="s">
        <v>858</v>
      </c>
      <c r="D49" s="36">
        <v>16968</v>
      </c>
    </row>
    <row r="51" spans="1:4" x14ac:dyDescent="0.2">
      <c r="A51" s="15" t="s">
        <v>865</v>
      </c>
      <c r="B51" s="15" t="s">
        <v>859</v>
      </c>
      <c r="C51" s="15" t="s">
        <v>860</v>
      </c>
      <c r="D51" s="36">
        <v>20398</v>
      </c>
    </row>
    <row r="53" spans="1:4" x14ac:dyDescent="0.2">
      <c r="A53" s="15" t="s">
        <v>865</v>
      </c>
      <c r="B53" s="15" t="s">
        <v>859</v>
      </c>
      <c r="C53" s="15" t="s">
        <v>862</v>
      </c>
      <c r="D53" s="36">
        <v>22233</v>
      </c>
    </row>
    <row r="54" spans="1:4" x14ac:dyDescent="0.2">
      <c r="A54" s="15" t="s">
        <v>865</v>
      </c>
      <c r="B54" s="15" t="s">
        <v>106</v>
      </c>
      <c r="C54" s="15" t="s">
        <v>862</v>
      </c>
      <c r="D54" s="36">
        <v>18177</v>
      </c>
    </row>
    <row r="55" spans="1:4" x14ac:dyDescent="0.2">
      <c r="A55" s="15" t="s">
        <v>865</v>
      </c>
      <c r="B55" s="15" t="s">
        <v>106</v>
      </c>
      <c r="C55" s="15" t="s">
        <v>860</v>
      </c>
      <c r="D55" s="36">
        <v>15976</v>
      </c>
    </row>
    <row r="56" spans="1:4" x14ac:dyDescent="0.2">
      <c r="A56" s="15" t="s">
        <v>865</v>
      </c>
      <c r="B56" s="15" t="s">
        <v>114</v>
      </c>
      <c r="C56" s="15" t="s">
        <v>858</v>
      </c>
      <c r="D56" s="36">
        <v>20012</v>
      </c>
    </row>
    <row r="57" spans="1:4" x14ac:dyDescent="0.2">
      <c r="A57" s="15" t="s">
        <v>865</v>
      </c>
      <c r="B57" s="15" t="s">
        <v>114</v>
      </c>
      <c r="C57" s="15" t="s">
        <v>860</v>
      </c>
      <c r="D57" s="36">
        <v>11907</v>
      </c>
    </row>
    <row r="58" spans="1:4" x14ac:dyDescent="0.2">
      <c r="A58" s="15" t="s">
        <v>865</v>
      </c>
      <c r="B58" s="15" t="s">
        <v>859</v>
      </c>
      <c r="C58" s="15" t="s">
        <v>858</v>
      </c>
      <c r="D58" s="36">
        <v>21927</v>
      </c>
    </row>
    <row r="59" spans="1:4" x14ac:dyDescent="0.2">
      <c r="A59" s="15" t="s">
        <v>865</v>
      </c>
      <c r="B59" s="15" t="s">
        <v>114</v>
      </c>
      <c r="C59" s="15" t="s">
        <v>862</v>
      </c>
      <c r="D59" s="36">
        <v>21597</v>
      </c>
    </row>
    <row r="60" spans="1:4" x14ac:dyDescent="0.2">
      <c r="A60" s="15" t="s">
        <v>866</v>
      </c>
      <c r="B60" s="15" t="s">
        <v>114</v>
      </c>
      <c r="C60" s="15" t="s">
        <v>858</v>
      </c>
      <c r="D60" s="36">
        <v>16570</v>
      </c>
    </row>
    <row r="61" spans="1:4" x14ac:dyDescent="0.2">
      <c r="A61" s="15" t="s">
        <v>866</v>
      </c>
      <c r="B61" s="15" t="s">
        <v>103</v>
      </c>
      <c r="C61" s="15" t="s">
        <v>856</v>
      </c>
      <c r="D61" s="36">
        <v>18507</v>
      </c>
    </row>
    <row r="62" spans="1:4" x14ac:dyDescent="0.2">
      <c r="A62" s="15" t="s">
        <v>866</v>
      </c>
      <c r="B62" s="15" t="s">
        <v>103</v>
      </c>
      <c r="C62" s="15" t="s">
        <v>860</v>
      </c>
      <c r="D62" s="36">
        <v>13907</v>
      </c>
    </row>
    <row r="63" spans="1:4" x14ac:dyDescent="0.2">
      <c r="A63" s="15" t="s">
        <v>866</v>
      </c>
      <c r="B63" s="15" t="s">
        <v>114</v>
      </c>
      <c r="C63" s="15" t="s">
        <v>858</v>
      </c>
      <c r="D63" s="36">
        <v>21171</v>
      </c>
    </row>
    <row r="64" spans="1:4" x14ac:dyDescent="0.2">
      <c r="A64" s="15" t="s">
        <v>866</v>
      </c>
      <c r="B64" s="15" t="s">
        <v>103</v>
      </c>
      <c r="C64" s="15" t="s">
        <v>856</v>
      </c>
      <c r="D64" s="36">
        <v>13089</v>
      </c>
    </row>
    <row r="65" spans="1:4" x14ac:dyDescent="0.2">
      <c r="A65" s="15" t="s">
        <v>866</v>
      </c>
      <c r="B65" s="15" t="s">
        <v>103</v>
      </c>
      <c r="C65" s="15" t="s">
        <v>856</v>
      </c>
      <c r="D65" s="36">
        <v>20980</v>
      </c>
    </row>
    <row r="66" spans="1:4" x14ac:dyDescent="0.2">
      <c r="A66" s="15" t="s">
        <v>866</v>
      </c>
      <c r="B66" s="15" t="s">
        <v>859</v>
      </c>
      <c r="C66" s="15" t="s">
        <v>860</v>
      </c>
      <c r="D66" s="36">
        <v>17745</v>
      </c>
    </row>
    <row r="67" spans="1:4" x14ac:dyDescent="0.2">
      <c r="A67" s="15" t="s">
        <v>866</v>
      </c>
      <c r="B67" s="15" t="s">
        <v>103</v>
      </c>
      <c r="C67" s="15" t="s">
        <v>856</v>
      </c>
      <c r="D67" s="36">
        <v>13520</v>
      </c>
    </row>
    <row r="68" spans="1:4" x14ac:dyDescent="0.2">
      <c r="A68" s="15" t="s">
        <v>866</v>
      </c>
      <c r="B68" s="15" t="s">
        <v>103</v>
      </c>
      <c r="C68" s="15" t="s">
        <v>862</v>
      </c>
      <c r="D68" s="36">
        <v>15234</v>
      </c>
    </row>
    <row r="69" spans="1:4" x14ac:dyDescent="0.2">
      <c r="A69" s="15" t="s">
        <v>866</v>
      </c>
      <c r="B69" s="15" t="s">
        <v>103</v>
      </c>
      <c r="C69" s="15" t="s">
        <v>862</v>
      </c>
      <c r="D69" s="36">
        <v>14710</v>
      </c>
    </row>
    <row r="70" spans="1:4" x14ac:dyDescent="0.2">
      <c r="A70" s="15" t="s">
        <v>866</v>
      </c>
      <c r="B70" s="15" t="s">
        <v>114</v>
      </c>
      <c r="C70" s="15" t="s">
        <v>858</v>
      </c>
      <c r="D70" s="36">
        <v>15699</v>
      </c>
    </row>
    <row r="71" spans="1:4" x14ac:dyDescent="0.2">
      <c r="A71" s="15" t="s">
        <v>866</v>
      </c>
      <c r="B71" s="15" t="s">
        <v>106</v>
      </c>
      <c r="C71" s="15" t="s">
        <v>856</v>
      </c>
      <c r="D71" s="36">
        <v>17361</v>
      </c>
    </row>
    <row r="72" spans="1:4" x14ac:dyDescent="0.2">
      <c r="A72" s="15" t="s">
        <v>867</v>
      </c>
      <c r="B72" s="15" t="s">
        <v>859</v>
      </c>
      <c r="C72" s="15" t="s">
        <v>862</v>
      </c>
      <c r="D72" s="36">
        <v>11103</v>
      </c>
    </row>
    <row r="73" spans="1:4" x14ac:dyDescent="0.2">
      <c r="A73" s="15" t="s">
        <v>867</v>
      </c>
      <c r="B73" s="15" t="s">
        <v>114</v>
      </c>
      <c r="C73" s="15" t="s">
        <v>862</v>
      </c>
      <c r="D73" s="36">
        <v>14280</v>
      </c>
    </row>
    <row r="74" spans="1:4" x14ac:dyDescent="0.2">
      <c r="A74" s="15" t="s">
        <v>867</v>
      </c>
      <c r="B74" s="15" t="s">
        <v>106</v>
      </c>
      <c r="C74" s="15" t="s">
        <v>856</v>
      </c>
      <c r="D74" s="36">
        <v>18320</v>
      </c>
    </row>
    <row r="75" spans="1:4" x14ac:dyDescent="0.2">
      <c r="A75" s="15" t="s">
        <v>867</v>
      </c>
      <c r="B75" s="15" t="s">
        <v>106</v>
      </c>
      <c r="C75" s="15" t="s">
        <v>860</v>
      </c>
      <c r="D75" s="36">
        <v>21191</v>
      </c>
    </row>
    <row r="76" spans="1:4" x14ac:dyDescent="0.2">
      <c r="A76" s="15" t="s">
        <v>867</v>
      </c>
      <c r="B76" s="15" t="s">
        <v>106</v>
      </c>
      <c r="C76" s="15" t="s">
        <v>862</v>
      </c>
      <c r="D76" s="36">
        <v>11169</v>
      </c>
    </row>
    <row r="77" spans="1:4" x14ac:dyDescent="0.2">
      <c r="A77" s="15" t="s">
        <v>867</v>
      </c>
      <c r="B77" s="15" t="s">
        <v>103</v>
      </c>
      <c r="C77" s="15" t="s">
        <v>862</v>
      </c>
      <c r="D77" s="36">
        <v>21149</v>
      </c>
    </row>
    <row r="78" spans="1:4" x14ac:dyDescent="0.2">
      <c r="A78" s="15" t="s">
        <v>867</v>
      </c>
      <c r="B78" s="15" t="s">
        <v>103</v>
      </c>
      <c r="C78" s="15" t="s">
        <v>862</v>
      </c>
      <c r="D78" s="36">
        <v>13263</v>
      </c>
    </row>
    <row r="79" spans="1:4" x14ac:dyDescent="0.2">
      <c r="A79" s="15" t="s">
        <v>867</v>
      </c>
      <c r="B79" s="15" t="s">
        <v>859</v>
      </c>
      <c r="C79" s="15" t="s">
        <v>858</v>
      </c>
      <c r="D79" s="36">
        <v>11072</v>
      </c>
    </row>
    <row r="80" spans="1:4" x14ac:dyDescent="0.2">
      <c r="A80" s="15" t="s">
        <v>867</v>
      </c>
      <c r="B80" s="15" t="s">
        <v>859</v>
      </c>
      <c r="C80" s="15" t="s">
        <v>862</v>
      </c>
      <c r="D80" s="36">
        <v>19567</v>
      </c>
    </row>
    <row r="81" spans="1:4" x14ac:dyDescent="0.2">
      <c r="A81" s="15" t="s">
        <v>867</v>
      </c>
      <c r="B81" s="15" t="s">
        <v>114</v>
      </c>
      <c r="C81" s="15" t="s">
        <v>860</v>
      </c>
      <c r="D81" s="36">
        <v>21034</v>
      </c>
    </row>
    <row r="82" spans="1:4" x14ac:dyDescent="0.2">
      <c r="A82" s="15" t="s">
        <v>867</v>
      </c>
      <c r="B82" s="15" t="s">
        <v>106</v>
      </c>
      <c r="C82" s="15" t="s">
        <v>862</v>
      </c>
      <c r="D82" s="36">
        <v>13092</v>
      </c>
    </row>
    <row r="83" spans="1:4" x14ac:dyDescent="0.2">
      <c r="A83" s="15" t="s">
        <v>867</v>
      </c>
      <c r="B83" s="15" t="s">
        <v>859</v>
      </c>
      <c r="C83" s="15" t="s">
        <v>856</v>
      </c>
      <c r="D83" s="36">
        <v>19527</v>
      </c>
    </row>
    <row r="84" spans="1:4" x14ac:dyDescent="0.2">
      <c r="A84" s="24" t="s">
        <v>853</v>
      </c>
      <c r="B84" s="24" t="s">
        <v>97</v>
      </c>
      <c r="C84" s="24" t="s">
        <v>147</v>
      </c>
      <c r="D84" s="24" t="s">
        <v>148</v>
      </c>
    </row>
    <row r="85" spans="1:4" x14ac:dyDescent="0.2">
      <c r="A85" s="15" t="s">
        <v>868</v>
      </c>
      <c r="B85" s="15" t="s">
        <v>859</v>
      </c>
      <c r="C85" s="15" t="s">
        <v>856</v>
      </c>
      <c r="D85" s="36">
        <v>25286</v>
      </c>
    </row>
    <row r="86" spans="1:4" x14ac:dyDescent="0.2">
      <c r="A86" s="15" t="s">
        <v>868</v>
      </c>
      <c r="B86" s="15" t="s">
        <v>859</v>
      </c>
      <c r="C86" s="15" t="s">
        <v>862</v>
      </c>
      <c r="D86" s="36">
        <v>26233</v>
      </c>
    </row>
    <row r="87" spans="1:4" x14ac:dyDescent="0.2">
      <c r="A87" s="15" t="s">
        <v>868</v>
      </c>
      <c r="B87" s="15" t="s">
        <v>114</v>
      </c>
      <c r="C87" s="15" t="s">
        <v>860</v>
      </c>
      <c r="D87" s="36">
        <v>16415</v>
      </c>
    </row>
    <row r="88" spans="1:4" x14ac:dyDescent="0.2">
      <c r="A88" s="15" t="s">
        <v>868</v>
      </c>
      <c r="B88" s="15" t="s">
        <v>859</v>
      </c>
      <c r="C88" s="15" t="s">
        <v>862</v>
      </c>
      <c r="D88" s="36">
        <v>19816</v>
      </c>
    </row>
    <row r="89" spans="1:4" x14ac:dyDescent="0.2">
      <c r="A89" s="15" t="s">
        <v>868</v>
      </c>
      <c r="B89" s="15" t="s">
        <v>103</v>
      </c>
      <c r="C89" s="15" t="s">
        <v>862</v>
      </c>
      <c r="D89" s="36">
        <v>16734</v>
      </c>
    </row>
    <row r="90" spans="1:4" x14ac:dyDescent="0.2">
      <c r="A90" s="15" t="s">
        <v>868</v>
      </c>
      <c r="B90" s="15" t="s">
        <v>114</v>
      </c>
      <c r="C90" s="15" t="s">
        <v>858</v>
      </c>
      <c r="D90" s="36">
        <v>15087</v>
      </c>
    </row>
    <row r="91" spans="1:4" x14ac:dyDescent="0.2">
      <c r="A91" s="15" t="s">
        <v>868</v>
      </c>
      <c r="B91" s="15" t="s">
        <v>106</v>
      </c>
      <c r="C91" s="15" t="s">
        <v>856</v>
      </c>
      <c r="D91" s="36">
        <v>11233</v>
      </c>
    </row>
    <row r="92" spans="1:4" x14ac:dyDescent="0.2">
      <c r="A92" s="15" t="s">
        <v>868</v>
      </c>
      <c r="B92" s="15" t="s">
        <v>103</v>
      </c>
      <c r="C92" s="15" t="s">
        <v>862</v>
      </c>
      <c r="D92" s="36">
        <v>14474</v>
      </c>
    </row>
    <row r="93" spans="1:4" x14ac:dyDescent="0.2">
      <c r="A93" s="15" t="s">
        <v>868</v>
      </c>
      <c r="B93" s="15" t="s">
        <v>103</v>
      </c>
      <c r="C93" s="15" t="s">
        <v>858</v>
      </c>
      <c r="D93" s="36">
        <v>24841</v>
      </c>
    </row>
    <row r="94" spans="1:4" x14ac:dyDescent="0.2">
      <c r="A94" s="15" t="s">
        <v>868</v>
      </c>
      <c r="B94" s="15" t="s">
        <v>103</v>
      </c>
      <c r="C94" s="15" t="s">
        <v>856</v>
      </c>
      <c r="D94" s="36">
        <v>19424</v>
      </c>
    </row>
    <row r="95" spans="1:4" x14ac:dyDescent="0.2">
      <c r="A95" s="15" t="s">
        <v>868</v>
      </c>
      <c r="B95" s="15" t="s">
        <v>106</v>
      </c>
      <c r="C95" s="15" t="s">
        <v>862</v>
      </c>
      <c r="D95" s="36">
        <v>14164</v>
      </c>
    </row>
    <row r="96" spans="1:4" x14ac:dyDescent="0.2">
      <c r="A96" s="15" t="s">
        <v>868</v>
      </c>
      <c r="B96" s="15" t="s">
        <v>103</v>
      </c>
      <c r="C96" s="15" t="s">
        <v>860</v>
      </c>
      <c r="D96" s="36">
        <v>18349</v>
      </c>
    </row>
    <row r="97" spans="1:4" x14ac:dyDescent="0.2">
      <c r="A97" s="15" t="s">
        <v>869</v>
      </c>
      <c r="B97" s="15" t="s">
        <v>859</v>
      </c>
      <c r="C97" s="15" t="s">
        <v>858</v>
      </c>
      <c r="D97" s="36">
        <v>24088</v>
      </c>
    </row>
    <row r="98" spans="1:4" x14ac:dyDescent="0.2">
      <c r="A98" s="15" t="s">
        <v>869</v>
      </c>
      <c r="B98" s="15" t="s">
        <v>859</v>
      </c>
      <c r="C98" s="15" t="s">
        <v>860</v>
      </c>
      <c r="D98" s="36">
        <v>11854</v>
      </c>
    </row>
    <row r="99" spans="1:4" x14ac:dyDescent="0.2">
      <c r="A99" s="15" t="s">
        <v>869</v>
      </c>
      <c r="B99" s="15" t="s">
        <v>106</v>
      </c>
      <c r="C99" s="15" t="s">
        <v>862</v>
      </c>
      <c r="D99" s="36">
        <v>13441</v>
      </c>
    </row>
    <row r="100" spans="1:4" x14ac:dyDescent="0.2">
      <c r="A100" s="15" t="s">
        <v>869</v>
      </c>
      <c r="B100" s="15" t="s">
        <v>114</v>
      </c>
      <c r="C100" s="15" t="s">
        <v>856</v>
      </c>
      <c r="D100" s="36">
        <v>19827</v>
      </c>
    </row>
    <row r="101" spans="1:4" x14ac:dyDescent="0.2">
      <c r="A101" s="15" t="s">
        <v>869</v>
      </c>
      <c r="B101" s="15" t="s">
        <v>106</v>
      </c>
      <c r="C101" s="15" t="s">
        <v>856</v>
      </c>
      <c r="D101" s="36">
        <v>12848</v>
      </c>
    </row>
    <row r="102" spans="1:4" x14ac:dyDescent="0.2">
      <c r="A102" s="15" t="s">
        <v>869</v>
      </c>
      <c r="B102" s="15" t="s">
        <v>859</v>
      </c>
      <c r="C102" s="15" t="s">
        <v>856</v>
      </c>
      <c r="D102" s="36">
        <v>19628</v>
      </c>
    </row>
    <row r="103" spans="1:4" x14ac:dyDescent="0.2">
      <c r="A103" s="15" t="s">
        <v>869</v>
      </c>
      <c r="B103" s="15" t="s">
        <v>859</v>
      </c>
      <c r="C103" s="15" t="s">
        <v>860</v>
      </c>
      <c r="D103" s="36">
        <v>24696</v>
      </c>
    </row>
    <row r="104" spans="1:4" x14ac:dyDescent="0.2">
      <c r="A104" s="15" t="s">
        <v>869</v>
      </c>
      <c r="B104" s="15" t="s">
        <v>103</v>
      </c>
      <c r="C104" s="15" t="s">
        <v>858</v>
      </c>
      <c r="D104" s="36">
        <v>26839</v>
      </c>
    </row>
    <row r="105" spans="1:4" x14ac:dyDescent="0.2">
      <c r="A105" s="15" t="s">
        <v>869</v>
      </c>
      <c r="B105" s="15" t="s">
        <v>103</v>
      </c>
      <c r="C105" s="15" t="s">
        <v>862</v>
      </c>
      <c r="D105" s="36">
        <v>17666</v>
      </c>
    </row>
    <row r="106" spans="1:4" x14ac:dyDescent="0.2">
      <c r="A106" s="15" t="s">
        <v>869</v>
      </c>
      <c r="B106" s="15" t="s">
        <v>106</v>
      </c>
      <c r="C106" s="15" t="s">
        <v>858</v>
      </c>
      <c r="D106" s="36">
        <v>12385</v>
      </c>
    </row>
    <row r="107" spans="1:4" x14ac:dyDescent="0.2">
      <c r="A107" s="15" t="s">
        <v>869</v>
      </c>
      <c r="B107" s="15" t="s">
        <v>859</v>
      </c>
      <c r="C107" s="15" t="s">
        <v>858</v>
      </c>
      <c r="D107" s="36">
        <v>19211</v>
      </c>
    </row>
    <row r="109" spans="1:4" x14ac:dyDescent="0.2">
      <c r="A109" s="15" t="s">
        <v>869</v>
      </c>
      <c r="B109" s="15" t="s">
        <v>859</v>
      </c>
      <c r="C109" s="15" t="s">
        <v>858</v>
      </c>
      <c r="D109" s="36">
        <v>22409</v>
      </c>
    </row>
    <row r="110" spans="1:4" x14ac:dyDescent="0.2">
      <c r="A110" s="15" t="s">
        <v>870</v>
      </c>
      <c r="B110" s="15" t="s">
        <v>103</v>
      </c>
      <c r="C110" s="15" t="s">
        <v>856</v>
      </c>
      <c r="D110" s="36">
        <v>16401</v>
      </c>
    </row>
    <row r="111" spans="1:4" x14ac:dyDescent="0.2">
      <c r="A111" s="15" t="s">
        <v>870</v>
      </c>
      <c r="B111" s="15" t="s">
        <v>859</v>
      </c>
      <c r="C111" s="15" t="s">
        <v>858</v>
      </c>
      <c r="D111" s="36">
        <v>24861</v>
      </c>
    </row>
    <row r="112" spans="1:4" x14ac:dyDescent="0.2">
      <c r="A112" s="15" t="s">
        <v>870</v>
      </c>
      <c r="B112" s="15" t="s">
        <v>114</v>
      </c>
      <c r="C112" s="15" t="s">
        <v>862</v>
      </c>
      <c r="D112" s="36">
        <v>12744</v>
      </c>
    </row>
    <row r="113" spans="1:4" x14ac:dyDescent="0.2">
      <c r="A113" s="15" t="s">
        <v>870</v>
      </c>
      <c r="B113" s="15" t="s">
        <v>103</v>
      </c>
      <c r="C113" s="15" t="s">
        <v>858</v>
      </c>
      <c r="D113" s="36">
        <v>25636</v>
      </c>
    </row>
    <row r="114" spans="1:4" x14ac:dyDescent="0.2">
      <c r="A114" s="15" t="s">
        <v>870</v>
      </c>
      <c r="B114" s="15" t="s">
        <v>114</v>
      </c>
      <c r="C114" s="15" t="s">
        <v>858</v>
      </c>
      <c r="D114" s="36">
        <v>18730</v>
      </c>
    </row>
    <row r="115" spans="1:4" x14ac:dyDescent="0.2">
      <c r="A115" s="15" t="s">
        <v>870</v>
      </c>
      <c r="B115" s="15" t="s">
        <v>114</v>
      </c>
      <c r="C115" s="15" t="s">
        <v>858</v>
      </c>
      <c r="D115" s="36">
        <v>14807</v>
      </c>
    </row>
    <row r="116" spans="1:4" x14ac:dyDescent="0.2">
      <c r="A116" s="15" t="s">
        <v>870</v>
      </c>
      <c r="B116" s="15" t="s">
        <v>114</v>
      </c>
      <c r="C116" s="15" t="s">
        <v>858</v>
      </c>
      <c r="D116" s="36">
        <v>14767</v>
      </c>
    </row>
    <row r="117" spans="1:4" x14ac:dyDescent="0.2">
      <c r="A117" s="15" t="s">
        <v>870</v>
      </c>
      <c r="B117" s="15" t="s">
        <v>859</v>
      </c>
      <c r="C117" s="15" t="s">
        <v>860</v>
      </c>
      <c r="D117" s="36">
        <v>23298</v>
      </c>
    </row>
    <row r="118" spans="1:4" x14ac:dyDescent="0.2">
      <c r="A118" s="15" t="s">
        <v>870</v>
      </c>
      <c r="B118" s="15" t="s">
        <v>106</v>
      </c>
      <c r="C118" s="15" t="s">
        <v>858</v>
      </c>
      <c r="D118" s="36">
        <v>14356</v>
      </c>
    </row>
    <row r="119" spans="1:4" x14ac:dyDescent="0.2">
      <c r="A119" s="15" t="s">
        <v>870</v>
      </c>
      <c r="B119" s="15" t="s">
        <v>103</v>
      </c>
      <c r="C119" s="15" t="s">
        <v>858</v>
      </c>
      <c r="D119" s="36">
        <v>29181</v>
      </c>
    </row>
    <row r="120" spans="1:4" x14ac:dyDescent="0.2">
      <c r="A120" s="15" t="s">
        <v>870</v>
      </c>
      <c r="B120" s="15" t="s">
        <v>114</v>
      </c>
      <c r="C120" s="15" t="s">
        <v>856</v>
      </c>
      <c r="D120" s="36">
        <v>25495</v>
      </c>
    </row>
    <row r="121" spans="1:4" x14ac:dyDescent="0.2">
      <c r="A121" s="15" t="s">
        <v>870</v>
      </c>
      <c r="B121" s="15" t="s">
        <v>106</v>
      </c>
      <c r="C121" s="15" t="s">
        <v>862</v>
      </c>
      <c r="D121" s="36">
        <v>26666</v>
      </c>
    </row>
    <row r="122" spans="1:4" x14ac:dyDescent="0.2">
      <c r="A122" s="15" t="s">
        <v>871</v>
      </c>
      <c r="B122" s="15" t="s">
        <v>114</v>
      </c>
      <c r="C122" s="15" t="s">
        <v>858</v>
      </c>
      <c r="D122" s="36">
        <v>13650</v>
      </c>
    </row>
    <row r="123" spans="1:4" x14ac:dyDescent="0.2">
      <c r="A123" s="15" t="s">
        <v>871</v>
      </c>
      <c r="B123" s="15" t="s">
        <v>114</v>
      </c>
      <c r="C123" s="15" t="s">
        <v>860</v>
      </c>
      <c r="D123" s="36">
        <v>15937</v>
      </c>
    </row>
    <row r="124" spans="1:4" x14ac:dyDescent="0.2">
      <c r="A124" s="15" t="s">
        <v>871</v>
      </c>
      <c r="B124" s="15" t="s">
        <v>103</v>
      </c>
      <c r="C124" s="15" t="s">
        <v>862</v>
      </c>
      <c r="D124" s="36">
        <v>14397</v>
      </c>
    </row>
    <row r="125" spans="1:4" x14ac:dyDescent="0.2">
      <c r="A125" s="15" t="s">
        <v>871</v>
      </c>
      <c r="B125" s="15" t="s">
        <v>103</v>
      </c>
      <c r="C125" s="15" t="s">
        <v>856</v>
      </c>
      <c r="D125" s="36">
        <v>25180</v>
      </c>
    </row>
    <row r="126" spans="1:4" x14ac:dyDescent="0.2">
      <c r="A126" s="15" t="s">
        <v>871</v>
      </c>
      <c r="B126" s="15" t="s">
        <v>106</v>
      </c>
      <c r="C126" s="15" t="s">
        <v>858</v>
      </c>
      <c r="D126" s="36">
        <v>26238</v>
      </c>
    </row>
    <row r="127" spans="1:4" x14ac:dyDescent="0.2">
      <c r="A127" s="15" t="s">
        <v>871</v>
      </c>
      <c r="B127" s="15" t="s">
        <v>114</v>
      </c>
      <c r="C127" s="15" t="s">
        <v>860</v>
      </c>
      <c r="D127" s="36">
        <v>13205</v>
      </c>
    </row>
    <row r="128" spans="1:4" x14ac:dyDescent="0.2">
      <c r="A128" s="15" t="s">
        <v>871</v>
      </c>
      <c r="B128" s="15" t="s">
        <v>103</v>
      </c>
      <c r="C128" s="15" t="s">
        <v>860</v>
      </c>
      <c r="D128" s="36">
        <v>22648</v>
      </c>
    </row>
    <row r="129" spans="1:4" x14ac:dyDescent="0.2">
      <c r="A129" s="15" t="s">
        <v>871</v>
      </c>
      <c r="B129" s="15" t="s">
        <v>106</v>
      </c>
      <c r="C129" s="15" t="s">
        <v>858</v>
      </c>
      <c r="D129" s="36">
        <v>14988</v>
      </c>
    </row>
    <row r="130" spans="1:4" x14ac:dyDescent="0.2">
      <c r="A130" s="15" t="s">
        <v>871</v>
      </c>
      <c r="B130" s="15" t="s">
        <v>106</v>
      </c>
      <c r="C130" s="15" t="s">
        <v>862</v>
      </c>
      <c r="D130" s="36">
        <v>14166</v>
      </c>
    </row>
    <row r="131" spans="1:4" x14ac:dyDescent="0.2">
      <c r="A131" s="15" t="s">
        <v>871</v>
      </c>
      <c r="B131" s="15" t="s">
        <v>859</v>
      </c>
      <c r="C131" s="15" t="s">
        <v>862</v>
      </c>
      <c r="D131" s="36">
        <v>30633</v>
      </c>
    </row>
    <row r="132" spans="1:4" x14ac:dyDescent="0.2">
      <c r="A132" s="15" t="s">
        <v>871</v>
      </c>
      <c r="B132" s="15" t="s">
        <v>103</v>
      </c>
      <c r="C132" s="15" t="s">
        <v>856</v>
      </c>
      <c r="D132" s="36">
        <v>26206</v>
      </c>
    </row>
    <row r="133" spans="1:4" x14ac:dyDescent="0.2">
      <c r="A133" s="15" t="s">
        <v>871</v>
      </c>
      <c r="B133" s="15" t="s">
        <v>114</v>
      </c>
      <c r="C133" s="15" t="s">
        <v>860</v>
      </c>
      <c r="D133" s="36">
        <v>21159</v>
      </c>
    </row>
    <row r="134" spans="1:4" x14ac:dyDescent="0.2">
      <c r="A134" s="15" t="s">
        <v>872</v>
      </c>
      <c r="B134" s="15" t="s">
        <v>114</v>
      </c>
      <c r="C134" s="15" t="s">
        <v>860</v>
      </c>
      <c r="D134" s="36">
        <v>29411</v>
      </c>
    </row>
    <row r="135" spans="1:4" x14ac:dyDescent="0.2">
      <c r="A135" s="15" t="s">
        <v>872</v>
      </c>
      <c r="B135" s="15" t="s">
        <v>103</v>
      </c>
      <c r="C135" s="15" t="s">
        <v>860</v>
      </c>
      <c r="D135" s="36">
        <v>25604</v>
      </c>
    </row>
    <row r="136" spans="1:4" x14ac:dyDescent="0.2">
      <c r="A136" s="15" t="s">
        <v>872</v>
      </c>
      <c r="B136" s="15" t="s">
        <v>103</v>
      </c>
      <c r="C136" s="15" t="s">
        <v>858</v>
      </c>
      <c r="D136" s="36">
        <v>19992</v>
      </c>
    </row>
    <row r="137" spans="1:4" x14ac:dyDescent="0.2">
      <c r="A137" s="15" t="s">
        <v>872</v>
      </c>
      <c r="B137" s="15" t="s">
        <v>103</v>
      </c>
      <c r="C137" s="15" t="s">
        <v>858</v>
      </c>
      <c r="D137" s="36">
        <v>28312</v>
      </c>
    </row>
    <row r="138" spans="1:4" x14ac:dyDescent="0.2">
      <c r="A138" s="15" t="s">
        <v>872</v>
      </c>
      <c r="B138" s="15" t="s">
        <v>114</v>
      </c>
      <c r="C138" s="15" t="s">
        <v>858</v>
      </c>
      <c r="D138" s="36">
        <v>29516</v>
      </c>
    </row>
    <row r="139" spans="1:4" x14ac:dyDescent="0.2">
      <c r="A139" s="15" t="s">
        <v>872</v>
      </c>
      <c r="B139" s="15" t="s">
        <v>114</v>
      </c>
      <c r="C139" s="15" t="s">
        <v>862</v>
      </c>
      <c r="D139" s="36">
        <v>29376</v>
      </c>
    </row>
    <row r="140" spans="1:4" x14ac:dyDescent="0.2">
      <c r="A140" s="15" t="s">
        <v>872</v>
      </c>
      <c r="B140" s="15" t="s">
        <v>103</v>
      </c>
      <c r="C140" s="15" t="s">
        <v>862</v>
      </c>
      <c r="D140" s="36">
        <v>25620</v>
      </c>
    </row>
    <row r="141" spans="1:4" x14ac:dyDescent="0.2">
      <c r="A141" s="15" t="s">
        <v>872</v>
      </c>
      <c r="B141" s="15" t="s">
        <v>103</v>
      </c>
      <c r="C141" s="15" t="s">
        <v>862</v>
      </c>
      <c r="D141" s="36">
        <v>19692</v>
      </c>
    </row>
    <row r="142" spans="1:4" x14ac:dyDescent="0.2">
      <c r="A142" s="15" t="s">
        <v>872</v>
      </c>
      <c r="B142" s="15" t="s">
        <v>106</v>
      </c>
      <c r="C142" s="15" t="s">
        <v>860</v>
      </c>
      <c r="D142" s="36">
        <v>28211</v>
      </c>
    </row>
    <row r="143" spans="1:4" x14ac:dyDescent="0.2">
      <c r="A143" s="15" t="s">
        <v>872</v>
      </c>
      <c r="B143" s="15" t="s">
        <v>859</v>
      </c>
      <c r="C143" s="15" t="s">
        <v>862</v>
      </c>
      <c r="D143" s="36">
        <v>20468</v>
      </c>
    </row>
    <row r="144" spans="1:4" x14ac:dyDescent="0.2">
      <c r="A144" s="15" t="s">
        <v>872</v>
      </c>
      <c r="B144" s="15" t="s">
        <v>103</v>
      </c>
      <c r="C144" s="15" t="s">
        <v>860</v>
      </c>
      <c r="D144" s="36">
        <v>31715</v>
      </c>
    </row>
    <row r="145" spans="1:4" x14ac:dyDescent="0.2">
      <c r="A145" s="15" t="s">
        <v>872</v>
      </c>
      <c r="B145" s="15" t="s">
        <v>103</v>
      </c>
      <c r="C145" s="15" t="s">
        <v>862</v>
      </c>
      <c r="D145" s="36">
        <v>21824</v>
      </c>
    </row>
    <row r="146" spans="1:4" x14ac:dyDescent="0.2">
      <c r="A146" s="15" t="s">
        <v>873</v>
      </c>
      <c r="B146" s="15" t="s">
        <v>859</v>
      </c>
      <c r="C146" s="15" t="s">
        <v>860</v>
      </c>
      <c r="D146" s="36">
        <v>14151</v>
      </c>
    </row>
    <row r="147" spans="1:4" x14ac:dyDescent="0.2">
      <c r="A147" s="15" t="s">
        <v>873</v>
      </c>
      <c r="B147" s="15" t="s">
        <v>103</v>
      </c>
      <c r="C147" s="15" t="s">
        <v>862</v>
      </c>
      <c r="D147" s="36">
        <v>29194</v>
      </c>
    </row>
    <row r="148" spans="1:4" x14ac:dyDescent="0.2">
      <c r="A148" s="15" t="s">
        <v>873</v>
      </c>
      <c r="B148" s="15" t="s">
        <v>106</v>
      </c>
      <c r="C148" s="15" t="s">
        <v>860</v>
      </c>
      <c r="D148" s="36">
        <v>17187</v>
      </c>
    </row>
    <row r="149" spans="1:4" x14ac:dyDescent="0.2">
      <c r="A149" s="15" t="s">
        <v>873</v>
      </c>
      <c r="B149" s="15" t="s">
        <v>103</v>
      </c>
      <c r="C149" s="15" t="s">
        <v>862</v>
      </c>
      <c r="D149" s="36">
        <v>20001</v>
      </c>
    </row>
    <row r="150" spans="1:4" x14ac:dyDescent="0.2">
      <c r="A150" s="15" t="s">
        <v>873</v>
      </c>
      <c r="B150" s="15" t="s">
        <v>114</v>
      </c>
      <c r="C150" s="15" t="s">
        <v>856</v>
      </c>
      <c r="D150" s="36">
        <v>27620</v>
      </c>
    </row>
    <row r="151" spans="1:4" x14ac:dyDescent="0.2">
      <c r="A151" s="15" t="s">
        <v>873</v>
      </c>
      <c r="B151" s="15" t="s">
        <v>114</v>
      </c>
      <c r="C151" s="15" t="s">
        <v>858</v>
      </c>
      <c r="D151" s="36">
        <v>13339</v>
      </c>
    </row>
    <row r="152" spans="1:4" x14ac:dyDescent="0.2">
      <c r="A152" s="15" t="s">
        <v>873</v>
      </c>
      <c r="B152" s="15" t="s">
        <v>859</v>
      </c>
      <c r="C152" s="15" t="s">
        <v>860</v>
      </c>
      <c r="D152" s="36">
        <v>14166</v>
      </c>
    </row>
    <row r="153" spans="1:4" x14ac:dyDescent="0.2">
      <c r="A153" s="15" t="s">
        <v>873</v>
      </c>
      <c r="B153" s="15" t="s">
        <v>106</v>
      </c>
      <c r="C153" s="15" t="s">
        <v>856</v>
      </c>
      <c r="D153" s="36">
        <v>21052</v>
      </c>
    </row>
    <row r="154" spans="1:4" x14ac:dyDescent="0.2">
      <c r="A154" s="15" t="s">
        <v>873</v>
      </c>
      <c r="B154" s="15" t="s">
        <v>103</v>
      </c>
      <c r="C154" s="15" t="s">
        <v>860</v>
      </c>
      <c r="D154" s="36">
        <v>16729</v>
      </c>
    </row>
    <row r="155" spans="1:4" x14ac:dyDescent="0.2">
      <c r="A155" s="15" t="s">
        <v>873</v>
      </c>
      <c r="B155" s="15" t="s">
        <v>114</v>
      </c>
      <c r="C155" s="15" t="s">
        <v>856</v>
      </c>
      <c r="D155" s="36">
        <v>25628</v>
      </c>
    </row>
    <row r="156" spans="1:4" x14ac:dyDescent="0.2">
      <c r="A156" s="15" t="s">
        <v>873</v>
      </c>
      <c r="B156" s="15" t="s">
        <v>103</v>
      </c>
      <c r="C156" s="15" t="s">
        <v>860</v>
      </c>
      <c r="D156" s="36">
        <v>19551</v>
      </c>
    </row>
    <row r="157" spans="1:4" x14ac:dyDescent="0.2">
      <c r="A157" s="15" t="s">
        <v>873</v>
      </c>
      <c r="B157" s="15" t="s">
        <v>859</v>
      </c>
      <c r="C157" s="15" t="s">
        <v>856</v>
      </c>
      <c r="D157" s="36">
        <v>22240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3"/>
  <sheetViews>
    <sheetView showGridLines="0" zoomScaleNormal="100" workbookViewId="0"/>
  </sheetViews>
  <sheetFormatPr baseColWidth="10" defaultColWidth="8.6640625" defaultRowHeight="15" x14ac:dyDescent="0.2"/>
  <cols>
    <col min="1" max="1" width="16" customWidth="1"/>
    <col min="2" max="2" width="18" customWidth="1"/>
    <col min="3" max="3" width="4" customWidth="1"/>
    <col min="4" max="4" width="16" customWidth="1"/>
    <col min="5" max="5" width="18" customWidth="1"/>
    <col min="6" max="6" width="30" customWidth="1"/>
  </cols>
  <sheetData>
    <row r="1" spans="1:6" ht="25.5" customHeight="1" x14ac:dyDescent="0.2">
      <c r="A1" s="12" t="s">
        <v>874</v>
      </c>
      <c r="B1" s="12"/>
      <c r="C1" s="12"/>
      <c r="D1" s="12"/>
      <c r="E1" s="12"/>
      <c r="F1" s="12"/>
    </row>
    <row r="2" spans="1:6" ht="30" customHeight="1" x14ac:dyDescent="0.2">
      <c r="A2" s="11" t="s">
        <v>875</v>
      </c>
      <c r="B2" s="11"/>
      <c r="C2" s="11"/>
      <c r="D2" s="11"/>
      <c r="E2" s="11"/>
      <c r="F2" s="11"/>
    </row>
    <row r="4" spans="1:6" ht="15" customHeight="1" x14ac:dyDescent="0.2">
      <c r="A4" s="10" t="s">
        <v>876</v>
      </c>
      <c r="B4" s="10"/>
      <c r="C4" s="10"/>
      <c r="D4" s="10"/>
      <c r="E4" s="10"/>
      <c r="F4" s="10"/>
    </row>
    <row r="5" spans="1:6" x14ac:dyDescent="0.2">
      <c r="A5" s="10"/>
      <c r="B5" s="10"/>
      <c r="C5" s="10"/>
      <c r="D5" s="10"/>
      <c r="E5" s="10"/>
      <c r="F5" s="10"/>
    </row>
    <row r="6" spans="1:6" x14ac:dyDescent="0.2">
      <c r="A6" s="10"/>
      <c r="B6" s="10"/>
      <c r="C6" s="10"/>
      <c r="D6" s="10"/>
      <c r="E6" s="10"/>
      <c r="F6" s="10"/>
    </row>
    <row r="7" spans="1:6" x14ac:dyDescent="0.2">
      <c r="A7" s="10"/>
      <c r="B7" s="10"/>
      <c r="C7" s="10"/>
      <c r="D7" s="10"/>
      <c r="E7" s="10"/>
      <c r="F7" s="10"/>
    </row>
    <row r="9" spans="1:6" x14ac:dyDescent="0.2">
      <c r="A9" s="18" t="s">
        <v>97</v>
      </c>
      <c r="B9" s="18" t="s">
        <v>877</v>
      </c>
      <c r="D9" s="18" t="s">
        <v>853</v>
      </c>
      <c r="E9" s="18" t="s">
        <v>877</v>
      </c>
    </row>
    <row r="10" spans="1:6" x14ac:dyDescent="0.2">
      <c r="A10" s="21" t="s">
        <v>103</v>
      </c>
      <c r="B10" s="25">
        <f>SUMIFS(Ex7_PivotRaw!$D$10:$D$157,Ex7_PivotRaw!$B$10:$B$157,A10)</f>
        <v>853831</v>
      </c>
      <c r="D10" s="21" t="s">
        <v>855</v>
      </c>
      <c r="E10" s="25">
        <f>SUMIFS(Ex7_PivotRaw!$D$10:$D$157,Ex7_PivotRaw!$A$10:$A$157,D10)</f>
        <v>166582</v>
      </c>
    </row>
    <row r="11" spans="1:6" x14ac:dyDescent="0.2">
      <c r="A11" s="21" t="s">
        <v>859</v>
      </c>
      <c r="B11" s="25">
        <f>SUMIFS(Ex7_PivotRaw!$D$10:$D$157,Ex7_PivotRaw!$B$10:$B$157,A11)</f>
        <v>607252</v>
      </c>
      <c r="D11" s="21" t="s">
        <v>863</v>
      </c>
      <c r="E11" s="25">
        <f>SUMIFS(Ex7_PivotRaw!$D$10:$D$157,Ex7_PivotRaw!$A$10:$A$157,D11)</f>
        <v>175066</v>
      </c>
    </row>
    <row r="12" spans="1:6" x14ac:dyDescent="0.2">
      <c r="A12" s="21" t="s">
        <v>114</v>
      </c>
      <c r="B12" s="25">
        <f>SUMIFS(Ex7_PivotRaw!$D$10:$D$157,Ex7_PivotRaw!$B$10:$B$157,A12)</f>
        <v>614573</v>
      </c>
      <c r="D12" s="21" t="s">
        <v>864</v>
      </c>
      <c r="E12" s="25">
        <f>SUMIFS(Ex7_PivotRaw!$D$10:$D$157,Ex7_PivotRaw!$A$10:$A$157,D12)</f>
        <v>203950</v>
      </c>
    </row>
    <row r="13" spans="1:6" x14ac:dyDescent="0.2">
      <c r="A13" s="21" t="s">
        <v>106</v>
      </c>
      <c r="B13" s="25">
        <f>SUMIFS(Ex7_PivotRaw!$D$10:$D$157,Ex7_PivotRaw!$B$10:$B$157,A13)</f>
        <v>565467</v>
      </c>
      <c r="D13" s="21" t="s">
        <v>865</v>
      </c>
      <c r="E13" s="25">
        <f>SUMIFS(Ex7_PivotRaw!$D$10:$D$157,Ex7_PivotRaw!$A$10:$A$157,D13)</f>
        <v>219369</v>
      </c>
    </row>
    <row r="14" spans="1:6" x14ac:dyDescent="0.2">
      <c r="A14" s="19" t="s">
        <v>878</v>
      </c>
      <c r="B14" s="25">
        <f>SUM(B10:B13)</f>
        <v>2641123</v>
      </c>
      <c r="D14" s="21" t="s">
        <v>866</v>
      </c>
      <c r="E14" s="25">
        <f>SUMIFS(Ex7_PivotRaw!$D$10:$D$157,Ex7_PivotRaw!$A$10:$A$157,D14)</f>
        <v>198493</v>
      </c>
    </row>
    <row r="15" spans="1:6" x14ac:dyDescent="0.2">
      <c r="D15" s="21" t="s">
        <v>867</v>
      </c>
      <c r="E15" s="25">
        <f>SUMIFS(Ex7_PivotRaw!$D$10:$D$157,Ex7_PivotRaw!$A$10:$A$157,D15)</f>
        <v>194767</v>
      </c>
    </row>
    <row r="16" spans="1:6" x14ac:dyDescent="0.2">
      <c r="D16" s="21" t="s">
        <v>868</v>
      </c>
      <c r="E16" s="25">
        <f>SUMIFS(Ex7_PivotRaw!$D$10:$D$157,Ex7_PivotRaw!$A$10:$A$157,D16)</f>
        <v>222056</v>
      </c>
    </row>
    <row r="17" spans="1:6" x14ac:dyDescent="0.2">
      <c r="D17" s="21" t="s">
        <v>869</v>
      </c>
      <c r="E17" s="25">
        <f>SUMIFS(Ex7_PivotRaw!$D$10:$D$157,Ex7_PivotRaw!$A$10:$A$157,D17)</f>
        <v>224892</v>
      </c>
    </row>
    <row r="18" spans="1:6" x14ac:dyDescent="0.2">
      <c r="D18" s="21" t="s">
        <v>870</v>
      </c>
      <c r="E18" s="25">
        <f>SUMIFS(Ex7_PivotRaw!$D$10:$D$157,Ex7_PivotRaw!$A$10:$A$157,D18)</f>
        <v>246942</v>
      </c>
    </row>
    <row r="19" spans="1:6" x14ac:dyDescent="0.2">
      <c r="D19" s="21" t="s">
        <v>871</v>
      </c>
      <c r="E19" s="25">
        <f>SUMIFS(Ex7_PivotRaw!$D$10:$D$157,Ex7_PivotRaw!$A$10:$A$157,D19)</f>
        <v>238407</v>
      </c>
    </row>
    <row r="20" spans="1:6" x14ac:dyDescent="0.2">
      <c r="D20" s="21" t="s">
        <v>872</v>
      </c>
      <c r="E20" s="25">
        <f>SUMIFS(Ex7_PivotRaw!$D$10:$D$157,Ex7_PivotRaw!$A$10:$A$157,D20)</f>
        <v>309741</v>
      </c>
    </row>
    <row r="21" spans="1:6" x14ac:dyDescent="0.2">
      <c r="D21" s="21" t="s">
        <v>873</v>
      </c>
      <c r="E21" s="25">
        <f>SUMIFS(Ex7_PivotRaw!$D$10:$D$157,Ex7_PivotRaw!$A$10:$A$157,D21)</f>
        <v>240858</v>
      </c>
    </row>
    <row r="22" spans="1:6" x14ac:dyDescent="0.2">
      <c r="D22" s="19" t="s">
        <v>878</v>
      </c>
      <c r="E22" s="25">
        <f>SUM(E10:E21)</f>
        <v>2641123</v>
      </c>
    </row>
    <row r="24" spans="1:6" ht="27.75" customHeight="1" x14ac:dyDescent="0.2">
      <c r="A24" s="1" t="s">
        <v>879</v>
      </c>
      <c r="B24" s="1"/>
      <c r="C24" s="1"/>
      <c r="D24" s="1"/>
      <c r="E24" s="1"/>
      <c r="F24" s="1"/>
    </row>
    <row r="25" spans="1:6" ht="39.75" customHeight="1" x14ac:dyDescent="0.2">
      <c r="A25" s="7" t="s">
        <v>880</v>
      </c>
      <c r="B25" s="7"/>
      <c r="C25" s="7"/>
      <c r="D25" s="7"/>
      <c r="E25" s="7"/>
      <c r="F25" s="7"/>
    </row>
    <row r="26" spans="1:6" ht="27.75" customHeight="1" x14ac:dyDescent="0.2">
      <c r="A26" s="1" t="s">
        <v>881</v>
      </c>
      <c r="B26" s="1"/>
      <c r="C26" s="1"/>
      <c r="D26" s="1"/>
      <c r="E26" s="1"/>
      <c r="F26" s="1"/>
    </row>
    <row r="27" spans="1:6" ht="39.75" customHeight="1" x14ac:dyDescent="0.2">
      <c r="A27" s="7" t="s">
        <v>882</v>
      </c>
      <c r="B27" s="7"/>
      <c r="C27" s="7"/>
      <c r="D27" s="7"/>
      <c r="E27" s="7"/>
      <c r="F27" s="7"/>
    </row>
    <row r="28" spans="1:6" ht="27.75" customHeight="1" x14ac:dyDescent="0.2">
      <c r="A28" s="1" t="s">
        <v>883</v>
      </c>
      <c r="B28" s="1"/>
      <c r="C28" s="1"/>
      <c r="D28" s="1"/>
      <c r="E28" s="1"/>
      <c r="F28" s="1"/>
    </row>
    <row r="29" spans="1:6" ht="39.75" customHeight="1" x14ac:dyDescent="0.2">
      <c r="A29" s="7" t="s">
        <v>884</v>
      </c>
      <c r="B29" s="7"/>
      <c r="C29" s="7"/>
      <c r="D29" s="7"/>
      <c r="E29" s="7"/>
      <c r="F29" s="7"/>
    </row>
    <row r="30" spans="1:6" ht="27.75" customHeight="1" x14ac:dyDescent="0.2">
      <c r="A30" s="1" t="s">
        <v>885</v>
      </c>
      <c r="B30" s="1"/>
      <c r="C30" s="1"/>
      <c r="D30" s="1"/>
      <c r="E30" s="1"/>
      <c r="F30" s="1"/>
    </row>
    <row r="31" spans="1:6" ht="39.75" customHeight="1" x14ac:dyDescent="0.2">
      <c r="A31" s="7" t="s">
        <v>886</v>
      </c>
      <c r="B31" s="7"/>
      <c r="C31" s="7"/>
      <c r="D31" s="7"/>
      <c r="E31" s="7"/>
      <c r="F31" s="7"/>
    </row>
    <row r="32" spans="1:6" ht="27.75" customHeight="1" x14ac:dyDescent="0.2">
      <c r="A32" s="1" t="s">
        <v>887</v>
      </c>
      <c r="B32" s="1"/>
      <c r="C32" s="1"/>
      <c r="D32" s="1"/>
      <c r="E32" s="1"/>
      <c r="F32" s="1"/>
    </row>
    <row r="33" spans="1:6" ht="39.75" customHeight="1" x14ac:dyDescent="0.2">
      <c r="A33" s="7" t="s">
        <v>888</v>
      </c>
      <c r="B33" s="7"/>
      <c r="C33" s="7"/>
      <c r="D33" s="7"/>
      <c r="E33" s="7"/>
      <c r="F33" s="7"/>
    </row>
  </sheetData>
  <mergeCells count="13">
    <mergeCell ref="A31:F31"/>
    <mergeCell ref="A32:F32"/>
    <mergeCell ref="A33:F33"/>
    <mergeCell ref="A26:F26"/>
    <mergeCell ref="A27:F27"/>
    <mergeCell ref="A28:F28"/>
    <mergeCell ref="A29:F29"/>
    <mergeCell ref="A30:F30"/>
    <mergeCell ref="A1:F1"/>
    <mergeCell ref="A2:F2"/>
    <mergeCell ref="A4:F7"/>
    <mergeCell ref="A24:F24"/>
    <mergeCell ref="A25:F2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
  <sheetViews>
    <sheetView showGridLines="0" zoomScaleNormal="100" workbookViewId="0"/>
  </sheetViews>
  <sheetFormatPr baseColWidth="10" defaultColWidth="8.6640625" defaultRowHeight="15" x14ac:dyDescent="0.2"/>
  <cols>
    <col min="1" max="1" width="5" customWidth="1"/>
    <col min="2" max="2" width="52" customWidth="1"/>
    <col min="3" max="6" width="24" customWidth="1"/>
    <col min="7" max="7" width="9" customWidth="1"/>
    <col min="8" max="8" width="46" customWidth="1"/>
  </cols>
  <sheetData>
    <row r="1" spans="1:8" ht="25.5" customHeight="1" x14ac:dyDescent="0.2">
      <c r="A1" s="12" t="s">
        <v>889</v>
      </c>
      <c r="B1" s="12"/>
      <c r="C1" s="12"/>
      <c r="D1" s="12"/>
      <c r="E1" s="12"/>
      <c r="F1" s="12"/>
      <c r="G1" s="12"/>
      <c r="H1" s="12"/>
    </row>
    <row r="2" spans="1:8" ht="30" customHeight="1" x14ac:dyDescent="0.2">
      <c r="A2" s="11" t="s">
        <v>890</v>
      </c>
      <c r="B2" s="11"/>
      <c r="C2" s="11"/>
      <c r="D2" s="11"/>
      <c r="E2" s="11"/>
      <c r="F2" s="11"/>
      <c r="G2" s="11"/>
      <c r="H2" s="11"/>
    </row>
    <row r="4" spans="1:8" ht="15" customHeight="1" x14ac:dyDescent="0.2">
      <c r="A4" s="10" t="s">
        <v>891</v>
      </c>
      <c r="B4" s="10"/>
      <c r="C4" s="10"/>
      <c r="D4" s="10"/>
      <c r="E4" s="10"/>
      <c r="F4" s="10"/>
      <c r="G4" s="10"/>
      <c r="H4" s="10"/>
    </row>
    <row r="5" spans="1:8" x14ac:dyDescent="0.2">
      <c r="A5" s="10"/>
      <c r="B5" s="10"/>
      <c r="C5" s="10"/>
      <c r="D5" s="10"/>
      <c r="E5" s="10"/>
      <c r="F5" s="10"/>
      <c r="G5" s="10"/>
      <c r="H5" s="10"/>
    </row>
    <row r="6" spans="1:8" x14ac:dyDescent="0.2">
      <c r="A6" s="10"/>
      <c r="B6" s="10"/>
      <c r="C6" s="10"/>
      <c r="D6" s="10"/>
      <c r="E6" s="10"/>
      <c r="F6" s="10"/>
      <c r="G6" s="10"/>
      <c r="H6" s="10"/>
    </row>
    <row r="7" spans="1:8" x14ac:dyDescent="0.2">
      <c r="A7" s="10"/>
      <c r="B7" s="10"/>
      <c r="C7" s="10"/>
      <c r="D7" s="10"/>
      <c r="E7" s="10"/>
      <c r="F7" s="10"/>
      <c r="G7" s="10"/>
      <c r="H7" s="10"/>
    </row>
    <row r="9" spans="1:8" ht="28" x14ac:dyDescent="0.2">
      <c r="A9" s="18" t="s">
        <v>892</v>
      </c>
      <c r="B9" s="18" t="s">
        <v>893</v>
      </c>
      <c r="C9" s="18" t="s">
        <v>894</v>
      </c>
      <c r="D9" s="18" t="s">
        <v>895</v>
      </c>
      <c r="E9" s="18" t="s">
        <v>896</v>
      </c>
      <c r="F9" s="18" t="s">
        <v>897</v>
      </c>
      <c r="G9" s="18" t="s">
        <v>898</v>
      </c>
      <c r="H9" s="18" t="s">
        <v>899</v>
      </c>
    </row>
    <row r="10" spans="1:8" ht="43.5" customHeight="1" x14ac:dyDescent="0.2">
      <c r="A10" s="21">
        <v>1</v>
      </c>
      <c r="B10" s="20" t="s">
        <v>900</v>
      </c>
      <c r="C10" s="20" t="s">
        <v>901</v>
      </c>
      <c r="D10" s="20" t="s">
        <v>902</v>
      </c>
      <c r="E10" s="20" t="s">
        <v>903</v>
      </c>
      <c r="F10" s="20" t="s">
        <v>904</v>
      </c>
      <c r="G10" s="45" t="s">
        <v>895</v>
      </c>
      <c r="H10" s="26" t="s">
        <v>905</v>
      </c>
    </row>
    <row r="11" spans="1:8" ht="43.5" customHeight="1" x14ac:dyDescent="0.2">
      <c r="A11" s="21">
        <v>2</v>
      </c>
      <c r="B11" s="20" t="s">
        <v>906</v>
      </c>
      <c r="C11" s="20" t="s">
        <v>907</v>
      </c>
      <c r="D11" s="20" t="s">
        <v>908</v>
      </c>
      <c r="E11" s="20" t="s">
        <v>909</v>
      </c>
      <c r="F11" s="20" t="s">
        <v>910</v>
      </c>
      <c r="G11" s="45" t="s">
        <v>895</v>
      </c>
      <c r="H11" s="26" t="s">
        <v>911</v>
      </c>
    </row>
    <row r="12" spans="1:8" ht="43.5" customHeight="1" x14ac:dyDescent="0.2">
      <c r="A12" s="21">
        <v>3</v>
      </c>
      <c r="B12" s="20" t="s">
        <v>912</v>
      </c>
      <c r="C12" s="20" t="s">
        <v>913</v>
      </c>
      <c r="D12" s="20" t="s">
        <v>914</v>
      </c>
      <c r="E12" s="20" t="s">
        <v>915</v>
      </c>
      <c r="F12" s="20" t="s">
        <v>916</v>
      </c>
      <c r="G12" s="45" t="s">
        <v>895</v>
      </c>
      <c r="H12" s="26" t="s">
        <v>917</v>
      </c>
    </row>
    <row r="13" spans="1:8" ht="43.5" customHeight="1" x14ac:dyDescent="0.2">
      <c r="A13" s="21">
        <v>4</v>
      </c>
      <c r="B13" s="20" t="s">
        <v>918</v>
      </c>
      <c r="C13" s="20" t="s">
        <v>919</v>
      </c>
      <c r="D13" s="20" t="s">
        <v>920</v>
      </c>
      <c r="E13" s="20" t="s">
        <v>921</v>
      </c>
      <c r="F13" s="20" t="s">
        <v>922</v>
      </c>
      <c r="G13" s="45" t="s">
        <v>895</v>
      </c>
      <c r="H13" s="26" t="s">
        <v>923</v>
      </c>
    </row>
    <row r="14" spans="1:8" ht="43.5" customHeight="1" x14ac:dyDescent="0.2">
      <c r="A14" s="21">
        <v>5</v>
      </c>
      <c r="B14" s="20" t="s">
        <v>924</v>
      </c>
      <c r="C14" s="20" t="s">
        <v>925</v>
      </c>
      <c r="D14" s="20" t="s">
        <v>926</v>
      </c>
      <c r="E14" s="20" t="s">
        <v>927</v>
      </c>
      <c r="F14" s="20" t="s">
        <v>928</v>
      </c>
      <c r="G14" s="45" t="s">
        <v>895</v>
      </c>
      <c r="H14" s="26" t="s">
        <v>929</v>
      </c>
    </row>
    <row r="15" spans="1:8" ht="43.5" customHeight="1" x14ac:dyDescent="0.2">
      <c r="A15" s="21">
        <v>6</v>
      </c>
      <c r="B15" s="20" t="s">
        <v>930</v>
      </c>
      <c r="C15" s="20" t="s">
        <v>931</v>
      </c>
      <c r="D15" s="20" t="s">
        <v>932</v>
      </c>
      <c r="E15" s="20" t="s">
        <v>933</v>
      </c>
      <c r="F15" s="20" t="s">
        <v>934</v>
      </c>
      <c r="G15" s="45" t="s">
        <v>896</v>
      </c>
      <c r="H15" s="26" t="s">
        <v>935</v>
      </c>
    </row>
    <row r="16" spans="1:8" ht="43.5" customHeight="1" x14ac:dyDescent="0.2">
      <c r="A16" s="21">
        <v>7</v>
      </c>
      <c r="B16" s="20" t="s">
        <v>936</v>
      </c>
      <c r="C16" s="20" t="s">
        <v>937</v>
      </c>
      <c r="D16" s="20" t="s">
        <v>938</v>
      </c>
      <c r="E16" s="20" t="s">
        <v>939</v>
      </c>
      <c r="F16" s="20" t="s">
        <v>940</v>
      </c>
      <c r="G16" s="45" t="s">
        <v>895</v>
      </c>
      <c r="H16" s="26" t="s">
        <v>941</v>
      </c>
    </row>
    <row r="17" spans="1:8" ht="43.5" customHeight="1" x14ac:dyDescent="0.2">
      <c r="A17" s="21">
        <v>8</v>
      </c>
      <c r="B17" s="20" t="s">
        <v>942</v>
      </c>
      <c r="C17" s="20" t="s">
        <v>943</v>
      </c>
      <c r="D17" s="20" t="s">
        <v>944</v>
      </c>
      <c r="E17" s="20" t="s">
        <v>945</v>
      </c>
      <c r="F17" s="20" t="s">
        <v>946</v>
      </c>
      <c r="G17" s="45" t="s">
        <v>895</v>
      </c>
      <c r="H17" s="26" t="s">
        <v>947</v>
      </c>
    </row>
    <row r="18" spans="1:8" ht="43.5" customHeight="1" x14ac:dyDescent="0.2">
      <c r="A18" s="21">
        <v>9</v>
      </c>
      <c r="B18" s="20" t="s">
        <v>948</v>
      </c>
      <c r="C18" s="20" t="s">
        <v>949</v>
      </c>
      <c r="D18" s="20" t="s">
        <v>950</v>
      </c>
      <c r="E18" s="20" t="s">
        <v>951</v>
      </c>
      <c r="F18" s="20" t="s">
        <v>952</v>
      </c>
      <c r="G18" s="45" t="s">
        <v>896</v>
      </c>
      <c r="H18" s="26" t="s">
        <v>953</v>
      </c>
    </row>
    <row r="19" spans="1:8" ht="43.5" customHeight="1" x14ac:dyDescent="0.2">
      <c r="A19" s="21">
        <v>10</v>
      </c>
      <c r="B19" s="20" t="s">
        <v>954</v>
      </c>
      <c r="C19" s="20" t="s">
        <v>955</v>
      </c>
      <c r="D19" s="20" t="s">
        <v>956</v>
      </c>
      <c r="E19" s="20" t="s">
        <v>957</v>
      </c>
      <c r="F19" s="20" t="s">
        <v>958</v>
      </c>
      <c r="G19" s="45" t="s">
        <v>895</v>
      </c>
      <c r="H19" s="26" t="s">
        <v>959</v>
      </c>
    </row>
    <row r="20" spans="1:8" ht="43.5" customHeight="1" x14ac:dyDescent="0.2">
      <c r="A20" s="21">
        <v>11</v>
      </c>
      <c r="B20" s="20" t="s">
        <v>960</v>
      </c>
      <c r="C20" s="20" t="s">
        <v>961</v>
      </c>
      <c r="D20" s="20" t="s">
        <v>962</v>
      </c>
      <c r="E20" s="20" t="s">
        <v>963</v>
      </c>
      <c r="F20" s="20" t="s">
        <v>964</v>
      </c>
      <c r="G20" s="45" t="s">
        <v>895</v>
      </c>
      <c r="H20" s="26" t="s">
        <v>965</v>
      </c>
    </row>
    <row r="21" spans="1:8" ht="43.5" customHeight="1" x14ac:dyDescent="0.2">
      <c r="A21" s="21">
        <v>12</v>
      </c>
      <c r="B21" s="20" t="s">
        <v>966</v>
      </c>
      <c r="C21" s="20" t="s">
        <v>697</v>
      </c>
      <c r="D21" s="20" t="s">
        <v>699</v>
      </c>
      <c r="E21" s="20" t="s">
        <v>967</v>
      </c>
      <c r="F21" s="20" t="s">
        <v>968</v>
      </c>
      <c r="G21" s="45" t="s">
        <v>896</v>
      </c>
      <c r="H21" s="26" t="s">
        <v>969</v>
      </c>
    </row>
    <row r="22" spans="1:8" ht="43.5" customHeight="1" x14ac:dyDescent="0.2">
      <c r="A22" s="21">
        <v>13</v>
      </c>
      <c r="B22" s="20" t="s">
        <v>970</v>
      </c>
      <c r="C22" s="20" t="s">
        <v>971</v>
      </c>
      <c r="D22" s="20" t="s">
        <v>972</v>
      </c>
      <c r="E22" s="20" t="s">
        <v>973</v>
      </c>
      <c r="F22" s="20" t="s">
        <v>974</v>
      </c>
      <c r="G22" s="45" t="s">
        <v>894</v>
      </c>
      <c r="H22" s="26" t="s">
        <v>975</v>
      </c>
    </row>
    <row r="23" spans="1:8" ht="43.5" customHeight="1" x14ac:dyDescent="0.2">
      <c r="A23" s="21">
        <v>14</v>
      </c>
      <c r="B23" s="20" t="s">
        <v>976</v>
      </c>
      <c r="C23" s="20" t="s">
        <v>977</v>
      </c>
      <c r="D23" s="20" t="s">
        <v>978</v>
      </c>
      <c r="E23" s="20" t="s">
        <v>979</v>
      </c>
      <c r="F23" s="20" t="s">
        <v>980</v>
      </c>
      <c r="G23" s="45" t="s">
        <v>895</v>
      </c>
      <c r="H23" s="26" t="s">
        <v>981</v>
      </c>
    </row>
    <row r="24" spans="1:8" ht="43.5" customHeight="1" x14ac:dyDescent="0.2">
      <c r="A24" s="21">
        <v>15</v>
      </c>
      <c r="B24" s="20" t="s">
        <v>982</v>
      </c>
      <c r="C24" s="20" t="s">
        <v>983</v>
      </c>
      <c r="D24" s="20" t="s">
        <v>984</v>
      </c>
      <c r="E24" s="20" t="s">
        <v>985</v>
      </c>
      <c r="F24" s="20" t="s">
        <v>986</v>
      </c>
      <c r="G24" s="45" t="s">
        <v>895</v>
      </c>
      <c r="H24" s="26" t="s">
        <v>987</v>
      </c>
    </row>
    <row r="25" spans="1:8" ht="43.5" customHeight="1" x14ac:dyDescent="0.2">
      <c r="A25" s="21">
        <v>16</v>
      </c>
      <c r="B25" s="20" t="s">
        <v>988</v>
      </c>
      <c r="C25" s="20" t="s">
        <v>989</v>
      </c>
      <c r="D25" s="20" t="s">
        <v>990</v>
      </c>
      <c r="E25" s="20" t="s">
        <v>991</v>
      </c>
      <c r="F25" s="20" t="s">
        <v>992</v>
      </c>
      <c r="G25" s="45" t="s">
        <v>895</v>
      </c>
      <c r="H25" s="26" t="s">
        <v>993</v>
      </c>
    </row>
    <row r="26" spans="1:8" ht="43.5" customHeight="1" x14ac:dyDescent="0.2">
      <c r="A26" s="21">
        <v>17</v>
      </c>
      <c r="B26" s="20" t="s">
        <v>994</v>
      </c>
      <c r="C26" s="20" t="s">
        <v>995</v>
      </c>
      <c r="D26" s="20" t="s">
        <v>996</v>
      </c>
      <c r="E26" s="20" t="s">
        <v>997</v>
      </c>
      <c r="F26" s="20" t="s">
        <v>998</v>
      </c>
      <c r="G26" s="45" t="s">
        <v>895</v>
      </c>
      <c r="H26" s="26" t="s">
        <v>999</v>
      </c>
    </row>
    <row r="27" spans="1:8" ht="43.5" customHeight="1" x14ac:dyDescent="0.2">
      <c r="A27" s="21">
        <v>18</v>
      </c>
      <c r="B27" s="20" t="s">
        <v>1000</v>
      </c>
      <c r="C27" s="20" t="s">
        <v>1001</v>
      </c>
      <c r="D27" s="20" t="s">
        <v>1002</v>
      </c>
      <c r="E27" s="20" t="s">
        <v>1003</v>
      </c>
      <c r="F27" s="20" t="s">
        <v>1004</v>
      </c>
      <c r="G27" s="45" t="s">
        <v>895</v>
      </c>
      <c r="H27" s="26" t="s">
        <v>1005</v>
      </c>
    </row>
    <row r="28" spans="1:8" ht="43.5" customHeight="1" x14ac:dyDescent="0.2">
      <c r="A28" s="21">
        <v>19</v>
      </c>
      <c r="B28" s="20" t="s">
        <v>1006</v>
      </c>
      <c r="C28" s="20" t="s">
        <v>1007</v>
      </c>
      <c r="D28" s="20" t="s">
        <v>1008</v>
      </c>
      <c r="E28" s="20" t="s">
        <v>1009</v>
      </c>
      <c r="F28" s="20" t="s">
        <v>1010</v>
      </c>
      <c r="G28" s="45" t="s">
        <v>895</v>
      </c>
      <c r="H28" s="26" t="s">
        <v>1011</v>
      </c>
    </row>
    <row r="29" spans="1:8" ht="43.5" customHeight="1" x14ac:dyDescent="0.2">
      <c r="A29" s="21">
        <v>20</v>
      </c>
      <c r="B29" s="20" t="s">
        <v>1012</v>
      </c>
      <c r="C29" s="20" t="s">
        <v>1013</v>
      </c>
      <c r="D29" s="20" t="s">
        <v>1014</v>
      </c>
      <c r="E29" s="20" t="s">
        <v>939</v>
      </c>
      <c r="F29" s="20" t="s">
        <v>1004</v>
      </c>
      <c r="G29" s="45" t="s">
        <v>894</v>
      </c>
      <c r="H29" s="26" t="s">
        <v>1015</v>
      </c>
    </row>
    <row r="31" spans="1:8" x14ac:dyDescent="0.2">
      <c r="B31" s="39" t="s">
        <v>1016</v>
      </c>
    </row>
  </sheetData>
  <mergeCells count="3">
    <mergeCell ref="A1:H1"/>
    <mergeCell ref="A2:H2"/>
    <mergeCell ref="A4:H7"/>
  </mergeCells>
  <dataValidations count="1">
    <dataValidation type="list" allowBlank="1" sqref="G10:G29" xr:uid="{00000000-0002-0000-0900-000000000000}">
      <formula1>"A,B,C,D"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Ex1_Formulas</vt:lpstr>
      <vt:lpstr>Ex2_References</vt:lpstr>
      <vt:lpstr>Ex3_SortFilter</vt:lpstr>
      <vt:lpstr>Ex4_Errors</vt:lpstr>
      <vt:lpstr>Ex5_TextClean</vt:lpstr>
      <vt:lpstr>Ex6_Duplicates</vt:lpstr>
      <vt:lpstr>Ex7_PivotRaw</vt:lpstr>
      <vt:lpstr>Ex7_Pivot</vt:lpstr>
      <vt:lpstr>Ex8_Scenarios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Ashu Jauhari</cp:lastModifiedBy>
  <cp:revision>0</cp:revision>
  <dcterms:created xsi:type="dcterms:W3CDTF">2026-10-02T18:09:44Z</dcterms:created>
  <dcterms:modified xsi:type="dcterms:W3CDTF">2026-10-02T18:19:59Z</dcterms:modified>
  <dc:language>en-US</dc:language>
</cp:coreProperties>
</file>