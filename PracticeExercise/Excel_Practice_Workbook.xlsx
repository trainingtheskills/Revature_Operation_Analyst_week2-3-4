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Ex1_Formulas" sheetId="2" state="visible" r:id="rId4"/>
    <sheet name="Ex2_References" sheetId="3" state="visible" r:id="rId5"/>
    <sheet name="Ex3_SortFilter" sheetId="4" state="visible" r:id="rId6"/>
    <sheet name="Ex4_Errors" sheetId="5" state="visible" r:id="rId7"/>
    <sheet name="Ex5_TextClean" sheetId="6" state="visible" r:id="rId8"/>
    <sheet name="Ex6_Duplicates" sheetId="7" state="visible" r:id="rId9"/>
    <sheet name="Ex7_PivotRaw" sheetId="8" state="visible" r:id="rId10"/>
    <sheet name="Ex7_Pivot" sheetId="9" state="visible" r:id="rId11"/>
    <sheet name="Ex8_Scenari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<sst xmlns="http://schemas.openxmlformats.org/spreadsheetml/2006/main" count="2822" uniqueCount="959">
  <si>
    <t xml:space="preserve">Excel Practice Workbook – QC Audit Preparation</t>
  </si>
  <si>
    <t xml:space="preserve">Operations Analyst track · Practice exercises built on the same skills the QC audit checks, using different data and scenarios.</t>
  </si>
  <si>
    <t xml:space="preserve">Note: All numbers, names and cell addresses in this workbook are deliberately different from the audit paper. Focus on the METHOD – the same thinking works whatever the cells or values are.</t>
  </si>
  <si>
    <t xml:space="preserve">How to use this workbook</t>
  </si>
  <si>
    <t xml:space="preserve">1. Work through the sheets in order (Ex1 → Ex8). Each sheet has blue task boxes that tell you what to do.</t>
  </si>
  <si>
    <t xml:space="preserve">2. Type your formulas or answers ONLY in the light-yellow cells. Do not type the result as a number when a formula is asked for.</t>
  </si>
  <si>
    <t xml:space="preserve">3. For 'Why?' questions, write 1–3 sentences in the yellow answer box – the audit asks you to explain, not just compute.</t>
  </si>
  <si>
    <t xml:space="preserve">4. Some tasks use Excel features (Sort, Filter, Freeze Panes, Text to Columns, Remove Duplicates, PivotTable). Do them on the sheet itself.</t>
  </si>
  <si>
    <t xml:space="preserve">5. When finished, compare with the Solutions workbook given by your trainer.</t>
  </si>
  <si>
    <t xml:space="preserve">Colour legend</t>
  </si>
  <si>
    <t xml:space="preserve">Your input – type formula / answer here</t>
  </si>
  <si>
    <t xml:space="preserve">Task / instructions</t>
  </si>
  <si>
    <t xml:space="preserve">Model answer (Solutions workbook only)</t>
  </si>
  <si>
    <t xml:space="preserve">Exercise map</t>
  </si>
  <si>
    <t xml:space="preserve">Sheet</t>
  </si>
  <si>
    <t xml:space="preserve">Skills practised</t>
  </si>
  <si>
    <t xml:space="preserve">Audit Qs covered</t>
  </si>
  <si>
    <t xml:space="preserve">Ex1_Formulas</t>
  </si>
  <si>
    <t xml:space="preserve">SUM, COUNT, AVERAGE with blanks &amp; zeros; percentage variance</t>
  </si>
  <si>
    <t xml:space="preserve">1–4, 20–23</t>
  </si>
  <si>
    <t xml:space="preserve">Ex2_References</t>
  </si>
  <si>
    <t xml:space="preserve">Relative vs absolute ($) references; fixing a broken copied formula</t>
  </si>
  <si>
    <t xml:space="preserve">9, 10, 24</t>
  </si>
  <si>
    <t xml:space="preserve">Ex3_SortFilter</t>
  </si>
  <si>
    <t xml:space="preserve">Sort, multi-level sort, Filter, Freeze Panes, % formatting</t>
  </si>
  <si>
    <t xml:space="preserve">5–8, 16–19</t>
  </si>
  <si>
    <t xml:space="preserve">Ex4_Errors</t>
  </si>
  <si>
    <t xml:space="preserve">Reading #N/A and #VALUE! correctly before 'fixing' them</t>
  </si>
  <si>
    <t xml:space="preserve">11, 12, 37, 38</t>
  </si>
  <si>
    <t xml:space="preserve">Ex5_TextClean</t>
  </si>
  <si>
    <t xml:space="preserve">TRIM, CLEAN, PROPER, Text to Columns, standardising IDs</t>
  </si>
  <si>
    <t xml:space="preserve">13, 14, 25–28, 30</t>
  </si>
  <si>
    <t xml:space="preserve">Ex6_Duplicates</t>
  </si>
  <si>
    <t xml:space="preserve">Remove Duplicates on the right fields; before/after validation</t>
  </si>
  <si>
    <t xml:space="preserve">15, 29, 36, 40</t>
  </si>
  <si>
    <t xml:space="preserve">Ex7_PivotRaw / Ex7_Pivot</t>
  </si>
  <si>
    <t xml:space="preserve">Structuring data, PivotTable, Slicer, PivotChart</t>
  </si>
  <si>
    <t xml:space="preserve">31–35, 39</t>
  </si>
  <si>
    <t xml:space="preserve">Ex8_Scenarios</t>
  </si>
  <si>
    <t xml:space="preserve">20 scenario MCQs in the audit style – choose the best action</t>
  </si>
  <si>
    <t xml:space="preserve">All</t>
  </si>
  <si>
    <t xml:space="preserve">Ex1 – Core Formulas: SUM, COUNT, AVERAGE, % Variance</t>
  </si>
  <si>
    <t xml:space="preserve">Always reference cells – never type the numbers into the formula. Watch how blanks and zeros are treated.</t>
  </si>
  <si>
    <t xml:space="preserve">Audit skills: SUM vs typed numbers · COUNT includes zeros · AVERAGE ignores blanks · % variance = (Actual − Target) ÷ Target.</t>
  </si>
  <si>
    <t xml:space="preserve">A. Weekly dispatch count – total</t>
  </si>
  <si>
    <t xml:space="preserve">A colleague typed =265+340+195+415 to get the total. In E12 write a formula that will still be correct if any week's number changes later. Then change B13 to 455 and watch the total update (change it back afterwards).</t>
  </si>
  <si>
    <t xml:space="preserve">Week</t>
  </si>
  <si>
    <t xml:space="preserve">Dispatches</t>
  </si>
  <si>
    <t xml:space="preserve">Week 1</t>
  </si>
  <si>
    <t xml:space="preserve">Total (formula) →</t>
  </si>
  <si>
    <t xml:space="preserve">Week 2</t>
  </si>
  <si>
    <t xml:space="preserve">Why is this better than typing the numbers?</t>
  </si>
  <si>
    <t xml:space="preserve">Week 3</t>
  </si>
  <si>
    <t xml:space="preserve">Week 4</t>
  </si>
  <si>
    <t xml:space="preserve">B. Tickets resolved per agent – how many cells contain numbers?</t>
  </si>
  <si>
    <t xml:space="preserve">Some agents resolved 0 tickets; some cells are blank (agent absent). A teammate says 0 should not be counted. In the yellow cell (column E) write a formula that counts the cells containing numbers and state the result.</t>
  </si>
  <si>
    <t xml:space="preserve">Agent</t>
  </si>
  <si>
    <t xml:space="preserve">Tickets resolved</t>
  </si>
  <si>
    <t xml:space="preserve">Agent A</t>
  </si>
  <si>
    <t xml:space="preserve">Count of numeric cells →</t>
  </si>
  <si>
    <t xml:space="preserve">Agent B</t>
  </si>
  <si>
    <t xml:space="preserve">Should the zeros be counted? Why?</t>
  </si>
  <si>
    <t xml:space="preserve">Agent C</t>
  </si>
  <si>
    <t xml:space="preserve">Agent D</t>
  </si>
  <si>
    <t xml:space="preserve">Agent E</t>
  </si>
  <si>
    <t xml:space="preserve">Bonus: count the blank cells →</t>
  </si>
  <si>
    <t xml:space="preserve">Agent F</t>
  </si>
  <si>
    <t xml:space="preserve">Agent G</t>
  </si>
  <si>
    <t xml:space="preserve">Agent H</t>
  </si>
  <si>
    <t xml:space="preserve">C. Quality scores – average</t>
  </si>
  <si>
    <t xml:space="preserve">Two audits were not done yet (blank). A teammate calculates the average as total ÷ 6 because there are 6 cells. Write the correct formula in the first yellow cell, and in the second yellow cell show the WRONG result the teammate would get (use a formula).</t>
  </si>
  <si>
    <t xml:space="preserve">Audit</t>
  </si>
  <si>
    <t xml:space="preserve">Score</t>
  </si>
  <si>
    <t xml:space="preserve">Audit 1</t>
  </si>
  <si>
    <t xml:space="preserve">Correct average →</t>
  </si>
  <si>
    <t xml:space="preserve">Audit 2</t>
  </si>
  <si>
    <t xml:space="preserve">Teammate's wrong average →</t>
  </si>
  <si>
    <t xml:space="preserve">Audit 3</t>
  </si>
  <si>
    <t xml:space="preserve">Explain the difference</t>
  </si>
  <si>
    <t xml:space="preserve">Audit 4</t>
  </si>
  <si>
    <t xml:space="preserve">Audit 5</t>
  </si>
  <si>
    <t xml:space="preserve">Audit 6</t>
  </si>
  <si>
    <t xml:space="preserve">D. Target vs Actual – percentage variance</t>
  </si>
  <si>
    <t xml:space="preserve">For each team, calculate % variance = (Actual − Target) ÷ Target in column D, format it as a percentage, and in column E write 'Above' or 'Below' target. One associate reported Team 1 as '39% variance' because 520 − 481 = 39. Explain why that is wrong.</t>
  </si>
  <si>
    <t xml:space="preserve">Team</t>
  </si>
  <si>
    <t xml:space="preserve">Target</t>
  </si>
  <si>
    <t xml:space="preserve">Actual</t>
  </si>
  <si>
    <t xml:space="preserve">% Variance</t>
  </si>
  <si>
    <t xml:space="preserve">Above / Below</t>
  </si>
  <si>
    <t xml:space="preserve">Team 1</t>
  </si>
  <si>
    <t xml:space="preserve">Team 2</t>
  </si>
  <si>
    <t xml:space="preserve">Team 3</t>
  </si>
  <si>
    <t xml:space="preserve">Team 4</t>
  </si>
  <si>
    <t xml:space="preserve">Team 5</t>
  </si>
  <si>
    <t xml:space="preserve">Why is '39% variance' wrong?</t>
  </si>
  <si>
    <t xml:space="preserve">Ex2 – Relative vs Absolute References</t>
  </si>
  <si>
    <t xml:space="preserve">Relative references (F14) move when copied. Absolute references ($K$6) stay fixed. Mixed use is normal: each row's own amount, one fixed rate.</t>
  </si>
  <si>
    <t xml:space="preserve">Audit skills: absolute reference to a fixed rate · relative references adjust when copied · smallest fix to a broken copied formula.</t>
  </si>
  <si>
    <t xml:space="preserve">Commission rate</t>
  </si>
  <si>
    <t xml:space="preserve">Sales tax rate</t>
  </si>
  <si>
    <t xml:space="preserve">Task 1: Column D already contains a formula someone wrote in D13 as =C13*K6 and copied down. Look at the results – only the first row is right. In column E write a corrected formula in E13 and copy it down to E32.</t>
  </si>
  <si>
    <t xml:space="preserve">Task 2: In F13 calculate Sales tax on the sales amount using the Sales tax rate in K7, copy down. Task 3: Answer the questions below the table.</t>
  </si>
  <si>
    <t xml:space="preserve">Rep</t>
  </si>
  <si>
    <t xml:space="preserve">Region</t>
  </si>
  <si>
    <t xml:space="preserve">Sales Amount</t>
  </si>
  <si>
    <t xml:space="preserve">Commission (faulty – given)</t>
  </si>
  <si>
    <t xml:space="preserve">Commission (your fix)</t>
  </si>
  <si>
    <t xml:space="preserve">Sales tax (your formula)</t>
  </si>
  <si>
    <t xml:space="preserve">REP-101</t>
  </si>
  <si>
    <t xml:space="preserve">North</t>
  </si>
  <si>
    <t xml:space="preserve">REP-102</t>
  </si>
  <si>
    <t xml:space="preserve">REP-103</t>
  </si>
  <si>
    <t xml:space="preserve">West</t>
  </si>
  <si>
    <t xml:space="preserve">REP-104</t>
  </si>
  <si>
    <t xml:space="preserve">REP-105</t>
  </si>
  <si>
    <t xml:space="preserve">REP-106</t>
  </si>
  <si>
    <t xml:space="preserve">REP-107</t>
  </si>
  <si>
    <t xml:space="preserve">REP-108</t>
  </si>
  <si>
    <t xml:space="preserve">REP-109</t>
  </si>
  <si>
    <t xml:space="preserve">REP-110</t>
  </si>
  <si>
    <t xml:space="preserve">East</t>
  </si>
  <si>
    <t xml:space="preserve">REP-111</t>
  </si>
  <si>
    <t xml:space="preserve">REP-112</t>
  </si>
  <si>
    <t xml:space="preserve">REP-113</t>
  </si>
  <si>
    <t xml:space="preserve">REP-114</t>
  </si>
  <si>
    <t xml:space="preserve">REP-115</t>
  </si>
  <si>
    <t xml:space="preserve">REP-116</t>
  </si>
  <si>
    <t xml:space="preserve">REP-117</t>
  </si>
  <si>
    <t xml:space="preserve">REP-118</t>
  </si>
  <si>
    <t xml:space="preserve">REP-119</t>
  </si>
  <si>
    <t xml:space="preserve">REP-120</t>
  </si>
  <si>
    <t xml:space="preserve">Total</t>
  </si>
  <si>
    <t xml:space="preserve">Q1. Click D15. What did K6 become, and why are the faulty results wrong?</t>
  </si>
  <si>
    <t xml:space="preserve">Q2. What is the smallest change to fix the faulty formula? Which part stays relative?</t>
  </si>
  <si>
    <t xml:space="preserve">Q3. A colleague says Excel 'broke' the formula when C13 became C14 on the next row. Is Excel wrong?</t>
  </si>
  <si>
    <t xml:space="preserve">Q4. What would $K6 and K$6 do differently from $K$6?</t>
  </si>
  <si>
    <t xml:space="preserve">Ex3 – Sort, Filter, Freeze Panes &amp; Formatting</t>
  </si>
  <si>
    <t xml:space="preserve">TASKS (do them on the data in A:G)</t>
  </si>
  <si>
    <t xml:space="preserve">T1. Your lead wants to review the 5 biggest transactions first but must still see ALL 420 rows. Which feature? Do it, then record the top 5 Txn IDs and amounts below.</t>
  </si>
  <si>
    <t xml:space="preserve">Audit skills: Sort keeps every row visible · Filter hides temporarily without deleting · Freeze Panes changes only the view · % formatting changes display, not value. The heading row of this dataset is row 9 – data runs from row 10 to row 429.</t>
  </si>
  <si>
    <t xml:space="preserve">T2. The Phoenix manager wants to see only Phoenix records for a call, and everything else must be back afterwards untouched. Do it, write how many rows were shown, then clear it.</t>
  </si>
  <si>
    <t xml:space="preserve">T3. When you scroll to row 365 you cannot see the headings (row 9). Fix this without moving or copying any data. Careful: the headings are NOT in row 1.</t>
  </si>
  <si>
    <t xml:space="preserve">T4. Discount Rate shows decimals (e.g. 0.085) but the report needs percentages (8.5%). Make the column display as % WITHOUT changing the stored value.</t>
  </si>
  <si>
    <t xml:space="preserve">Txn ID</t>
  </si>
  <si>
    <t xml:space="preserve">Date</t>
  </si>
  <si>
    <t xml:space="preserve">Branch</t>
  </si>
  <si>
    <t xml:space="preserve">Category</t>
  </si>
  <si>
    <t xml:space="preserve">Amount ($)</t>
  </si>
  <si>
    <t xml:space="preserve">Discount Rate</t>
  </si>
  <si>
    <t xml:space="preserve">Status</t>
  </si>
  <si>
    <t xml:space="preserve">TXN-50001</t>
  </si>
  <si>
    <t xml:space="preserve">Seattle</t>
  </si>
  <si>
    <t xml:space="preserve">Stationery</t>
  </si>
  <si>
    <t xml:space="preserve">Delivered</t>
  </si>
  <si>
    <t xml:space="preserve">T5. Sort by Branch (A→Z) and within each branch by Amount (largest first). Which branch appears first, and what is its top amount?</t>
  </si>
  <si>
    <t xml:space="preserve">TXN-50002</t>
  </si>
  <si>
    <t xml:space="preserve">Denver</t>
  </si>
  <si>
    <t xml:space="preserve">Appliances</t>
  </si>
  <si>
    <t xml:space="preserve">TXN-50003</t>
  </si>
  <si>
    <t xml:space="preserve">Furniture</t>
  </si>
  <si>
    <t xml:space="preserve">TXN-50004</t>
  </si>
  <si>
    <t xml:space="preserve">In Transit</t>
  </si>
  <si>
    <t xml:space="preserve">Record your answers</t>
  </si>
  <si>
    <t xml:space="preserve">TXN-50005</t>
  </si>
  <si>
    <t xml:space="preserve">Austin</t>
  </si>
  <si>
    <t xml:space="preserve">T1 – Rank</t>
  </si>
  <si>
    <t xml:space="preserve">Amount</t>
  </si>
  <si>
    <t xml:space="preserve">TXN-50006</t>
  </si>
  <si>
    <t xml:space="preserve">Phoenix</t>
  </si>
  <si>
    <t xml:space="preserve">Top 1</t>
  </si>
  <si>
    <t xml:space="preserve">TXN-50007</t>
  </si>
  <si>
    <t xml:space="preserve">Top 2</t>
  </si>
  <si>
    <t xml:space="preserve">TXN-50008</t>
  </si>
  <si>
    <t xml:space="preserve">Electronics</t>
  </si>
  <si>
    <t xml:space="preserve">Cancelled</t>
  </si>
  <si>
    <t xml:space="preserve">Top 3</t>
  </si>
  <si>
    <t xml:space="preserve">TXN-50009</t>
  </si>
  <si>
    <t xml:space="preserve">Top 4</t>
  </si>
  <si>
    <t xml:space="preserve">TXN-50010</t>
  </si>
  <si>
    <t xml:space="preserve">Top 5</t>
  </si>
  <si>
    <t xml:space="preserve">TXN-50011</t>
  </si>
  <si>
    <t xml:space="preserve">Returned</t>
  </si>
  <si>
    <t xml:space="preserve">T2 – Phoenix rows shown</t>
  </si>
  <si>
    <t xml:space="preserve">TXN-50012</t>
  </si>
  <si>
    <t xml:space="preserve">T2 – Rows visible after clearing filter</t>
  </si>
  <si>
    <t xml:space="preserve">TXN-50013</t>
  </si>
  <si>
    <t xml:space="preserve">T5 – First branch after sort</t>
  </si>
  <si>
    <t xml:space="preserve">TXN-50014</t>
  </si>
  <si>
    <t xml:space="preserve">T5 – Its top amount</t>
  </si>
  <si>
    <t xml:space="preserve">TXN-50015</t>
  </si>
  <si>
    <t xml:space="preserve">T4 – Stored value of F10 after formatting</t>
  </si>
  <si>
    <t xml:space="preserve">TXN-50016</t>
  </si>
  <si>
    <t xml:space="preserve">TXN-50017</t>
  </si>
  <si>
    <t xml:space="preserve">TXN-50018</t>
  </si>
  <si>
    <t xml:space="preserve">TXN-50019</t>
  </si>
  <si>
    <t xml:space="preserve">TXN-50020</t>
  </si>
  <si>
    <t xml:space="preserve">TXN-50021</t>
  </si>
  <si>
    <t xml:space="preserve">TXN-50022</t>
  </si>
  <si>
    <t xml:space="preserve">TXN-50023</t>
  </si>
  <si>
    <t xml:space="preserve">TXN-50024</t>
  </si>
  <si>
    <t xml:space="preserve">TXN-50025</t>
  </si>
  <si>
    <t xml:space="preserve">TXN-50026</t>
  </si>
  <si>
    <t xml:space="preserve">TXN-50027</t>
  </si>
  <si>
    <t xml:space="preserve">TXN-50028</t>
  </si>
  <si>
    <t xml:space="preserve">TXN-50029</t>
  </si>
  <si>
    <t xml:space="preserve">TXN-50030</t>
  </si>
  <si>
    <t xml:space="preserve">TXN-50031</t>
  </si>
  <si>
    <t xml:space="preserve">TXN-50032</t>
  </si>
  <si>
    <t xml:space="preserve">TXN-50033</t>
  </si>
  <si>
    <t xml:space="preserve">TXN-50034</t>
  </si>
  <si>
    <t xml:space="preserve">TXN-50035</t>
  </si>
  <si>
    <t xml:space="preserve">TXN-50036</t>
  </si>
  <si>
    <t xml:space="preserve">TXN-50037</t>
  </si>
  <si>
    <t xml:space="preserve">TXN-50038</t>
  </si>
  <si>
    <t xml:space="preserve">TXN-50039</t>
  </si>
  <si>
    <t xml:space="preserve">TXN-50040</t>
  </si>
  <si>
    <t xml:space="preserve">TXN-50041</t>
  </si>
  <si>
    <t xml:space="preserve">TXN-50042</t>
  </si>
  <si>
    <t xml:space="preserve">TXN-50043</t>
  </si>
  <si>
    <t xml:space="preserve">TXN-50044</t>
  </si>
  <si>
    <t xml:space="preserve">TXN-50045</t>
  </si>
  <si>
    <t xml:space="preserve">TXN-50046</t>
  </si>
  <si>
    <t xml:space="preserve">TXN-50047</t>
  </si>
  <si>
    <t xml:space="preserve">TXN-50048</t>
  </si>
  <si>
    <t xml:space="preserve">TXN-50049</t>
  </si>
  <si>
    <t xml:space="preserve">TXN-50050</t>
  </si>
  <si>
    <t xml:space="preserve">TXN-50051</t>
  </si>
  <si>
    <t xml:space="preserve">TXN-50052</t>
  </si>
  <si>
    <t xml:space="preserve">TXN-50053</t>
  </si>
  <si>
    <t xml:space="preserve">TXN-50054</t>
  </si>
  <si>
    <t xml:space="preserve">TXN-50055</t>
  </si>
  <si>
    <t xml:space="preserve">TXN-50056</t>
  </si>
  <si>
    <t xml:space="preserve">TXN-50057</t>
  </si>
  <si>
    <t xml:space="preserve">TXN-50058</t>
  </si>
  <si>
    <t xml:space="preserve">TXN-50059</t>
  </si>
  <si>
    <t xml:space="preserve">TXN-50060</t>
  </si>
  <si>
    <t xml:space="preserve">TXN-50061</t>
  </si>
  <si>
    <t xml:space="preserve">TXN-50062</t>
  </si>
  <si>
    <t xml:space="preserve">TXN-50063</t>
  </si>
  <si>
    <t xml:space="preserve">TXN-50064</t>
  </si>
  <si>
    <t xml:space="preserve">TXN-50065</t>
  </si>
  <si>
    <t xml:space="preserve">TXN-50066</t>
  </si>
  <si>
    <t xml:space="preserve">TXN-50067</t>
  </si>
  <si>
    <t xml:space="preserve">TXN-50068</t>
  </si>
  <si>
    <t xml:space="preserve">TXN-50069</t>
  </si>
  <si>
    <t xml:space="preserve">TXN-50070</t>
  </si>
  <si>
    <t xml:space="preserve">TXN-50071</t>
  </si>
  <si>
    <t xml:space="preserve">TXN-50072</t>
  </si>
  <si>
    <t xml:space="preserve">TXN-50073</t>
  </si>
  <si>
    <t xml:space="preserve">TXN-50074</t>
  </si>
  <si>
    <t xml:space="preserve">TXN-50075</t>
  </si>
  <si>
    <t xml:space="preserve">TXN-50076</t>
  </si>
  <si>
    <t xml:space="preserve">TXN-50077</t>
  </si>
  <si>
    <t xml:space="preserve">TXN-50078</t>
  </si>
  <si>
    <t xml:space="preserve">TXN-50079</t>
  </si>
  <si>
    <t xml:space="preserve">TXN-50080</t>
  </si>
  <si>
    <t xml:space="preserve">TXN-50081</t>
  </si>
  <si>
    <t xml:space="preserve">TXN-50082</t>
  </si>
  <si>
    <t xml:space="preserve">TXN-50083</t>
  </si>
  <si>
    <t xml:space="preserve">TXN-50084</t>
  </si>
  <si>
    <t xml:space="preserve">TXN-50085</t>
  </si>
  <si>
    <t xml:space="preserve">TXN-50086</t>
  </si>
  <si>
    <t xml:space="preserve">TXN-50087</t>
  </si>
  <si>
    <t xml:space="preserve">TXN-50088</t>
  </si>
  <si>
    <t xml:space="preserve">TXN-50089</t>
  </si>
  <si>
    <t xml:space="preserve">TXN-50090</t>
  </si>
  <si>
    <t xml:space="preserve">TXN-50091</t>
  </si>
  <si>
    <t xml:space="preserve">TXN-50092</t>
  </si>
  <si>
    <t xml:space="preserve">TXN-50093</t>
  </si>
  <si>
    <t xml:space="preserve">TXN-50094</t>
  </si>
  <si>
    <t xml:space="preserve">TXN-50095</t>
  </si>
  <si>
    <t xml:space="preserve">TXN-50096</t>
  </si>
  <si>
    <t xml:space="preserve">TXN-50097</t>
  </si>
  <si>
    <t xml:space="preserve">TXN-50098</t>
  </si>
  <si>
    <t xml:space="preserve">TXN-50099</t>
  </si>
  <si>
    <t xml:space="preserve">TXN-50100</t>
  </si>
  <si>
    <t xml:space="preserve">TXN-50101</t>
  </si>
  <si>
    <t xml:space="preserve">TXN-50102</t>
  </si>
  <si>
    <t xml:space="preserve">TXN-50103</t>
  </si>
  <si>
    <t xml:space="preserve">TXN-50104</t>
  </si>
  <si>
    <t xml:space="preserve">TXN-50105</t>
  </si>
  <si>
    <t xml:space="preserve">TXN-50106</t>
  </si>
  <si>
    <t xml:space="preserve">TXN-50107</t>
  </si>
  <si>
    <t xml:space="preserve">TXN-50108</t>
  </si>
  <si>
    <t xml:space="preserve">TXN-50109</t>
  </si>
  <si>
    <t xml:space="preserve">TXN-50110</t>
  </si>
  <si>
    <t xml:space="preserve">TXN-50111</t>
  </si>
  <si>
    <t xml:space="preserve">TXN-50112</t>
  </si>
  <si>
    <t xml:space="preserve">TXN-50113</t>
  </si>
  <si>
    <t xml:space="preserve">TXN-50114</t>
  </si>
  <si>
    <t xml:space="preserve">TXN-50115</t>
  </si>
  <si>
    <t xml:space="preserve">TXN-50116</t>
  </si>
  <si>
    <t xml:space="preserve">TXN-50117</t>
  </si>
  <si>
    <t xml:space="preserve">TXN-50118</t>
  </si>
  <si>
    <t xml:space="preserve">TXN-50119</t>
  </si>
  <si>
    <t xml:space="preserve">TXN-50120</t>
  </si>
  <si>
    <t xml:space="preserve">TXN-50121</t>
  </si>
  <si>
    <t xml:space="preserve">TXN-50122</t>
  </si>
  <si>
    <t xml:space="preserve">TXN-50123</t>
  </si>
  <si>
    <t xml:space="preserve">TXN-50124</t>
  </si>
  <si>
    <t xml:space="preserve">TXN-50125</t>
  </si>
  <si>
    <t xml:space="preserve">TXN-50126</t>
  </si>
  <si>
    <t xml:space="preserve">TXN-50127</t>
  </si>
  <si>
    <t xml:space="preserve">TXN-50128</t>
  </si>
  <si>
    <t xml:space="preserve">TXN-50129</t>
  </si>
  <si>
    <t xml:space="preserve">TXN-50130</t>
  </si>
  <si>
    <t xml:space="preserve">TXN-50131</t>
  </si>
  <si>
    <t xml:space="preserve">TXN-50132</t>
  </si>
  <si>
    <t xml:space="preserve">TXN-50133</t>
  </si>
  <si>
    <t xml:space="preserve">TXN-50134</t>
  </si>
  <si>
    <t xml:space="preserve">TXN-50135</t>
  </si>
  <si>
    <t xml:space="preserve">TXN-50136</t>
  </si>
  <si>
    <t xml:space="preserve">TXN-50137</t>
  </si>
  <si>
    <t xml:space="preserve">TXN-50138</t>
  </si>
  <si>
    <t xml:space="preserve">TXN-50139</t>
  </si>
  <si>
    <t xml:space="preserve">TXN-50140</t>
  </si>
  <si>
    <t xml:space="preserve">TXN-50141</t>
  </si>
  <si>
    <t xml:space="preserve">TXN-50142</t>
  </si>
  <si>
    <t xml:space="preserve">TXN-50143</t>
  </si>
  <si>
    <t xml:space="preserve">TXN-50144</t>
  </si>
  <si>
    <t xml:space="preserve">TXN-50145</t>
  </si>
  <si>
    <t xml:space="preserve">TXN-50146</t>
  </si>
  <si>
    <t xml:space="preserve">TXN-50147</t>
  </si>
  <si>
    <t xml:space="preserve">TXN-50148</t>
  </si>
  <si>
    <t xml:space="preserve">TXN-50149</t>
  </si>
  <si>
    <t xml:space="preserve">TXN-50150</t>
  </si>
  <si>
    <t xml:space="preserve">TXN-50151</t>
  </si>
  <si>
    <t xml:space="preserve">TXN-50152</t>
  </si>
  <si>
    <t xml:space="preserve">TXN-50153</t>
  </si>
  <si>
    <t xml:space="preserve">TXN-50154</t>
  </si>
  <si>
    <t xml:space="preserve">TXN-50155</t>
  </si>
  <si>
    <t xml:space="preserve">TXN-50156</t>
  </si>
  <si>
    <t xml:space="preserve">TXN-50157</t>
  </si>
  <si>
    <t xml:space="preserve">TXN-50158</t>
  </si>
  <si>
    <t xml:space="preserve">TXN-50159</t>
  </si>
  <si>
    <t xml:space="preserve">TXN-50160</t>
  </si>
  <si>
    <t xml:space="preserve">TXN-50161</t>
  </si>
  <si>
    <t xml:space="preserve">TXN-50162</t>
  </si>
  <si>
    <t xml:space="preserve">TXN-50163</t>
  </si>
  <si>
    <t xml:space="preserve">TXN-50164</t>
  </si>
  <si>
    <t xml:space="preserve">TXN-50165</t>
  </si>
  <si>
    <t xml:space="preserve">TXN-50166</t>
  </si>
  <si>
    <t xml:space="preserve">TXN-50167</t>
  </si>
  <si>
    <t xml:space="preserve">TXN-50168</t>
  </si>
  <si>
    <t xml:space="preserve">TXN-50169</t>
  </si>
  <si>
    <t xml:space="preserve">TXN-50170</t>
  </si>
  <si>
    <t xml:space="preserve">TXN-50171</t>
  </si>
  <si>
    <t xml:space="preserve">TXN-50172</t>
  </si>
  <si>
    <t xml:space="preserve">TXN-50173</t>
  </si>
  <si>
    <t xml:space="preserve">TXN-50174</t>
  </si>
  <si>
    <t xml:space="preserve">TXN-50175</t>
  </si>
  <si>
    <t xml:space="preserve">TXN-50176</t>
  </si>
  <si>
    <t xml:space="preserve">TXN-50177</t>
  </si>
  <si>
    <t xml:space="preserve">TXN-50178</t>
  </si>
  <si>
    <t xml:space="preserve">TXN-50179</t>
  </si>
  <si>
    <t xml:space="preserve">TXN-50180</t>
  </si>
  <si>
    <t xml:space="preserve">TXN-50181</t>
  </si>
  <si>
    <t xml:space="preserve">TXN-50182</t>
  </si>
  <si>
    <t xml:space="preserve">TXN-50183</t>
  </si>
  <si>
    <t xml:space="preserve">TXN-50184</t>
  </si>
  <si>
    <t xml:space="preserve">TXN-50185</t>
  </si>
  <si>
    <t xml:space="preserve">TXN-50186</t>
  </si>
  <si>
    <t xml:space="preserve">TXN-50187</t>
  </si>
  <si>
    <t xml:space="preserve">TXN-50188</t>
  </si>
  <si>
    <t xml:space="preserve">TXN-50189</t>
  </si>
  <si>
    <t xml:space="preserve">TXN-50190</t>
  </si>
  <si>
    <t xml:space="preserve">TXN-50191</t>
  </si>
  <si>
    <t xml:space="preserve">TXN-50192</t>
  </si>
  <si>
    <t xml:space="preserve">TXN-50193</t>
  </si>
  <si>
    <t xml:space="preserve">TXN-50194</t>
  </si>
  <si>
    <t xml:space="preserve">TXN-50195</t>
  </si>
  <si>
    <t xml:space="preserve">TXN-50196</t>
  </si>
  <si>
    <t xml:space="preserve">TXN-50197</t>
  </si>
  <si>
    <t xml:space="preserve">TXN-50198</t>
  </si>
  <si>
    <t xml:space="preserve">TXN-50199</t>
  </si>
  <si>
    <t xml:space="preserve">TXN-50200</t>
  </si>
  <si>
    <t xml:space="preserve">TXN-50201</t>
  </si>
  <si>
    <t xml:space="preserve">TXN-50202</t>
  </si>
  <si>
    <t xml:space="preserve">TXN-50203</t>
  </si>
  <si>
    <t xml:space="preserve">TXN-50204</t>
  </si>
  <si>
    <t xml:space="preserve">TXN-50205</t>
  </si>
  <si>
    <t xml:space="preserve">TXN-50206</t>
  </si>
  <si>
    <t xml:space="preserve">TXN-50207</t>
  </si>
  <si>
    <t xml:space="preserve">TXN-50208</t>
  </si>
  <si>
    <t xml:space="preserve">TXN-50209</t>
  </si>
  <si>
    <t xml:space="preserve">TXN-50210</t>
  </si>
  <si>
    <t xml:space="preserve">TXN-50211</t>
  </si>
  <si>
    <t xml:space="preserve">TXN-50212</t>
  </si>
  <si>
    <t xml:space="preserve">TXN-50213</t>
  </si>
  <si>
    <t xml:space="preserve">TXN-50214</t>
  </si>
  <si>
    <t xml:space="preserve">TXN-50215</t>
  </si>
  <si>
    <t xml:space="preserve">TXN-50216</t>
  </si>
  <si>
    <t xml:space="preserve">TXN-50217</t>
  </si>
  <si>
    <t xml:space="preserve">TXN-50218</t>
  </si>
  <si>
    <t xml:space="preserve">TXN-50219</t>
  </si>
  <si>
    <t xml:space="preserve">TXN-50220</t>
  </si>
  <si>
    <t xml:space="preserve">TXN-50221</t>
  </si>
  <si>
    <t xml:space="preserve">TXN-50222</t>
  </si>
  <si>
    <t xml:space="preserve">TXN-50223</t>
  </si>
  <si>
    <t xml:space="preserve">TXN-50224</t>
  </si>
  <si>
    <t xml:space="preserve">TXN-50225</t>
  </si>
  <si>
    <t xml:space="preserve">TXN-50226</t>
  </si>
  <si>
    <t xml:space="preserve">TXN-50227</t>
  </si>
  <si>
    <t xml:space="preserve">TXN-50228</t>
  </si>
  <si>
    <t xml:space="preserve">TXN-50229</t>
  </si>
  <si>
    <t xml:space="preserve">TXN-50230</t>
  </si>
  <si>
    <t xml:space="preserve">TXN-50231</t>
  </si>
  <si>
    <t xml:space="preserve">TXN-50232</t>
  </si>
  <si>
    <t xml:space="preserve">TXN-50233</t>
  </si>
  <si>
    <t xml:space="preserve">TXN-50234</t>
  </si>
  <si>
    <t xml:space="preserve">TXN-50235</t>
  </si>
  <si>
    <t xml:space="preserve">TXN-50236</t>
  </si>
  <si>
    <t xml:space="preserve">TXN-50237</t>
  </si>
  <si>
    <t xml:space="preserve">TXN-50238</t>
  </si>
  <si>
    <t xml:space="preserve">TXN-50239</t>
  </si>
  <si>
    <t xml:space="preserve">TXN-50240</t>
  </si>
  <si>
    <t xml:space="preserve">TXN-50241</t>
  </si>
  <si>
    <t xml:space="preserve">TXN-50242</t>
  </si>
  <si>
    <t xml:space="preserve">TXN-50243</t>
  </si>
  <si>
    <t xml:space="preserve">TXN-50244</t>
  </si>
  <si>
    <t xml:space="preserve">TXN-50245</t>
  </si>
  <si>
    <t xml:space="preserve">TXN-50246</t>
  </si>
  <si>
    <t xml:space="preserve">TXN-50247</t>
  </si>
  <si>
    <t xml:space="preserve">TXN-50248</t>
  </si>
  <si>
    <t xml:space="preserve">TXN-50249</t>
  </si>
  <si>
    <t xml:space="preserve">TXN-50250</t>
  </si>
  <si>
    <t xml:space="preserve">TXN-50251</t>
  </si>
  <si>
    <t xml:space="preserve">TXN-50252</t>
  </si>
  <si>
    <t xml:space="preserve">TXN-50253</t>
  </si>
  <si>
    <t xml:space="preserve">TXN-50254</t>
  </si>
  <si>
    <t xml:space="preserve">TXN-50255</t>
  </si>
  <si>
    <t xml:space="preserve">TXN-50256</t>
  </si>
  <si>
    <t xml:space="preserve">TXN-50257</t>
  </si>
  <si>
    <t xml:space="preserve">TXN-50258</t>
  </si>
  <si>
    <t xml:space="preserve">TXN-50259</t>
  </si>
  <si>
    <t xml:space="preserve">TXN-50260</t>
  </si>
  <si>
    <t xml:space="preserve">TXN-50261</t>
  </si>
  <si>
    <t xml:space="preserve">TXN-50262</t>
  </si>
  <si>
    <t xml:space="preserve">TXN-50263</t>
  </si>
  <si>
    <t xml:space="preserve">TXN-50264</t>
  </si>
  <si>
    <t xml:space="preserve">TXN-50265</t>
  </si>
  <si>
    <t xml:space="preserve">TXN-50266</t>
  </si>
  <si>
    <t xml:space="preserve">TXN-50267</t>
  </si>
  <si>
    <t xml:space="preserve">TXN-50268</t>
  </si>
  <si>
    <t xml:space="preserve">TXN-50269</t>
  </si>
  <si>
    <t xml:space="preserve">TXN-50270</t>
  </si>
  <si>
    <t xml:space="preserve">TXN-50271</t>
  </si>
  <si>
    <t xml:space="preserve">TXN-50272</t>
  </si>
  <si>
    <t xml:space="preserve">TXN-50273</t>
  </si>
  <si>
    <t xml:space="preserve">TXN-50274</t>
  </si>
  <si>
    <t xml:space="preserve">TXN-50275</t>
  </si>
  <si>
    <t xml:space="preserve">TXN-50276</t>
  </si>
  <si>
    <t xml:space="preserve">TXN-50277</t>
  </si>
  <si>
    <t xml:space="preserve">TXN-50278</t>
  </si>
  <si>
    <t xml:space="preserve">TXN-50279</t>
  </si>
  <si>
    <t xml:space="preserve">TXN-50280</t>
  </si>
  <si>
    <t xml:space="preserve">TXN-50281</t>
  </si>
  <si>
    <t xml:space="preserve">TXN-50282</t>
  </si>
  <si>
    <t xml:space="preserve">TXN-50283</t>
  </si>
  <si>
    <t xml:space="preserve">TXN-50284</t>
  </si>
  <si>
    <t xml:space="preserve">TXN-50285</t>
  </si>
  <si>
    <t xml:space="preserve">TXN-50286</t>
  </si>
  <si>
    <t xml:space="preserve">TXN-50287</t>
  </si>
  <si>
    <t xml:space="preserve">TXN-50288</t>
  </si>
  <si>
    <t xml:space="preserve">TXN-50289</t>
  </si>
  <si>
    <t xml:space="preserve">TXN-50290</t>
  </si>
  <si>
    <t xml:space="preserve">TXN-50291</t>
  </si>
  <si>
    <t xml:space="preserve">TXN-50292</t>
  </si>
  <si>
    <t xml:space="preserve">TXN-50293</t>
  </si>
  <si>
    <t xml:space="preserve">TXN-50294</t>
  </si>
  <si>
    <t xml:space="preserve">TXN-50295</t>
  </si>
  <si>
    <t xml:space="preserve">TXN-50296</t>
  </si>
  <si>
    <t xml:space="preserve">TXN-50297</t>
  </si>
  <si>
    <t xml:space="preserve">TXN-50298</t>
  </si>
  <si>
    <t xml:space="preserve">TXN-50299</t>
  </si>
  <si>
    <t xml:space="preserve">TXN-50300</t>
  </si>
  <si>
    <t xml:space="preserve">TXN-50301</t>
  </si>
  <si>
    <t xml:space="preserve">TXN-50302</t>
  </si>
  <si>
    <t xml:space="preserve">TXN-50303</t>
  </si>
  <si>
    <t xml:space="preserve">TXN-50304</t>
  </si>
  <si>
    <t xml:space="preserve">TXN-50305</t>
  </si>
  <si>
    <t xml:space="preserve">TXN-50306</t>
  </si>
  <si>
    <t xml:space="preserve">TXN-50307</t>
  </si>
  <si>
    <t xml:space="preserve">TXN-50308</t>
  </si>
  <si>
    <t xml:space="preserve">TXN-50309</t>
  </si>
  <si>
    <t xml:space="preserve">TXN-50310</t>
  </si>
  <si>
    <t xml:space="preserve">TXN-50311</t>
  </si>
  <si>
    <t xml:space="preserve">TXN-50312</t>
  </si>
  <si>
    <t xml:space="preserve">TXN-50313</t>
  </si>
  <si>
    <t xml:space="preserve">TXN-50314</t>
  </si>
  <si>
    <t xml:space="preserve">TXN-50315</t>
  </si>
  <si>
    <t xml:space="preserve">TXN-50316</t>
  </si>
  <si>
    <t xml:space="preserve">TXN-50317</t>
  </si>
  <si>
    <t xml:space="preserve">TXN-50318</t>
  </si>
  <si>
    <t xml:space="preserve">TXN-50319</t>
  </si>
  <si>
    <t xml:space="preserve">TXN-50320</t>
  </si>
  <si>
    <t xml:space="preserve">TXN-50321</t>
  </si>
  <si>
    <t xml:space="preserve">TXN-50322</t>
  </si>
  <si>
    <t xml:space="preserve">TXN-50323</t>
  </si>
  <si>
    <t xml:space="preserve">TXN-50324</t>
  </si>
  <si>
    <t xml:space="preserve">TXN-50325</t>
  </si>
  <si>
    <t xml:space="preserve">TXN-50326</t>
  </si>
  <si>
    <t xml:space="preserve">TXN-50327</t>
  </si>
  <si>
    <t xml:space="preserve">TXN-50328</t>
  </si>
  <si>
    <t xml:space="preserve">TXN-50329</t>
  </si>
  <si>
    <t xml:space="preserve">TXN-50330</t>
  </si>
  <si>
    <t xml:space="preserve">TXN-50331</t>
  </si>
  <si>
    <t xml:space="preserve">TXN-50332</t>
  </si>
  <si>
    <t xml:space="preserve">TXN-50333</t>
  </si>
  <si>
    <t xml:space="preserve">TXN-50334</t>
  </si>
  <si>
    <t xml:space="preserve">TXN-50335</t>
  </si>
  <si>
    <t xml:space="preserve">TXN-50336</t>
  </si>
  <si>
    <t xml:space="preserve">TXN-50337</t>
  </si>
  <si>
    <t xml:space="preserve">TXN-50338</t>
  </si>
  <si>
    <t xml:space="preserve">TXN-50339</t>
  </si>
  <si>
    <t xml:space="preserve">TXN-50340</t>
  </si>
  <si>
    <t xml:space="preserve">TXN-50341</t>
  </si>
  <si>
    <t xml:space="preserve">TXN-50342</t>
  </si>
  <si>
    <t xml:space="preserve">TXN-50343</t>
  </si>
  <si>
    <t xml:space="preserve">TXN-50344</t>
  </si>
  <si>
    <t xml:space="preserve">TXN-50345</t>
  </si>
  <si>
    <t xml:space="preserve">TXN-50346</t>
  </si>
  <si>
    <t xml:space="preserve">TXN-50347</t>
  </si>
  <si>
    <t xml:space="preserve">TXN-50348</t>
  </si>
  <si>
    <t xml:space="preserve">TXN-50349</t>
  </si>
  <si>
    <t xml:space="preserve">TXN-50350</t>
  </si>
  <si>
    <t xml:space="preserve">TXN-50351</t>
  </si>
  <si>
    <t xml:space="preserve">TXN-50352</t>
  </si>
  <si>
    <t xml:space="preserve">TXN-50353</t>
  </si>
  <si>
    <t xml:space="preserve">TXN-50354</t>
  </si>
  <si>
    <t xml:space="preserve">TXN-50355</t>
  </si>
  <si>
    <t xml:space="preserve">TXN-50356</t>
  </si>
  <si>
    <t xml:space="preserve">TXN-50357</t>
  </si>
  <si>
    <t xml:space="preserve">TXN-50358</t>
  </si>
  <si>
    <t xml:space="preserve">TXN-50359</t>
  </si>
  <si>
    <t xml:space="preserve">TXN-50360</t>
  </si>
  <si>
    <t xml:space="preserve">TXN-50361</t>
  </si>
  <si>
    <t xml:space="preserve">TXN-50362</t>
  </si>
  <si>
    <t xml:space="preserve">TXN-50363</t>
  </si>
  <si>
    <t xml:space="preserve">TXN-50364</t>
  </si>
  <si>
    <t xml:space="preserve">TXN-50365</t>
  </si>
  <si>
    <t xml:space="preserve">TXN-50366</t>
  </si>
  <si>
    <t xml:space="preserve">TXN-50367</t>
  </si>
  <si>
    <t xml:space="preserve">TXN-50368</t>
  </si>
  <si>
    <t xml:space="preserve">TXN-50369</t>
  </si>
  <si>
    <t xml:space="preserve">TXN-50370</t>
  </si>
  <si>
    <t xml:space="preserve">TXN-50371</t>
  </si>
  <si>
    <t xml:space="preserve">TXN-50372</t>
  </si>
  <si>
    <t xml:space="preserve">TXN-50373</t>
  </si>
  <si>
    <t xml:space="preserve">TXN-50374</t>
  </si>
  <si>
    <t xml:space="preserve">TXN-50375</t>
  </si>
  <si>
    <t xml:space="preserve">TXN-50376</t>
  </si>
  <si>
    <t xml:space="preserve">TXN-50377</t>
  </si>
  <si>
    <t xml:space="preserve">TXN-50378</t>
  </si>
  <si>
    <t xml:space="preserve">TXN-50379</t>
  </si>
  <si>
    <t xml:space="preserve">TXN-50380</t>
  </si>
  <si>
    <t xml:space="preserve">TXN-50381</t>
  </si>
  <si>
    <t xml:space="preserve">TXN-50382</t>
  </si>
  <si>
    <t xml:space="preserve">TXN-50383</t>
  </si>
  <si>
    <t xml:space="preserve">TXN-50384</t>
  </si>
  <si>
    <t xml:space="preserve">TXN-50385</t>
  </si>
  <si>
    <t xml:space="preserve">TXN-50386</t>
  </si>
  <si>
    <t xml:space="preserve">TXN-50387</t>
  </si>
  <si>
    <t xml:space="preserve">TXN-50388</t>
  </si>
  <si>
    <t xml:space="preserve">TXN-50389</t>
  </si>
  <si>
    <t xml:space="preserve">TXN-50390</t>
  </si>
  <si>
    <t xml:space="preserve">TXN-50391</t>
  </si>
  <si>
    <t xml:space="preserve">TXN-50392</t>
  </si>
  <si>
    <t xml:space="preserve">TXN-50393</t>
  </si>
  <si>
    <t xml:space="preserve">TXN-50394</t>
  </si>
  <si>
    <t xml:space="preserve">TXN-50395</t>
  </si>
  <si>
    <t xml:space="preserve">TXN-50396</t>
  </si>
  <si>
    <t xml:space="preserve">TXN-50397</t>
  </si>
  <si>
    <t xml:space="preserve">TXN-50398</t>
  </si>
  <si>
    <t xml:space="preserve">TXN-50399</t>
  </si>
  <si>
    <t xml:space="preserve">TXN-50400</t>
  </si>
  <si>
    <t xml:space="preserve">TXN-50401</t>
  </si>
  <si>
    <t xml:space="preserve">TXN-50402</t>
  </si>
  <si>
    <t xml:space="preserve">TXN-50403</t>
  </si>
  <si>
    <t xml:space="preserve">TXN-50404</t>
  </si>
  <si>
    <t xml:space="preserve">TXN-50405</t>
  </si>
  <si>
    <t xml:space="preserve">TXN-50406</t>
  </si>
  <si>
    <t xml:space="preserve">TXN-50407</t>
  </si>
  <si>
    <t xml:space="preserve">TXN-50408</t>
  </si>
  <si>
    <t xml:space="preserve">TXN-50409</t>
  </si>
  <si>
    <t xml:space="preserve">TXN-50410</t>
  </si>
  <si>
    <t xml:space="preserve">TXN-50411</t>
  </si>
  <si>
    <t xml:space="preserve">TXN-50412</t>
  </si>
  <si>
    <t xml:space="preserve">TXN-50413</t>
  </si>
  <si>
    <t xml:space="preserve">TXN-50414</t>
  </si>
  <si>
    <t xml:space="preserve">TXN-50415</t>
  </si>
  <si>
    <t xml:space="preserve">TXN-50416</t>
  </si>
  <si>
    <t xml:space="preserve">TXN-50417</t>
  </si>
  <si>
    <t xml:space="preserve">TXN-50418</t>
  </si>
  <si>
    <t xml:space="preserve">TXN-50419</t>
  </si>
  <si>
    <t xml:space="preserve">TXN-50420</t>
  </si>
  <si>
    <t xml:space="preserve">Ex4 – Reading Errors Correctly (#N/A and #VALUE!)</t>
  </si>
  <si>
    <t xml:space="preserve">An error is a message. Read what it is telling you before you hide it or rewrite the formula.</t>
  </si>
  <si>
    <t xml:space="preserve">Audit skills: #N/A = no match found (investigate before hiding) · #VALUE! = a value of the wrong type (text in a calculation) – check the data, not the operator.</t>
  </si>
  <si>
    <t xml:space="preserve">A. Lookup – Employee master vs requests</t>
  </si>
  <si>
    <t xml:space="preserve">In F13 write a lookup that returns the employee name for the ID in E13 from the master list (A:C). Copy down. most of the 18 IDs work, but 3 return #N/A. Do NOT wrap in IFERROR yet – in column H write WHY each #N/A happened.</t>
  </si>
  <si>
    <t xml:space="preserve">Emp ID</t>
  </si>
  <si>
    <t xml:space="preserve">Name</t>
  </si>
  <si>
    <t xml:space="preserve">Dept</t>
  </si>
  <si>
    <t xml:space="preserve">Request ID</t>
  </si>
  <si>
    <t xml:space="preserve">Name (lookup)</t>
  </si>
  <si>
    <t xml:space="preserve">Result / Status</t>
  </si>
  <si>
    <t xml:space="preserve">Reason (if #N/A)</t>
  </si>
  <si>
    <t xml:space="preserve">E1021</t>
  </si>
  <si>
    <t xml:space="preserve">Emily Carter</t>
  </si>
  <si>
    <t xml:space="preserve">Ops</t>
  </si>
  <si>
    <t xml:space="preserve">E1024</t>
  </si>
  <si>
    <t xml:space="preserve">E1022</t>
  </si>
  <si>
    <t xml:space="preserve">James Walker</t>
  </si>
  <si>
    <t xml:space="preserve">Finance</t>
  </si>
  <si>
    <t xml:space="preserve">E1030</t>
  </si>
  <si>
    <t xml:space="preserve">E1023</t>
  </si>
  <si>
    <t xml:space="preserve">Olivia Brooks</t>
  </si>
  <si>
    <t xml:space="preserve">HR</t>
  </si>
  <si>
    <t xml:space="preserve">Michael Reed</t>
  </si>
  <si>
    <t xml:space="preserve">E1047</t>
  </si>
  <si>
    <t xml:space="preserve">E1025</t>
  </si>
  <si>
    <t xml:space="preserve">Sophia Turner</t>
  </si>
  <si>
    <t xml:space="preserve">E1033</t>
  </si>
  <si>
    <t xml:space="preserve">E1026</t>
  </si>
  <si>
    <t xml:space="preserve">Daniel Hughes</t>
  </si>
  <si>
    <t xml:space="preserve">E1038</t>
  </si>
  <si>
    <t xml:space="preserve">E1027</t>
  </si>
  <si>
    <t xml:space="preserve">Ava Mitchell</t>
  </si>
  <si>
    <t xml:space="preserve">E1028</t>
  </si>
  <si>
    <t xml:space="preserve">Ryan Cooper</t>
  </si>
  <si>
    <t xml:space="preserve">E1032 </t>
  </si>
  <si>
    <t xml:space="preserve">E1029</t>
  </si>
  <si>
    <t xml:space="preserve">Grace Bennett</t>
  </si>
  <si>
    <t xml:space="preserve">Tyler Morgan</t>
  </si>
  <si>
    <t xml:space="preserve">E1040</t>
  </si>
  <si>
    <t xml:space="preserve">E1031</t>
  </si>
  <si>
    <t xml:space="preserve">Hannah Price</t>
  </si>
  <si>
    <t xml:space="preserve">E1032</t>
  </si>
  <si>
    <t xml:space="preserve">Kevin Foster</t>
  </si>
  <si>
    <t xml:space="preserve">E1-035</t>
  </si>
  <si>
    <t xml:space="preserve">Lauren Hayes</t>
  </si>
  <si>
    <t xml:space="preserve">E1034</t>
  </si>
  <si>
    <t xml:space="preserve">Brandon Ellis</t>
  </si>
  <si>
    <t xml:space="preserve">E1039</t>
  </si>
  <si>
    <t xml:space="preserve">E1035</t>
  </si>
  <si>
    <t xml:space="preserve">Megan Ward</t>
  </si>
  <si>
    <t xml:space="preserve">E1036</t>
  </si>
  <si>
    <t xml:space="preserve">Justin Perry</t>
  </si>
  <si>
    <t xml:space="preserve">E1037</t>
  </si>
  <si>
    <t xml:space="preserve">Rachel Coleman</t>
  </si>
  <si>
    <t xml:space="preserve">Nathan Bryant</t>
  </si>
  <si>
    <t xml:space="preserve">Natalie Sanders</t>
  </si>
  <si>
    <t xml:space="preserve">Eric Russell</t>
  </si>
  <si>
    <t xml:space="preserve">Q. Your teammate wants to wrap the formula in IFERROR(…,0) immediately because 'it works for the others'. What is the risk?</t>
  </si>
  <si>
    <t xml:space="preserve">B. #VALUE! – Order value</t>
  </si>
  <si>
    <t xml:space="preserve">In column E write =Qty × Unit Price for each order and copy down. Some rows return #VALUE!. In F, explain what Excel is telling you. Do NOT change the * operator – find the real cause.</t>
  </si>
  <si>
    <t xml:space="preserve">Order</t>
  </si>
  <si>
    <t xml:space="preserve">Qty</t>
  </si>
  <si>
    <t xml:space="preserve">Unit Price</t>
  </si>
  <si>
    <t xml:space="preserve">Order Value</t>
  </si>
  <si>
    <t xml:space="preserve">What is wrong?</t>
  </si>
  <si>
    <t xml:space="preserve">ORD-1</t>
  </si>
  <si>
    <t xml:space="preserve">ORD-2</t>
  </si>
  <si>
    <t xml:space="preserve">TBD</t>
  </si>
  <si>
    <t xml:space="preserve">ORD-3</t>
  </si>
  <si>
    <t xml:space="preserve">ORD-4</t>
  </si>
  <si>
    <t xml:space="preserve">Pending</t>
  </si>
  <si>
    <t xml:space="preserve">ORD-5</t>
  </si>
  <si>
    <t xml:space="preserve">ORD-6</t>
  </si>
  <si>
    <t xml:space="preserve">N/A</t>
  </si>
  <si>
    <t xml:space="preserve">ORD-7</t>
  </si>
  <si>
    <t xml:space="preserve">Q. A teammate changes =B*C to =PRODUCT(B,C) and the error disappears (shows only Qty). Is the problem solved?</t>
  </si>
  <si>
    <t xml:space="preserve">Ex5 – Text Cleaning: TRIM, CLEAN, PROPER, Text to Columns, ID format</t>
  </si>
  <si>
    <t xml:space="preserve">Each function fixes a different problem. Use LEN() to prove the cleaning worked.</t>
  </si>
  <si>
    <t xml:space="preserve">Audit skills: TRIM (spaces) · CLEAN (hidden characters) · PROPER (capitalisation) · Text to Columns with a delimiter · standardise ID formats before comparing.</t>
  </si>
  <si>
    <t xml:space="preserve">A. Customer names imported from a portal</t>
  </si>
  <si>
    <t xml:space="preserve">Fill columns C–G for each row. C: remove extra spaces. D: remove hidden non-printing characters (tabs / line breaks). E: fix capitalisation. F: do all three in one formula. G: LEN of your final name. Compare G with B (LEN of raw).</t>
  </si>
  <si>
    <t xml:space="preserve">Raw Name</t>
  </si>
  <si>
    <t xml:space="preserve">LEN (raw)</t>
  </si>
  <si>
    <t xml:space="preserve">TRIM only</t>
  </si>
  <si>
    <t xml:space="preserve">CLEAN only</t>
  </si>
  <si>
    <t xml:space="preserve">PROPER only</t>
  </si>
  <si>
    <t xml:space="preserve">Fully cleaned</t>
  </si>
  <si>
    <t xml:space="preserve">LEN (clean)</t>
  </si>
  <si>
    <t xml:space="preserve">  aMANDA   wilson </t>
  </si>
  <si>
    <t xml:space="preserve">ROBERT  JOHNSON	</t>
  </si>
  <si>
    <t xml:space="preserve">
 katie anderson</t>
  </si>
  <si>
    <t xml:space="preserve">  cHRIS   lee</t>
  </si>
  <si>
    <t xml:space="preserve">Nicole Martin	  </t>
  </si>
  <si>
    <t xml:space="preserve">matthew  THOMPSON  </t>
  </si>
  <si>
    <t xml:space="preserve">  bRITTANY clark
</t>
  </si>
  <si>
    <t xml:space="preserve">JOSHUA davis    </t>
  </si>
  <si>
    <t xml:space="preserve">Q. Row 'Nicole Martin&lt;tab&gt;': compare LEN after TRIM only. Why does TRIM alone not fully fix it? Which function does?</t>
  </si>
  <si>
    <t xml:space="preserve">B. Shipment codes – split into separate columns</t>
  </si>
  <si>
    <t xml:space="preserve">Each code has the pattern OrderID/City/Status. The '/' is only a separator. Select the codes in column A and use Data → Text to Columns → Delimited → Other: '/' with Destination = the first yellow cell in column C. Expected: 3 clean columns (Order ID, City, Status).</t>
  </si>
  <si>
    <t xml:space="preserve">Shipment Code</t>
  </si>
  <si>
    <t xml:space="preserve">Order ID</t>
  </si>
  <si>
    <t xml:space="preserve">City</t>
  </si>
  <si>
    <t xml:space="preserve">SHP-7781/Denver/Dispatched</t>
  </si>
  <si>
    <t xml:space="preserve">SHP-7782/Austin/Packed</t>
  </si>
  <si>
    <t xml:space="preserve">SHP-7783/Seattle/Delivered</t>
  </si>
  <si>
    <t xml:space="preserve">SHP-7784/Phoenix/On Hold</t>
  </si>
  <si>
    <t xml:space="preserve">SHP-7785/Austin/Delivered</t>
  </si>
  <si>
    <t xml:space="preserve">SHP-7786/Denver/Packed</t>
  </si>
  <si>
    <t xml:space="preserve">SHP-7787/Phoenix/Dispatched</t>
  </si>
  <si>
    <t xml:space="preserve">Q. A colleague plans three LEFT/MID/RIGHT formulas per row. Why is Text to Columns simpler here?</t>
  </si>
  <si>
    <t xml:space="preserve">C. Matching IDs from two systems</t>
  </si>
  <si>
    <t xml:space="preserve">System A stores IDs as 5-character text with leading zeros (00412). System B stores the same IDs as numbers (412). The business confirms they are the same IDs. In C convert System B to the System A format, then in D check whether they match.</t>
  </si>
  <si>
    <t xml:space="preserve">System A ID (text)</t>
  </si>
  <si>
    <t xml:space="preserve">System B ID</t>
  </si>
  <si>
    <t xml:space="preserve">B in A-format</t>
  </si>
  <si>
    <t xml:space="preserve">Match?</t>
  </si>
  <si>
    <t xml:space="preserve">00412</t>
  </si>
  <si>
    <t xml:space="preserve">00064</t>
  </si>
  <si>
    <t xml:space="preserve">01375</t>
  </si>
  <si>
    <t xml:space="preserve">00009</t>
  </si>
  <si>
    <t xml:space="preserve">00733</t>
  </si>
  <si>
    <t xml:space="preserve">02041</t>
  </si>
  <si>
    <t xml:space="preserve">00560</t>
  </si>
  <si>
    <t xml:space="preserve">Q. After standardising, which ID still does not match, and what does that tell you?</t>
  </si>
  <si>
    <t xml:space="preserve">Ex6 – Removing Duplicates Safely &amp; Validating the Result</t>
  </si>
  <si>
    <t xml:space="preserve">Remove true duplicate rows – not every repeated value. Then prove the change is explainable.</t>
  </si>
  <si>
    <t xml:space="preserve">Audit skills: Remove Duplicates on the fields that identify a record · same amount ≠ duplicate · validate row count and totals before and after cleaning.</t>
  </si>
  <si>
    <t xml:space="preserve">Invoice No</t>
  </si>
  <si>
    <t xml:space="preserve">Vendor</t>
  </si>
  <si>
    <t xml:space="preserve">Item</t>
  </si>
  <si>
    <t xml:space="preserve">Invoice Date</t>
  </si>
  <si>
    <t xml:space="preserve">Step 1 – BEFORE cleaning: record row count and total amount below. Type them as VALUES (or paste-special values) so they don't change later.</t>
  </si>
  <si>
    <t xml:space="preserve">INV-3151</t>
  </si>
  <si>
    <t xml:space="preserve">Delta Logistics</t>
  </si>
  <si>
    <t xml:space="preserve">Office Chair</t>
  </si>
  <si>
    <t xml:space="preserve">Step 2 – Data → Remove Duplicates on A9:E71 using ALL columns (a true duplicate matches on every field).</t>
  </si>
  <si>
    <t xml:space="preserve">INV-3138</t>
  </si>
  <si>
    <t xml:space="preserve">Monitor</t>
  </si>
  <si>
    <t xml:space="preserve">Step 3 – AFTER cleaning: record the new row count and total; complete the validation table.</t>
  </si>
  <si>
    <t xml:space="preserve">INV-3144</t>
  </si>
  <si>
    <t xml:space="preserve">Cables</t>
  </si>
  <si>
    <t xml:space="preserve">Step 4 – Answer the questions.</t>
  </si>
  <si>
    <t xml:space="preserve">INV-3150</t>
  </si>
  <si>
    <t xml:space="preserve">Crystal Office</t>
  </si>
  <si>
    <t xml:space="preserve">Laptop Stand</t>
  </si>
  <si>
    <t xml:space="preserve">INV-3145</t>
  </si>
  <si>
    <t xml:space="preserve">Validation check</t>
  </si>
  <si>
    <t xml:space="preserve">Before</t>
  </si>
  <si>
    <t xml:space="preserve">After</t>
  </si>
  <si>
    <t xml:space="preserve">INV-3127</t>
  </si>
  <si>
    <t xml:space="preserve">Row count (data rows)</t>
  </si>
  <si>
    <t xml:space="preserve">INV-3105</t>
  </si>
  <si>
    <t xml:space="preserve">Apex Supplies</t>
  </si>
  <si>
    <t xml:space="preserve">Courier Charges</t>
  </si>
  <si>
    <t xml:space="preserve">Total Amount ($)</t>
  </si>
  <si>
    <t xml:space="preserve">INV-3139</t>
  </si>
  <si>
    <t xml:space="preserve">Evergreen IT</t>
  </si>
  <si>
    <t xml:space="preserve">A4 Paper</t>
  </si>
  <si>
    <t xml:space="preserve">Rows removed (formula)</t>
  </si>
  <si>
    <t xml:space="preserve">INV-3123</t>
  </si>
  <si>
    <t xml:space="preserve">Printer Toner</t>
  </si>
  <si>
    <t xml:space="preserve">Duplicates expected to be removed</t>
  </si>
  <si>
    <t xml:space="preserve">← given by data owner</t>
  </si>
  <si>
    <t xml:space="preserve">INV-3134</t>
  </si>
  <si>
    <t xml:space="preserve">Check: removed = expected?</t>
  </si>
  <si>
    <t xml:space="preserve">INV-3109</t>
  </si>
  <si>
    <t xml:space="preserve">Amount removed (formula)</t>
  </si>
  <si>
    <t xml:space="preserve">INV-3142</t>
  </si>
  <si>
    <t xml:space="preserve">INV-3129</t>
  </si>
  <si>
    <t xml:space="preserve">Liberty Traders</t>
  </si>
  <si>
    <t xml:space="preserve">Q1. A teammate wants to Remove Duplicates using only the Amount column. How many rows would remain and why is that risky?</t>
  </si>
  <si>
    <t xml:space="preserve">INV-3137</t>
  </si>
  <si>
    <t xml:space="preserve">INV-3103</t>
  </si>
  <si>
    <t xml:space="preserve">Q2. The file has fewer rows after cleaning. Is that enough to say the cleaning was correct?</t>
  </si>
  <si>
    <t xml:space="preserve">INV-3202</t>
  </si>
  <si>
    <t xml:space="preserve">INV-3112</t>
  </si>
  <si>
    <t xml:space="preserve">Q3. After TRIM and ID standardisation the totals did not change but the row count did. Is that a problem?</t>
  </si>
  <si>
    <t xml:space="preserve">INV-3141</t>
  </si>
  <si>
    <t xml:space="preserve">INV-3147</t>
  </si>
  <si>
    <t xml:space="preserve">INV-3124</t>
  </si>
  <si>
    <t xml:space="preserve">INV-3121</t>
  </si>
  <si>
    <t xml:space="preserve">INV-3140</t>
  </si>
  <si>
    <t xml:space="preserve">INV-3110</t>
  </si>
  <si>
    <t xml:space="preserve">INV-3111</t>
  </si>
  <si>
    <t xml:space="preserve">INV-3102</t>
  </si>
  <si>
    <t xml:space="preserve">INV-3135</t>
  </si>
  <si>
    <t xml:space="preserve">INV-3116</t>
  </si>
  <si>
    <t xml:space="preserve">INV-3203</t>
  </si>
  <si>
    <t xml:space="preserve">INV-3104</t>
  </si>
  <si>
    <t xml:space="preserve">INV-3136</t>
  </si>
  <si>
    <t xml:space="preserve">INV-3133</t>
  </si>
  <si>
    <t xml:space="preserve">INV-3108</t>
  </si>
  <si>
    <t xml:space="preserve">INV-3106</t>
  </si>
  <si>
    <t xml:space="preserve">INV-3126</t>
  </si>
  <si>
    <t xml:space="preserve">INV-3117</t>
  </si>
  <si>
    <t xml:space="preserve">INV-3120</t>
  </si>
  <si>
    <t xml:space="preserve">INV-3101</t>
  </si>
  <si>
    <t xml:space="preserve">INV-3149</t>
  </si>
  <si>
    <t xml:space="preserve">INV-3125</t>
  </si>
  <si>
    <t xml:space="preserve">INV-3146</t>
  </si>
  <si>
    <t xml:space="preserve">INV-3128</t>
  </si>
  <si>
    <t xml:space="preserve">INV-3115</t>
  </si>
  <si>
    <t xml:space="preserve">INV-3201</t>
  </si>
  <si>
    <t xml:space="preserve">INV-3204</t>
  </si>
  <si>
    <t xml:space="preserve">INV-3152</t>
  </si>
  <si>
    <t xml:space="preserve">INV-3114</t>
  </si>
  <si>
    <t xml:space="preserve">INV-3113</t>
  </si>
  <si>
    <t xml:space="preserve">INV-3143</t>
  </si>
  <si>
    <t xml:space="preserve">INV-3131</t>
  </si>
  <si>
    <t xml:space="preserve">INV-3132</t>
  </si>
  <si>
    <t xml:space="preserve">INV-3119</t>
  </si>
  <si>
    <t xml:space="preserve">INV-3122</t>
  </si>
  <si>
    <t xml:space="preserve">Software Licence</t>
  </si>
  <si>
    <t xml:space="preserve">INV-3107</t>
  </si>
  <si>
    <t xml:space="preserve">INV-3130</t>
  </si>
  <si>
    <t xml:space="preserve">INV-3148</t>
  </si>
  <si>
    <t xml:space="preserve">INV-3118</t>
  </si>
  <si>
    <t xml:space="preserve">Ex7 – Raw sales data (needs restructuring)</t>
  </si>
  <si>
    <t xml:space="preserve">TASK 1 – Before building any PivotTable, inspect this sheet. It has blank rows and a repeated heading row in the middle. Delete them so there is ONE heading row and one continuous block of data.</t>
  </si>
  <si>
    <t xml:space="preserve">Data heading is in row 9.</t>
  </si>
  <si>
    <t xml:space="preserve">Expected after cleaning: 1 heading row + 144 data rows (rows 10–153). Quick check: =COUNTA(A10:A500) should give 144.</t>
  </si>
  <si>
    <t xml:space="preserve">TASK 2 – Insert → PivotTable (new sheet). Rows: Region; Values: Sum of Amount. You should get one total per region, not 144 detail rows.</t>
  </si>
  <si>
    <t xml:space="preserve">TASK 3 – Add a Slicer for Category so a manager can click between categories without rebuilding the report.</t>
  </si>
  <si>
    <t xml:space="preserve">Month</t>
  </si>
  <si>
    <t xml:space="preserve">TASK 4 – Build a second PivotTable with Month in Rows and Sum of Amount, then add a PivotChart (Line) to show whether sales are rising or falling.</t>
  </si>
  <si>
    <t xml:space="preserve">Jan</t>
  </si>
  <si>
    <t xml:space="preserve">Training</t>
  </si>
  <si>
    <t xml:space="preserve">TASK 5 – If your PivotTable shows every single row, you have put Amount (or an ID) in Rows. Move Amount to Values and set it to Sum.</t>
  </si>
  <si>
    <t xml:space="preserve">Software</t>
  </si>
  <si>
    <t xml:space="preserve">South</t>
  </si>
  <si>
    <t xml:space="preserve">Services</t>
  </si>
  <si>
    <t xml:space="preserve">Record your PivotTable results on sheet Ex7_Pivot.</t>
  </si>
  <si>
    <t xml:space="preserve">Hardware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</si>
  <si>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</si>
  <si>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</si>
  <si>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</si>
  <si>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</si>
  <si>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</si>
  <si>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</si>
  <si>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</si>
  <si>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</si>
  <si>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</si>
  <si>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</si>
  <si>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</si>
  <si>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Ex7 – PivotTable Results &amp; Questions</t>
  </si>
  <si>
    <t xml:space="preserve">Fill in the totals from YOUR PivotTable. (Solutions file shows SUMIFS check formulas – they should equal the PivotTable.)</t>
  </si>
  <si>
    <t xml:space="preserve">Audit skills: clean structure first (one heading row, no blank rows) · PivotTable to summarise · Slicer/Filter to switch · PivotChart to see trend.</t>
  </si>
  <si>
    <t xml:space="preserve">Sum of Amount</t>
  </si>
  <si>
    <t xml:space="preserve">Grand Total</t>
  </si>
  <si>
    <t xml:space="preserve">Q1. Why must the blank rows and repeated heading be removed before inserting the PivotTable?</t>
  </si>
  <si>
    <t xml:space="preserve">Q2. Your manager says: 'I don't need the 144 rows, just one total per region.' Which feature and which layout?</t>
  </si>
  <si>
    <t xml:space="preserve">Q3. The manager wants to switch between Hardware, Software, etc. during a meeting. A colleague suggests one sheet per category. Better option?</t>
  </si>
  <si>
    <t xml:space="preserve">Q4. 'I can read the 12 monthly totals but want to see the direction at a glance.' What do you add, and what does it show here?</t>
  </si>
  <si>
    <t xml:space="preserve">Q5. Do the Region Grand Total and the Month Grand Total agree? Why is that a useful check?</t>
  </si>
  <si>
    <t xml:space="preserve">Ex8 – Scenario Questions (audit style)</t>
  </si>
  <si>
    <t xml:space="preserve">Read each situation and choose the BEST action from the dropdown in column G. In column H, write one line on why.</t>
  </si>
  <si>
    <t xml:space="preserve">All 20 situations mirror audit topics, but with different numbers and cell addresses. Pick the BEST action – think about what the requirement really asks.</t>
  </si>
  <si>
    <t xml:space="preserve">#</t>
  </si>
  <si>
    <t xml:space="preserve">Scenario</t>
  </si>
  <si>
    <t xml:space="preserve">A</t>
  </si>
  <si>
    <t xml:space="preserve">B</t>
  </si>
  <si>
    <t xml:space="preserve">C</t>
  </si>
  <si>
    <t xml:space="preserve">D</t>
  </si>
  <si>
    <t xml:space="preserve">Your answer</t>
  </si>
  <si>
    <t xml:space="preserve">Why? (Solutions: explanation)</t>
  </si>
  <si>
    <t xml:space="preserve">Cells E12:E17 hold 16, 23, blank, 0, 37, blank. Your manager asks how many cells contain numbers.</t>
  </si>
  <si>
    <t xml:space="preserve">=COUNT(E12:E17) → 3</t>
  </si>
  <si>
    <t xml:space="preserve">=COUNT(E12:E17) → 4</t>
  </si>
  <si>
    <t xml:space="preserve">=COUNTBLANK(E12:E17) → 2</t>
  </si>
  <si>
    <t xml:space="preserve">Count manually → 6</t>
  </si>
  <si>
    <t xml:space="preserve">F11:F14 hold 92, blank, 74, 83. A colleague averages by dividing the total by 4.</t>
  </si>
  <si>
    <t xml:space="preserve">Result 62.25 is correct</t>
  </si>
  <si>
    <t xml:space="preserve">=AVERAGE(F11:F14) → 83</t>
  </si>
  <si>
    <t xml:space="preserve">Replace blank with 0 first</t>
  </si>
  <si>
    <t xml:space="preserve">=SUM(F11:F14)/3 is the only way</t>
  </si>
  <si>
    <t xml:space="preserve">Budget $2,400; actual spend $2,760. What is the % variance?</t>
  </si>
  <si>
    <t xml:space="preserve">360%</t>
  </si>
  <si>
    <t xml:space="preserve">15% over budget</t>
  </si>
  <si>
    <t xml:space="preserve">13% over budget</t>
  </si>
  <si>
    <t xml:space="preserve">-15%</t>
  </si>
  <si>
    <t xml:space="preserve">You need to apply a fixed tax rate in M3 to 500 rows by copying one formula down.</t>
  </si>
  <si>
    <t xml:space="preserve">=A5*M3</t>
  </si>
  <si>
    <t xml:space="preserve">=A5*M$3 or =A5*$M$3</t>
  </si>
  <si>
    <t xml:space="preserve">=$A$5*$M$3</t>
  </si>
  <si>
    <t xml:space="preserve">Type the rate in each row</t>
  </si>
  <si>
    <t xml:space="preserve">A formula =F23*1.1 is copied from row 23 to row 24 and becomes =F24*1.1.</t>
  </si>
  <si>
    <t xml:space="preserve">Excel error – undo</t>
  </si>
  <si>
    <t xml:space="preserve">Correct – relative reference</t>
  </si>
  <si>
    <t xml:space="preserve">Must change to $F$23</t>
  </si>
  <si>
    <t xml:space="preserve">Turn off auto-calc</t>
  </si>
  <si>
    <t xml:space="preserve">You must view only 'Returned' orders for 10 minutes; other rows must remain for later.</t>
  </si>
  <si>
    <t xml:space="preserve">Delete other rows</t>
  </si>
  <si>
    <t xml:space="preserve">Sort by Status</t>
  </si>
  <si>
    <t xml:space="preserve">Filter Status = Returned</t>
  </si>
  <si>
    <t xml:space="preserve">Copy to new file</t>
  </si>
  <si>
    <t xml:space="preserve">A list of 940 claims must show the largest claims first, with all claims still visible.</t>
  </si>
  <si>
    <t xml:space="preserve">Filter top 10</t>
  </si>
  <si>
    <t xml:space="preserve">Sort Largest → Smallest</t>
  </si>
  <si>
    <t xml:space="preserve">Freeze Panes</t>
  </si>
  <si>
    <t xml:space="preserve">Conditional delete</t>
  </si>
  <si>
    <t xml:space="preserve">On row 1,500 you can't tell which column is 'Due Date'. Data is correct.</t>
  </si>
  <si>
    <t xml:space="preserve">Copy headings every 65 rows</t>
  </si>
  <si>
    <t xml:space="preserve">Freeze Top Row</t>
  </si>
  <si>
    <t xml:space="preserve">Sort by heading</t>
  </si>
  <si>
    <t xml:space="preserve">Remove blanks</t>
  </si>
  <si>
    <t xml:space="preserve">A cell holds 0.065 and must display 6.5% without changing the value.</t>
  </si>
  <si>
    <t xml:space="preserve">Retype it as 6.5</t>
  </si>
  <si>
    <t xml:space="preserve">Type 6.5% in a new cell</t>
  </si>
  <si>
    <t xml:space="preserve">Apply Percentage format (1 dp)</t>
  </si>
  <si>
    <t xml:space="preserve">Use TEXT and delete original</t>
  </si>
  <si>
    <t xml:space="preserve">A lookup works for 49 IDs but gives #N/A for one ID.</t>
  </si>
  <si>
    <t xml:space="preserve">Wrap in IFERROR(…,0) immediately</t>
  </si>
  <si>
    <t xml:space="preserve">Check whether the ID exists / is typed differently</t>
  </si>
  <si>
    <t xml:space="preserve">Delete the row</t>
  </si>
  <si>
    <t xml:space="preserve">Rewrite the formula</t>
  </si>
  <si>
    <t xml:space="preserve">=K9+L9 gives #VALUE!; K9 = 480, L9 = 'Awaited'.</t>
  </si>
  <si>
    <t xml:space="preserve">The + operator is wrong</t>
  </si>
  <si>
    <t xml:space="preserve">L9 contains text, not a number</t>
  </si>
  <si>
    <t xml:space="preserve">Excel needs recalculating</t>
  </si>
  <si>
    <t xml:space="preserve">Use SUM to hide it</t>
  </si>
  <si>
    <t xml:space="preserve">Names look like '  sARAH   miller ' and some contain hidden line breaks.</t>
  </si>
  <si>
    <t xml:space="preserve">TRIM + CLEAN + PROPER</t>
  </si>
  <si>
    <t xml:space="preserve">Retype manually</t>
  </si>
  <si>
    <t xml:space="preserve">Values look like 'C210;Austin;Open' in one column and must be split into 3 columns.</t>
  </si>
  <si>
    <t xml:space="preserve">Text to Columns with ';' delimiter</t>
  </si>
  <si>
    <t xml:space="preserve">Text to Columns with ',' delimiter</t>
  </si>
  <si>
    <t xml:space="preserve">Remove Duplicates</t>
  </si>
  <si>
    <t xml:space="preserve">PROPER</t>
  </si>
  <si>
    <t xml:space="preserve">List A has ID '000562', List B has 562. Business confirms same ID. Lookup says different.</t>
  </si>
  <si>
    <t xml:space="preserve">IDs are different – report it</t>
  </si>
  <si>
    <t xml:space="preserve">Standardise the format, then compare</t>
  </si>
  <si>
    <t xml:space="preserve">Delete leading zeros by hand in one row</t>
  </si>
  <si>
    <t xml:space="preserve">Ignore the list</t>
  </si>
  <si>
    <t xml:space="preserve">Two rows have amount $4,500 but different invoice numbers and items.</t>
  </si>
  <si>
    <t xml:space="preserve">Remove one as duplicate</t>
  </si>
  <si>
    <t xml:space="preserve">Keep both – not duplicates</t>
  </si>
  <si>
    <t xml:space="preserve">Average them</t>
  </si>
  <si>
    <t xml:space="preserve">Filter them out</t>
  </si>
  <si>
    <t xml:space="preserve">Rows: 2,400 before cleaning, 2,388 after. Owner expected 9 duplicates.</t>
  </si>
  <si>
    <t xml:space="preserve">Fine – fewer rows expected</t>
  </si>
  <si>
    <t xml:space="preserve">Investigate the 3 extra rows removed</t>
  </si>
  <si>
    <t xml:space="preserve">Add 3 blank rows</t>
  </si>
  <si>
    <t xml:space="preserve">Re-run Remove Duplicates</t>
  </si>
  <si>
    <t xml:space="preserve">Data has a second header row midway and blank rows; you're asked for a PivotTable.</t>
  </si>
  <si>
    <t xml:space="preserve">Insert PivotTable now</t>
  </si>
  <si>
    <t xml:space="preserve">Restructure into one clean table first</t>
  </si>
  <si>
    <t xml:space="preserve">Use Freeze Panes</t>
  </si>
  <si>
    <t xml:space="preserve">Sort by Month</t>
  </si>
  <si>
    <t xml:space="preserve">500 rows of Department + Cost; manager wants one total per department.</t>
  </si>
  <si>
    <t xml:space="preserve">Sort by Department</t>
  </si>
  <si>
    <t xml:space="preserve">PivotTable: Department in Rows, Sum of Cost</t>
  </si>
  <si>
    <t xml:space="preserve">Filter each department</t>
  </si>
  <si>
    <t xml:space="preserve">Text to Columns</t>
  </si>
  <si>
    <t xml:space="preserve">Manager wants to flip between departments in an existing PivotTable during a call.</t>
  </si>
  <si>
    <t xml:space="preserve">Rebuild the Pivot each time</t>
  </si>
  <si>
    <t xml:space="preserve">Add a Slicer for Department</t>
  </si>
  <si>
    <t xml:space="preserve">Create one sheet per dept</t>
  </si>
  <si>
    <t xml:space="preserve">Sort Pivot</t>
  </si>
  <si>
    <t xml:space="preserve">A PivotTable shows 12 monthly totals; manager wants to see the trend quickly.</t>
  </si>
  <si>
    <t xml:space="preserve">Add a PivotChart</t>
  </si>
  <si>
    <t xml:space="preserve">Add more decimals</t>
  </si>
  <si>
    <t xml:space="preserve">Score yourself using the Solutions workbook.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</si>
</sst>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0"/>
    <numFmt numFmtId="167" formatCode="0.0%"/>
    <numFmt numFmtId="168" formatCode="0.00%"/>
    <numFmt numFmtId="169" formatCode="#,##0.00"/>
    <numFmt numFmtId="170" formatCode="dd\-mmm\-yyyy"/>
    <numFmt numFmtId="171" formatCode="0.000"/>
    <numFmt numFmtId="172" formatCode="@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DEEAF6"/>
        <bgColor rgb="FFE2EFDA"/>
      </patternFill>
    </fill>
    <fill>
      <patternFill patternType="solid">
        <fgColor rgb="FFE2EFDA"/>
        <bgColor rgb="FFDEEAF6"/>
      </patternFill>
    </fill>
    <fill>
      <patternFill patternType="solid">
        <fgColor rgb="FF2F5597"/>
        <bgColor rgb="FF1F386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62"/>
    <col collapsed="false" customWidth="true" hidden="false" outlineLevel="0" max="4" min="4" style="0" width="18"/>
    <col collapsed="false" customWidth="true" hidden="false" outlineLevel="0" max="6" min="5" style="0" width="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3"/>
      <c r="B5" s="3"/>
      <c r="C5" s="3"/>
      <c r="D5" s="3"/>
    </row>
    <row r="6" customFormat="false" ht="15" hidden="false" customHeight="false" outlineLevel="0" collapsed="false">
      <c r="A6" s="3"/>
      <c r="B6" s="3"/>
      <c r="C6" s="3"/>
      <c r="D6" s="3"/>
    </row>
    <row r="7" customFormat="false" ht="15" hidden="false" customHeight="false" outlineLevel="0" collapsed="false">
      <c r="A7" s="3"/>
      <c r="B7" s="3"/>
      <c r="C7" s="3"/>
      <c r="D7" s="3"/>
    </row>
    <row r="9" customFormat="false" ht="15" hidden="false" customHeight="false" outlineLevel="0" collapsed="false">
      <c r="A9" s="4" t="s">
        <v>3</v>
      </c>
    </row>
    <row r="10" customFormat="false" ht="27.75" hidden="false" customHeight="true" outlineLevel="0" collapsed="false">
      <c r="B10" s="5" t="s">
        <v>4</v>
      </c>
      <c r="C10" s="5"/>
      <c r="D10" s="5"/>
    </row>
    <row r="11" customFormat="false" ht="27.75" hidden="false" customHeight="true" outlineLevel="0" collapsed="false">
      <c r="B11" s="5" t="s">
        <v>5</v>
      </c>
      <c r="C11" s="5"/>
      <c r="D11" s="5"/>
    </row>
    <row r="12" customFormat="false" ht="27.75" hidden="false" customHeight="true" outlineLevel="0" collapsed="false">
      <c r="B12" s="5" t="s">
        <v>6</v>
      </c>
      <c r="C12" s="5"/>
      <c r="D12" s="5"/>
    </row>
    <row r="13" customFormat="false" ht="27.75" hidden="false" customHeight="true" outlineLevel="0" collapsed="false">
      <c r="B13" s="5" t="s">
        <v>7</v>
      </c>
      <c r="C13" s="5"/>
      <c r="D13" s="5"/>
    </row>
    <row r="14" customFormat="false" ht="27.75" hidden="false" customHeight="true" outlineLevel="0" collapsed="false">
      <c r="B14" s="5" t="s">
        <v>8</v>
      </c>
      <c r="C14" s="5"/>
      <c r="D14" s="5"/>
    </row>
    <row r="16" customFormat="false" ht="15" hidden="false" customHeight="false" outlineLevel="0" collapsed="false">
      <c r="A16" s="4" t="s">
        <v>9</v>
      </c>
    </row>
    <row r="17" customFormat="false" ht="15" hidden="false" customHeight="false" outlineLevel="0" collapsed="false">
      <c r="B17" s="6"/>
      <c r="C17" s="7" t="s">
        <v>10</v>
      </c>
    </row>
    <row r="18" customFormat="false" ht="15" hidden="false" customHeight="false" outlineLevel="0" collapsed="false">
      <c r="B18" s="8"/>
      <c r="C18" s="7" t="s">
        <v>11</v>
      </c>
    </row>
    <row r="19" customFormat="false" ht="15" hidden="false" customHeight="false" outlineLevel="0" collapsed="false">
      <c r="B19" s="9"/>
      <c r="C19" s="7" t="s">
        <v>12</v>
      </c>
    </row>
    <row r="21" customFormat="false" ht="15" hidden="false" customHeight="false" outlineLevel="0" collapsed="false">
      <c r="A21" s="4" t="s">
        <v>13</v>
      </c>
    </row>
    <row r="22" customFormat="false" ht="15" hidden="false" customHeight="false" outlineLevel="0" collapsed="false">
      <c r="B22" s="10" t="s">
        <v>14</v>
      </c>
      <c r="C22" s="10" t="s">
        <v>15</v>
      </c>
      <c r="D22" s="10" t="s">
        <v>16</v>
      </c>
    </row>
    <row r="23" customFormat="false" ht="27.75" hidden="false" customHeight="true" outlineLevel="0" collapsed="false">
      <c r="B23" s="11" t="s">
        <v>17</v>
      </c>
      <c r="C23" s="12" t="s">
        <v>18</v>
      </c>
      <c r="D23" s="13" t="s">
        <v>19</v>
      </c>
    </row>
    <row r="24" customFormat="false" ht="27.75" hidden="false" customHeight="true" outlineLevel="0" collapsed="false">
      <c r="B24" s="11" t="s">
        <v>20</v>
      </c>
      <c r="C24" s="12" t="s">
        <v>21</v>
      </c>
      <c r="D24" s="13" t="s">
        <v>22</v>
      </c>
    </row>
    <row r="25" customFormat="false" ht="27.75" hidden="false" customHeight="true" outlineLevel="0" collapsed="false">
      <c r="B25" s="11" t="s">
        <v>23</v>
      </c>
      <c r="C25" s="12" t="s">
        <v>24</v>
      </c>
      <c r="D25" s="13" t="s">
        <v>25</v>
      </c>
    </row>
    <row r="26" customFormat="false" ht="27.75" hidden="false" customHeight="true" outlineLevel="0" collapsed="false">
      <c r="B26" s="11" t="s">
        <v>26</v>
      </c>
      <c r="C26" s="12" t="s">
        <v>27</v>
      </c>
      <c r="D26" s="13" t="s">
        <v>28</v>
      </c>
    </row>
    <row r="27" customFormat="false" ht="27.75" hidden="false" customHeight="true" outlineLevel="0" collapsed="false">
      <c r="B27" s="11" t="s">
        <v>29</v>
      </c>
      <c r="C27" s="12" t="s">
        <v>30</v>
      </c>
      <c r="D27" s="13" t="s">
        <v>31</v>
      </c>
    </row>
    <row r="28" customFormat="false" ht="27.75" hidden="false" customHeight="true" outlineLevel="0" collapsed="false">
      <c r="B28" s="11" t="s">
        <v>32</v>
      </c>
      <c r="C28" s="12" t="s">
        <v>33</v>
      </c>
      <c r="D28" s="13" t="s">
        <v>34</v>
      </c>
    </row>
    <row r="29" customFormat="false" ht="27.75" hidden="false" customHeight="true" outlineLevel="0" collapsed="false">
      <c r="B29" s="11" t="s">
        <v>35</v>
      </c>
      <c r="C29" s="12" t="s">
        <v>36</v>
      </c>
      <c r="D29" s="13" t="s">
        <v>37</v>
      </c>
    </row>
    <row r="30" customFormat="false" ht="27.75" hidden="false" customHeight="true" outlineLevel="0" collapsed="false">
      <c r="B30" s="11" t="s">
        <v>38</v>
      </c>
      <c r="C30" s="12" t="s">
        <v>39</v>
      </c>
      <c r="D30" s="13" t="s">
        <v>40</v>
      </c>
    </row>
  </sheetData>
  <mergeCells count="8">
    <mergeCell ref="A1:F1"/>
    <mergeCell ref="A2:F2"/>
    <mergeCell ref="A4:D7"/>
    <mergeCell ref="B10:D10"/>
    <mergeCell ref="B11:D11"/>
    <mergeCell ref="B12:D12"/>
    <mergeCell ref="B13:D13"/>
    <mergeCell ref="B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8" min="4" style="0" width="22"/>
  </cols>
  <sheetData>
    <row r="1" customFormat="false" ht="25.5" hidden="false" customHeight="true" outlineLevel="0" collapsed="false">
      <c r="A1" s="1" t="s">
        <v>41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42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43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9" customFormat="false" ht="15" hidden="false" customHeight="false" outlineLevel="0" collapsed="false">
      <c r="A9" s="4" t="s">
        <v>44</v>
      </c>
    </row>
    <row r="10" customFormat="false" ht="42" hidden="false" customHeight="true" outlineLevel="0" collapsed="false">
      <c r="A10" s="14" t="s">
        <v>45</v>
      </c>
      <c r="B10" s="14"/>
      <c r="C10" s="14"/>
      <c r="D10" s="14"/>
      <c r="E10" s="14"/>
      <c r="F10" s="14"/>
      <c r="G10" s="14"/>
      <c r="H10" s="14"/>
    </row>
    <row r="11" customFormat="false" ht="15" hidden="false" customHeight="false" outlineLevel="0" collapsed="false">
      <c r="A11" s="10" t="s">
        <v>46</v>
      </c>
      <c r="B11" s="10" t="s">
        <v>47</v>
      </c>
    </row>
    <row r="12" customFormat="false" ht="15" hidden="false" customHeight="false" outlineLevel="0" collapsed="false">
      <c r="A12" s="13" t="s">
        <v>48</v>
      </c>
      <c r="B12" s="15" t="n">
        <v>265</v>
      </c>
      <c r="D12" s="16" t="s">
        <v>49</v>
      </c>
      <c r="E12" s="17"/>
    </row>
    <row r="13" customFormat="false" ht="15" hidden="false" customHeight="false" outlineLevel="0" collapsed="false">
      <c r="A13" s="13" t="s">
        <v>50</v>
      </c>
      <c r="B13" s="15" t="n">
        <v>340</v>
      </c>
      <c r="D13" s="7" t="s">
        <v>51</v>
      </c>
    </row>
    <row r="14" customFormat="false" ht="45" hidden="false" customHeight="true" outlineLevel="0" collapsed="false">
      <c r="A14" s="13" t="s">
        <v>52</v>
      </c>
      <c r="B14" s="15" t="n">
        <v>195</v>
      </c>
      <c r="D14" s="18"/>
      <c r="E14" s="18"/>
      <c r="F14" s="18"/>
      <c r="G14" s="18"/>
    </row>
    <row r="15" customFormat="false" ht="15" hidden="false" customHeight="false" outlineLevel="0" collapsed="false">
      <c r="A15" s="13" t="s">
        <v>53</v>
      </c>
      <c r="B15" s="15" t="n">
        <v>415</v>
      </c>
    </row>
    <row r="17" customFormat="false" ht="15" hidden="false" customHeight="false" outlineLevel="0" collapsed="false">
      <c r="A17" s="4" t="s">
        <v>54</v>
      </c>
    </row>
    <row r="18" customFormat="false" ht="30" hidden="false" customHeight="true" outlineLevel="0" collapsed="false">
      <c r="A18" s="14" t="s">
        <v>55</v>
      </c>
      <c r="B18" s="14"/>
      <c r="C18" s="14"/>
      <c r="D18" s="14"/>
      <c r="E18" s="14"/>
      <c r="F18" s="14"/>
      <c r="G18" s="14"/>
      <c r="H18" s="14"/>
    </row>
    <row r="19" customFormat="false" ht="23.85" hidden="false" customHeight="false" outlineLevel="0" collapsed="false">
      <c r="A19" s="10" t="s">
        <v>56</v>
      </c>
      <c r="B19" s="10" t="s">
        <v>57</v>
      </c>
    </row>
    <row r="20" customFormat="false" ht="15" hidden="false" customHeight="false" outlineLevel="0" collapsed="false">
      <c r="A20" s="13" t="s">
        <v>58</v>
      </c>
      <c r="B20" s="13" t="n">
        <v>42</v>
      </c>
      <c r="D20" s="16" t="s">
        <v>59</v>
      </c>
      <c r="E20" s="19"/>
    </row>
    <row r="21" customFormat="false" ht="15" hidden="false" customHeight="false" outlineLevel="0" collapsed="false">
      <c r="A21" s="13" t="s">
        <v>60</v>
      </c>
      <c r="B21" s="13"/>
      <c r="D21" s="7" t="s">
        <v>61</v>
      </c>
    </row>
    <row r="22" customFormat="false" ht="45" hidden="false" customHeight="true" outlineLevel="0" collapsed="false">
      <c r="A22" s="13" t="s">
        <v>62</v>
      </c>
      <c r="B22" s="13" t="n">
        <v>0</v>
      </c>
      <c r="D22" s="18"/>
      <c r="E22" s="18"/>
      <c r="F22" s="18"/>
      <c r="G22" s="18"/>
    </row>
    <row r="23" customFormat="false" ht="15" hidden="false" customHeight="false" outlineLevel="0" collapsed="false">
      <c r="A23" s="13" t="s">
        <v>63</v>
      </c>
      <c r="B23" s="13" t="n">
        <v>67</v>
      </c>
    </row>
    <row r="24" customFormat="false" ht="15" hidden="false" customHeight="false" outlineLevel="0" collapsed="false">
      <c r="A24" s="13" t="s">
        <v>64</v>
      </c>
      <c r="B24" s="13"/>
      <c r="D24" s="7" t="s">
        <v>65</v>
      </c>
      <c r="E24" s="19"/>
    </row>
    <row r="25" customFormat="false" ht="15" hidden="false" customHeight="false" outlineLevel="0" collapsed="false">
      <c r="A25" s="13" t="s">
        <v>66</v>
      </c>
      <c r="B25" s="13" t="n">
        <v>85</v>
      </c>
    </row>
    <row r="26" customFormat="false" ht="15" hidden="false" customHeight="false" outlineLevel="0" collapsed="false">
      <c r="A26" s="13" t="s">
        <v>67</v>
      </c>
      <c r="B26" s="13" t="n">
        <v>0</v>
      </c>
    </row>
    <row r="27" customFormat="false" ht="15" hidden="false" customHeight="false" outlineLevel="0" collapsed="false">
      <c r="A27" s="13" t="s">
        <v>68</v>
      </c>
      <c r="B27" s="13" t="n">
        <v>33</v>
      </c>
    </row>
    <row r="29" customFormat="false" ht="15" hidden="false" customHeight="false" outlineLevel="0" collapsed="false">
      <c r="A29" s="4" t="s">
        <v>69</v>
      </c>
    </row>
    <row r="30" customFormat="false" ht="30" hidden="false" customHeight="true" outlineLevel="0" collapsed="false">
      <c r="A30" s="14" t="s">
        <v>70</v>
      </c>
      <c r="B30" s="14"/>
      <c r="C30" s="14"/>
      <c r="D30" s="14"/>
      <c r="E30" s="14"/>
      <c r="F30" s="14"/>
      <c r="G30" s="14"/>
      <c r="H30" s="14"/>
    </row>
    <row r="31" customFormat="false" ht="15" hidden="false" customHeight="false" outlineLevel="0" collapsed="false">
      <c r="A31" s="10" t="s">
        <v>71</v>
      </c>
      <c r="B31" s="10" t="s">
        <v>72</v>
      </c>
    </row>
    <row r="32" customFormat="false" ht="15" hidden="false" customHeight="false" outlineLevel="0" collapsed="false">
      <c r="A32" s="13" t="s">
        <v>73</v>
      </c>
      <c r="B32" s="13" t="n">
        <v>72</v>
      </c>
      <c r="D32" s="16" t="s">
        <v>74</v>
      </c>
      <c r="E32" s="20"/>
    </row>
    <row r="33" customFormat="false" ht="15" hidden="false" customHeight="false" outlineLevel="0" collapsed="false">
      <c r="A33" s="13" t="s">
        <v>75</v>
      </c>
      <c r="B33" s="13"/>
      <c r="D33" s="7" t="s">
        <v>76</v>
      </c>
      <c r="E33" s="20"/>
    </row>
    <row r="34" customFormat="false" ht="15" hidden="false" customHeight="false" outlineLevel="0" collapsed="false">
      <c r="A34" s="13" t="s">
        <v>77</v>
      </c>
      <c r="B34" s="13" t="n">
        <v>86</v>
      </c>
      <c r="D34" s="7" t="s">
        <v>78</v>
      </c>
    </row>
    <row r="35" customFormat="false" ht="45" hidden="false" customHeight="true" outlineLevel="0" collapsed="false">
      <c r="A35" s="13" t="s">
        <v>79</v>
      </c>
      <c r="B35" s="13" t="n">
        <v>64</v>
      </c>
      <c r="D35" s="18"/>
      <c r="E35" s="18"/>
      <c r="F35" s="18"/>
      <c r="G35" s="18"/>
    </row>
    <row r="36" customFormat="false" ht="15" hidden="false" customHeight="false" outlineLevel="0" collapsed="false">
      <c r="A36" s="13" t="s">
        <v>80</v>
      </c>
      <c r="B36" s="13"/>
    </row>
    <row r="37" customFormat="false" ht="15" hidden="false" customHeight="false" outlineLevel="0" collapsed="false">
      <c r="A37" s="13" t="s">
        <v>81</v>
      </c>
      <c r="B37" s="13" t="n">
        <v>94</v>
      </c>
    </row>
    <row r="39" customFormat="false" ht="15" hidden="false" customHeight="false" outlineLevel="0" collapsed="false">
      <c r="A39" s="4" t="s">
        <v>82</v>
      </c>
    </row>
    <row r="40" customFormat="false" ht="42" hidden="false" customHeight="true" outlineLevel="0" collapsed="false">
      <c r="A40" s="14" t="s">
        <v>83</v>
      </c>
      <c r="B40" s="14"/>
      <c r="C40" s="14"/>
      <c r="D40" s="14"/>
      <c r="E40" s="14"/>
      <c r="F40" s="14"/>
      <c r="G40" s="14"/>
      <c r="H40" s="14"/>
    </row>
    <row r="41" customFormat="false" ht="23.85" hidden="false" customHeight="false" outlineLevel="0" collapsed="false">
      <c r="A41" s="10" t="s">
        <v>84</v>
      </c>
      <c r="B41" s="10" t="s">
        <v>85</v>
      </c>
      <c r="C41" s="10" t="s">
        <v>86</v>
      </c>
      <c r="D41" s="10" t="s">
        <v>87</v>
      </c>
      <c r="E41" s="10" t="s">
        <v>88</v>
      </c>
    </row>
    <row r="42" customFormat="false" ht="15" hidden="false" customHeight="false" outlineLevel="0" collapsed="false">
      <c r="A42" s="13" t="s">
        <v>89</v>
      </c>
      <c r="B42" s="15" t="n">
        <v>520</v>
      </c>
      <c r="C42" s="15" t="n">
        <v>481</v>
      </c>
      <c r="D42" s="21"/>
      <c r="E42" s="19"/>
    </row>
    <row r="43" customFormat="false" ht="15" hidden="false" customHeight="false" outlineLevel="0" collapsed="false">
      <c r="A43" s="13" t="s">
        <v>90</v>
      </c>
      <c r="B43" s="15" t="n">
        <v>260</v>
      </c>
      <c r="C43" s="15" t="n">
        <v>325</v>
      </c>
      <c r="D43" s="21"/>
      <c r="E43" s="19"/>
    </row>
    <row r="44" customFormat="false" ht="15" hidden="false" customHeight="false" outlineLevel="0" collapsed="false">
      <c r="A44" s="13" t="s">
        <v>91</v>
      </c>
      <c r="B44" s="15" t="n">
        <v>1400</v>
      </c>
      <c r="C44" s="15" t="n">
        <v>1526</v>
      </c>
      <c r="D44" s="21"/>
      <c r="E44" s="19"/>
    </row>
    <row r="45" customFormat="false" ht="15" hidden="false" customHeight="false" outlineLevel="0" collapsed="false">
      <c r="A45" s="13" t="s">
        <v>92</v>
      </c>
      <c r="B45" s="15" t="n">
        <v>84</v>
      </c>
      <c r="C45" s="15" t="n">
        <v>63</v>
      </c>
      <c r="D45" s="21"/>
      <c r="E45" s="19"/>
    </row>
    <row r="46" customFormat="false" ht="15" hidden="false" customHeight="false" outlineLevel="0" collapsed="false">
      <c r="A46" s="13" t="s">
        <v>93</v>
      </c>
      <c r="B46" s="15" t="n">
        <v>650</v>
      </c>
      <c r="C46" s="15" t="n">
        <v>650</v>
      </c>
      <c r="D46" s="21"/>
      <c r="E46" s="19"/>
    </row>
    <row r="47" customFormat="false" ht="15" hidden="false" customHeight="false" outlineLevel="0" collapsed="false">
      <c r="A47" s="7" t="s">
        <v>94</v>
      </c>
    </row>
    <row r="48" customFormat="false" ht="45" hidden="false" customHeight="true" outlineLevel="0" collapsed="false">
      <c r="A48" s="18"/>
      <c r="B48" s="18"/>
      <c r="C48" s="18"/>
      <c r="D48" s="18"/>
      <c r="E48" s="18"/>
    </row>
  </sheetData>
  <mergeCells count="11">
    <mergeCell ref="A1:H1"/>
    <mergeCell ref="A2:H2"/>
    <mergeCell ref="A4:H7"/>
    <mergeCell ref="A10:H10"/>
    <mergeCell ref="D14:G14"/>
    <mergeCell ref="A18:H18"/>
    <mergeCell ref="D22:G22"/>
    <mergeCell ref="A30:H30"/>
    <mergeCell ref="D35:G35"/>
    <mergeCell ref="A40:H40"/>
    <mergeCell ref="A48:E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6" min="4" style="0" width="18"/>
    <col collapsed="false" customWidth="true" hidden="false" outlineLevel="0" max="9" min="7" style="0" width="4"/>
    <col collapsed="false" customWidth="true" hidden="false" outlineLevel="0" max="10" min="10" style="0" width="18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96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97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J6" s="16" t="s">
        <v>98</v>
      </c>
      <c r="K6" s="22" t="n">
        <v>0.045</v>
      </c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J7" s="16" t="s">
        <v>99</v>
      </c>
      <c r="K7" s="23" t="n">
        <v>0.0725</v>
      </c>
    </row>
    <row r="9" customFormat="false" ht="45" hidden="false" customHeight="true" outlineLevel="0" collapsed="false">
      <c r="A9" s="14" t="s">
        <v>100</v>
      </c>
      <c r="B9" s="14"/>
      <c r="C9" s="14"/>
      <c r="D9" s="14"/>
      <c r="E9" s="14"/>
      <c r="F9" s="14"/>
    </row>
    <row r="10" customFormat="false" ht="30" hidden="false" customHeight="true" outlineLevel="0" collapsed="false">
      <c r="A10" s="14" t="s">
        <v>101</v>
      </c>
      <c r="B10" s="14"/>
      <c r="C10" s="14"/>
      <c r="D10" s="14"/>
      <c r="E10" s="14"/>
      <c r="F10" s="14"/>
    </row>
    <row r="12" customFormat="false" ht="23.85" hidden="false" customHeight="false" outlineLevel="0" collapsed="false">
      <c r="A12" s="10" t="s">
        <v>102</v>
      </c>
      <c r="B12" s="10" t="s">
        <v>103</v>
      </c>
      <c r="C12" s="10" t="s">
        <v>104</v>
      </c>
      <c r="D12" s="10" t="s">
        <v>105</v>
      </c>
      <c r="E12" s="10" t="s">
        <v>106</v>
      </c>
      <c r="F12" s="10" t="s">
        <v>107</v>
      </c>
    </row>
    <row r="13" customFormat="false" ht="15" hidden="false" customHeight="false" outlineLevel="0" collapsed="false">
      <c r="A13" s="13" t="s">
        <v>108</v>
      </c>
      <c r="B13" s="13" t="s">
        <v>109</v>
      </c>
      <c r="C13" s="15" t="n">
        <v>58750</v>
      </c>
      <c r="D13" s="24" t="n">
        <f aca="false">C13*K6</f>
        <v>2643.75</v>
      </c>
      <c r="E13" s="25"/>
      <c r="F13" s="25"/>
    </row>
    <row r="14" customFormat="false" ht="15" hidden="false" customHeight="false" outlineLevel="0" collapsed="false">
      <c r="A14" s="13" t="s">
        <v>110</v>
      </c>
      <c r="B14" s="13" t="s">
        <v>109</v>
      </c>
      <c r="C14" s="15" t="n">
        <v>46500</v>
      </c>
      <c r="D14" s="24" t="n">
        <f aca="false">C14*K7</f>
        <v>3371.25</v>
      </c>
      <c r="E14" s="25"/>
      <c r="F14" s="25"/>
    </row>
    <row r="15" customFormat="false" ht="15" hidden="false" customHeight="false" outlineLevel="0" collapsed="false">
      <c r="A15" s="13" t="s">
        <v>111</v>
      </c>
      <c r="B15" s="13" t="s">
        <v>112</v>
      </c>
      <c r="C15" s="15" t="n">
        <v>91250</v>
      </c>
      <c r="D15" s="24" t="n">
        <f aca="false">C15*K8</f>
        <v>0</v>
      </c>
      <c r="E15" s="25"/>
      <c r="F15" s="25"/>
    </row>
    <row r="16" customFormat="false" ht="15" hidden="false" customHeight="false" outlineLevel="0" collapsed="false">
      <c r="A16" s="13" t="s">
        <v>113</v>
      </c>
      <c r="B16" s="13" t="s">
        <v>112</v>
      </c>
      <c r="C16" s="15" t="n">
        <v>93000</v>
      </c>
      <c r="D16" s="24" t="n">
        <f aca="false">C16*K9</f>
        <v>0</v>
      </c>
      <c r="E16" s="25"/>
      <c r="F16" s="25"/>
    </row>
    <row r="17" customFormat="false" ht="15" hidden="false" customHeight="false" outlineLevel="0" collapsed="false">
      <c r="A17" s="13" t="s">
        <v>114</v>
      </c>
      <c r="B17" s="13" t="s">
        <v>112</v>
      </c>
      <c r="C17" s="15" t="n">
        <v>48500</v>
      </c>
      <c r="D17" s="24" t="n">
        <f aca="false">C17*K10</f>
        <v>0</v>
      </c>
      <c r="E17" s="25"/>
      <c r="F17" s="25"/>
    </row>
    <row r="18" customFormat="false" ht="15" hidden="false" customHeight="false" outlineLevel="0" collapsed="false">
      <c r="A18" s="13" t="s">
        <v>115</v>
      </c>
      <c r="B18" s="13" t="s">
        <v>109</v>
      </c>
      <c r="C18" s="15" t="n">
        <v>28250</v>
      </c>
      <c r="D18" s="24" t="n">
        <f aca="false">C18*K11</f>
        <v>0</v>
      </c>
      <c r="E18" s="25"/>
      <c r="F18" s="25"/>
    </row>
    <row r="19" customFormat="false" ht="15" hidden="false" customHeight="false" outlineLevel="0" collapsed="false">
      <c r="A19" s="13" t="s">
        <v>116</v>
      </c>
      <c r="B19" s="13" t="s">
        <v>109</v>
      </c>
      <c r="C19" s="15" t="n">
        <v>54750</v>
      </c>
      <c r="D19" s="24" t="n">
        <f aca="false">C19*K12</f>
        <v>0</v>
      </c>
      <c r="E19" s="25"/>
      <c r="F19" s="25"/>
    </row>
    <row r="20" customFormat="false" ht="15" hidden="false" customHeight="false" outlineLevel="0" collapsed="false">
      <c r="A20" s="13" t="s">
        <v>117</v>
      </c>
      <c r="B20" s="13" t="s">
        <v>109</v>
      </c>
      <c r="C20" s="15" t="n">
        <v>75500</v>
      </c>
      <c r="D20" s="24" t="n">
        <f aca="false">C20*K13</f>
        <v>0</v>
      </c>
      <c r="E20" s="25"/>
      <c r="F20" s="25"/>
    </row>
    <row r="21" customFormat="false" ht="15" hidden="false" customHeight="false" outlineLevel="0" collapsed="false">
      <c r="A21" s="13" t="s">
        <v>118</v>
      </c>
      <c r="B21" s="13" t="s">
        <v>109</v>
      </c>
      <c r="C21" s="15" t="n">
        <v>80750</v>
      </c>
      <c r="D21" s="24" t="n">
        <f aca="false">C21*K14</f>
        <v>0</v>
      </c>
      <c r="E21" s="25"/>
      <c r="F21" s="25"/>
    </row>
    <row r="22" customFormat="false" ht="15" hidden="false" customHeight="false" outlineLevel="0" collapsed="false">
      <c r="A22" s="13" t="s">
        <v>119</v>
      </c>
      <c r="B22" s="13" t="s">
        <v>120</v>
      </c>
      <c r="C22" s="15" t="n">
        <v>44750</v>
      </c>
      <c r="D22" s="24" t="n">
        <f aca="false">C22*K15</f>
        <v>0</v>
      </c>
      <c r="E22" s="25"/>
      <c r="F22" s="25"/>
    </row>
    <row r="23" customFormat="false" ht="15" hidden="false" customHeight="false" outlineLevel="0" collapsed="false">
      <c r="A23" s="13" t="s">
        <v>121</v>
      </c>
      <c r="B23" s="13" t="s">
        <v>112</v>
      </c>
      <c r="C23" s="15" t="n">
        <v>50000</v>
      </c>
      <c r="D23" s="24" t="n">
        <f aca="false">C23*K16</f>
        <v>0</v>
      </c>
      <c r="E23" s="25"/>
      <c r="F23" s="25"/>
    </row>
    <row r="24" customFormat="false" ht="15" hidden="false" customHeight="false" outlineLevel="0" collapsed="false">
      <c r="A24" s="13" t="s">
        <v>122</v>
      </c>
      <c r="B24" s="13" t="s">
        <v>120</v>
      </c>
      <c r="C24" s="15" t="n">
        <v>63500</v>
      </c>
      <c r="D24" s="24" t="n">
        <f aca="false">C24*K17</f>
        <v>0</v>
      </c>
      <c r="E24" s="25"/>
      <c r="F24" s="25"/>
    </row>
    <row r="25" customFormat="false" ht="15" hidden="false" customHeight="false" outlineLevel="0" collapsed="false">
      <c r="A25" s="13" t="s">
        <v>123</v>
      </c>
      <c r="B25" s="13" t="s">
        <v>112</v>
      </c>
      <c r="C25" s="15" t="n">
        <v>83500</v>
      </c>
      <c r="D25" s="24" t="n">
        <f aca="false">C25*K18</f>
        <v>0</v>
      </c>
      <c r="E25" s="25"/>
      <c r="F25" s="25"/>
    </row>
    <row r="26" customFormat="false" ht="15" hidden="false" customHeight="false" outlineLevel="0" collapsed="false">
      <c r="A26" s="13" t="s">
        <v>124</v>
      </c>
      <c r="B26" s="13" t="s">
        <v>109</v>
      </c>
      <c r="C26" s="15" t="n">
        <v>61500</v>
      </c>
      <c r="D26" s="24" t="n">
        <f aca="false">C26*K19</f>
        <v>0</v>
      </c>
      <c r="E26" s="25"/>
      <c r="F26" s="25"/>
    </row>
    <row r="27" customFormat="false" ht="15" hidden="false" customHeight="false" outlineLevel="0" collapsed="false">
      <c r="A27" s="13" t="s">
        <v>125</v>
      </c>
      <c r="B27" s="13" t="s">
        <v>109</v>
      </c>
      <c r="C27" s="15" t="n">
        <v>89250</v>
      </c>
      <c r="D27" s="24" t="n">
        <f aca="false">C27*K20</f>
        <v>0</v>
      </c>
      <c r="E27" s="25"/>
      <c r="F27" s="25"/>
    </row>
    <row r="28" customFormat="false" ht="15" hidden="false" customHeight="false" outlineLevel="0" collapsed="false">
      <c r="A28" s="13" t="s">
        <v>126</v>
      </c>
      <c r="B28" s="13" t="s">
        <v>120</v>
      </c>
      <c r="C28" s="15" t="n">
        <v>54750</v>
      </c>
      <c r="D28" s="24" t="n">
        <f aca="false">C28*K21</f>
        <v>0</v>
      </c>
      <c r="E28" s="25"/>
      <c r="F28" s="25"/>
    </row>
    <row r="29" customFormat="false" ht="15" hidden="false" customHeight="false" outlineLevel="0" collapsed="false">
      <c r="A29" s="13" t="s">
        <v>127</v>
      </c>
      <c r="B29" s="13" t="s">
        <v>112</v>
      </c>
      <c r="C29" s="15" t="n">
        <v>36000</v>
      </c>
      <c r="D29" s="24" t="n">
        <f aca="false">C29*K22</f>
        <v>0</v>
      </c>
      <c r="E29" s="25"/>
      <c r="F29" s="25"/>
    </row>
    <row r="30" customFormat="false" ht="15" hidden="false" customHeight="false" outlineLevel="0" collapsed="false">
      <c r="A30" s="13" t="s">
        <v>128</v>
      </c>
      <c r="B30" s="13" t="s">
        <v>120</v>
      </c>
      <c r="C30" s="15" t="n">
        <v>21000</v>
      </c>
      <c r="D30" s="24" t="n">
        <f aca="false">C30*K23</f>
        <v>0</v>
      </c>
      <c r="E30" s="25"/>
      <c r="F30" s="25"/>
    </row>
    <row r="31" customFormat="false" ht="15" hidden="false" customHeight="false" outlineLevel="0" collapsed="false">
      <c r="A31" s="13" t="s">
        <v>129</v>
      </c>
      <c r="B31" s="13" t="s">
        <v>120</v>
      </c>
      <c r="C31" s="15" t="n">
        <v>64500</v>
      </c>
      <c r="D31" s="24" t="n">
        <f aca="false">C31*K24</f>
        <v>0</v>
      </c>
      <c r="E31" s="25"/>
      <c r="F31" s="25"/>
    </row>
    <row r="32" customFormat="false" ht="15" hidden="false" customHeight="false" outlineLevel="0" collapsed="false">
      <c r="A32" s="13" t="s">
        <v>130</v>
      </c>
      <c r="B32" s="13" t="s">
        <v>112</v>
      </c>
      <c r="C32" s="15" t="n">
        <v>72000</v>
      </c>
      <c r="D32" s="24" t="n">
        <f aca="false">C32*K25</f>
        <v>0</v>
      </c>
      <c r="E32" s="25"/>
      <c r="F32" s="25"/>
    </row>
    <row r="33" customFormat="false" ht="15" hidden="false" customHeight="false" outlineLevel="0" collapsed="false">
      <c r="B33" s="11" t="s">
        <v>131</v>
      </c>
      <c r="C33" s="26" t="n">
        <f aca="false">SUM(C13:C32)</f>
        <v>1218000</v>
      </c>
      <c r="E33" s="25"/>
    </row>
    <row r="35" customFormat="false" ht="15" hidden="false" customHeight="false" outlineLevel="0" collapsed="false">
      <c r="A35" s="27" t="s">
        <v>132</v>
      </c>
      <c r="B35" s="27"/>
      <c r="C35" s="27"/>
      <c r="D35" s="27"/>
      <c r="E35" s="27"/>
      <c r="F35" s="27"/>
    </row>
    <row r="36" customFormat="false" ht="36" hidden="false" customHeight="true" outlineLevel="0" collapsed="false">
      <c r="A36" s="18"/>
      <c r="B36" s="18"/>
      <c r="C36" s="18"/>
      <c r="D36" s="18"/>
      <c r="E36" s="18"/>
      <c r="F36" s="18"/>
    </row>
    <row r="37" customFormat="false" ht="15" hidden="false" customHeight="false" outlineLevel="0" collapsed="false">
      <c r="A37" s="27" t="s">
        <v>133</v>
      </c>
      <c r="B37" s="27"/>
      <c r="C37" s="27"/>
      <c r="D37" s="27"/>
      <c r="E37" s="27"/>
      <c r="F37" s="27"/>
    </row>
    <row r="38" customFormat="false" ht="36" hidden="false" customHeight="true" outlineLevel="0" collapsed="false">
      <c r="A38" s="18"/>
      <c r="B38" s="18"/>
      <c r="C38" s="18"/>
      <c r="D38" s="18"/>
      <c r="E38" s="18"/>
      <c r="F38" s="18"/>
    </row>
    <row r="39" customFormat="false" ht="15" hidden="false" customHeight="false" outlineLevel="0" collapsed="false">
      <c r="A39" s="27" t="s">
        <v>134</v>
      </c>
      <c r="B39" s="27"/>
      <c r="C39" s="27"/>
      <c r="D39" s="27"/>
      <c r="E39" s="27"/>
      <c r="F39" s="27"/>
    </row>
    <row r="40" customFormat="false" ht="36" hidden="false" customHeight="true" outlineLevel="0" collapsed="false">
      <c r="A40" s="18"/>
      <c r="B40" s="18"/>
      <c r="C40" s="18"/>
      <c r="D40" s="18"/>
      <c r="E40" s="18"/>
      <c r="F40" s="18"/>
    </row>
    <row r="41" customFormat="false" ht="15" hidden="false" customHeight="false" outlineLevel="0" collapsed="false">
      <c r="A41" s="27" t="s">
        <v>135</v>
      </c>
      <c r="B41" s="27"/>
      <c r="C41" s="27"/>
      <c r="D41" s="27"/>
      <c r="E41" s="27"/>
      <c r="F41" s="27"/>
    </row>
    <row r="42" customFormat="false" ht="36" hidden="false" customHeight="true" outlineLevel="0" collapsed="false">
      <c r="A42" s="18"/>
      <c r="B42" s="18"/>
      <c r="C42" s="18"/>
      <c r="D42" s="18"/>
      <c r="E42" s="18"/>
      <c r="F42" s="18"/>
    </row>
  </sheetData>
  <mergeCells count="13">
    <mergeCell ref="A1:H1"/>
    <mergeCell ref="A2:H2"/>
    <mergeCell ref="A4:F7"/>
    <mergeCell ref="A9:F9"/>
    <mergeCell ref="A10:F10"/>
    <mergeCell ref="A35:F35"/>
    <mergeCell ref="A36:F36"/>
    <mergeCell ref="A37:F37"/>
    <mergeCell ref="A38:F38"/>
    <mergeCell ref="A39:F39"/>
    <mergeCell ref="A40:F40"/>
    <mergeCell ref="A41:F41"/>
    <mergeCell ref="A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7" min="7" style="0" width="12"/>
    <col collapsed="false" customWidth="true" hidden="false" outlineLevel="0" max="8" min="8" style="0" width="3"/>
    <col collapsed="false" customWidth="true" hidden="false" outlineLevel="0" max="9" min="9" style="0" width="46"/>
    <col collapsed="false" customWidth="true" hidden="false" outlineLevel="0" max="10" min="10" style="0" width="18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28" t="s">
        <v>136</v>
      </c>
      <c r="B1" s="28"/>
      <c r="C1" s="28"/>
      <c r="D1" s="28"/>
      <c r="E1" s="28"/>
      <c r="F1" s="28"/>
      <c r="G1" s="28"/>
      <c r="I1" s="4" t="s">
        <v>137</v>
      </c>
    </row>
    <row r="2" customFormat="false" ht="51.75" hidden="false" customHeight="true" outlineLevel="0" collapsed="false">
      <c r="I2" s="14" t="s">
        <v>138</v>
      </c>
      <c r="J2" s="14"/>
      <c r="K2" s="14"/>
    </row>
    <row r="3" customFormat="false" ht="31.5" hidden="false" customHeight="true" outlineLevel="0" collapsed="false">
      <c r="A3" s="3" t="s">
        <v>139</v>
      </c>
      <c r="B3" s="3"/>
      <c r="C3" s="3"/>
      <c r="D3" s="3"/>
      <c r="E3" s="3"/>
      <c r="F3" s="3"/>
      <c r="G3" s="3"/>
      <c r="I3" s="18"/>
      <c r="J3" s="18"/>
      <c r="K3" s="18"/>
    </row>
    <row r="4" customFormat="false" ht="51.75" hidden="false" customHeight="true" outlineLevel="0" collapsed="false">
      <c r="A4" s="3"/>
      <c r="B4" s="3"/>
      <c r="C4" s="3"/>
      <c r="D4" s="3"/>
      <c r="E4" s="3"/>
      <c r="F4" s="3"/>
      <c r="G4" s="3"/>
      <c r="I4" s="14" t="s">
        <v>140</v>
      </c>
      <c r="J4" s="14"/>
      <c r="K4" s="14"/>
    </row>
    <row r="5" customFormat="false" ht="31.5" hidden="false" customHeight="true" outlineLevel="0" collapsed="false">
      <c r="A5" s="3"/>
      <c r="B5" s="3"/>
      <c r="C5" s="3"/>
      <c r="D5" s="3"/>
      <c r="E5" s="3"/>
      <c r="F5" s="3"/>
      <c r="G5" s="3"/>
      <c r="I5" s="18"/>
      <c r="J5" s="18"/>
      <c r="K5" s="18"/>
    </row>
    <row r="6" customFormat="false" ht="51.75" hidden="false" customHeight="true" outlineLevel="0" collapsed="false">
      <c r="A6" s="3"/>
      <c r="B6" s="3"/>
      <c r="C6" s="3"/>
      <c r="D6" s="3"/>
      <c r="E6" s="3"/>
      <c r="F6" s="3"/>
      <c r="G6" s="3"/>
      <c r="I6" s="14" t="s">
        <v>141</v>
      </c>
      <c r="J6" s="14"/>
      <c r="K6" s="14"/>
    </row>
    <row r="7" customFormat="false" ht="31.5" hidden="false" customHeight="true" outlineLevel="0" collapsed="false">
      <c r="A7" s="3"/>
      <c r="B7" s="3"/>
      <c r="C7" s="3"/>
      <c r="D7" s="3"/>
      <c r="E7" s="3"/>
      <c r="F7" s="3"/>
      <c r="G7" s="3"/>
      <c r="I7" s="18"/>
      <c r="J7" s="18"/>
      <c r="K7" s="18"/>
    </row>
    <row r="8" customFormat="false" ht="51.75" hidden="false" customHeight="true" outlineLevel="0" collapsed="false">
      <c r="I8" s="14" t="s">
        <v>142</v>
      </c>
      <c r="J8" s="14"/>
      <c r="K8" s="14"/>
    </row>
    <row r="9" customFormat="false" ht="31.5" hidden="false" customHeight="true" outlineLevel="0" collapsed="false">
      <c r="A9" s="10" t="s">
        <v>143</v>
      </c>
      <c r="B9" s="10" t="s">
        <v>144</v>
      </c>
      <c r="C9" s="10" t="s">
        <v>145</v>
      </c>
      <c r="D9" s="10" t="s">
        <v>146</v>
      </c>
      <c r="E9" s="10" t="s">
        <v>147</v>
      </c>
      <c r="F9" s="10" t="s">
        <v>148</v>
      </c>
      <c r="G9" s="10" t="s">
        <v>149</v>
      </c>
      <c r="I9" s="18"/>
      <c r="J9" s="18"/>
      <c r="K9" s="18"/>
    </row>
    <row r="10" customFormat="false" ht="51.75" hidden="false" customHeight="true" outlineLevel="0" collapsed="false">
      <c r="A10" s="7" t="s">
        <v>150</v>
      </c>
      <c r="B10" s="29" t="n">
        <v>46203</v>
      </c>
      <c r="C10" s="7" t="s">
        <v>151</v>
      </c>
      <c r="D10" s="7" t="s">
        <v>152</v>
      </c>
      <c r="E10" s="30" t="n">
        <v>11595</v>
      </c>
      <c r="F10" s="31" t="n">
        <v>0.085</v>
      </c>
      <c r="G10" s="7" t="s">
        <v>153</v>
      </c>
      <c r="I10" s="14" t="s">
        <v>154</v>
      </c>
      <c r="J10" s="14"/>
      <c r="K10" s="14"/>
    </row>
    <row r="11" customFormat="false" ht="31.5" hidden="false" customHeight="true" outlineLevel="0" collapsed="false">
      <c r="A11" s="7" t="s">
        <v>155</v>
      </c>
      <c r="B11" s="29" t="n">
        <v>46145</v>
      </c>
      <c r="C11" s="7" t="s">
        <v>156</v>
      </c>
      <c r="D11" s="7" t="s">
        <v>157</v>
      </c>
      <c r="E11" s="30" t="n">
        <v>46931</v>
      </c>
      <c r="F11" s="31" t="n">
        <v>0.065</v>
      </c>
      <c r="G11" s="7" t="s">
        <v>153</v>
      </c>
      <c r="I11" s="18"/>
      <c r="J11" s="18"/>
      <c r="K11" s="18"/>
    </row>
    <row r="12" customFormat="false" ht="15" hidden="false" customHeight="false" outlineLevel="0" collapsed="false">
      <c r="A12" s="7" t="s">
        <v>158</v>
      </c>
      <c r="B12" s="29" t="n">
        <v>46220</v>
      </c>
      <c r="C12" s="7" t="s">
        <v>151</v>
      </c>
      <c r="D12" s="7" t="s">
        <v>159</v>
      </c>
      <c r="E12" s="30" t="n">
        <v>68372</v>
      </c>
      <c r="F12" s="31" t="n">
        <v>0.02</v>
      </c>
      <c r="G12" s="7" t="s">
        <v>153</v>
      </c>
    </row>
    <row r="13" customFormat="false" ht="15" hidden="false" customHeight="false" outlineLevel="0" collapsed="false">
      <c r="A13" s="7" t="s">
        <v>160</v>
      </c>
      <c r="B13" s="29" t="n">
        <v>46251</v>
      </c>
      <c r="C13" s="7" t="s">
        <v>151</v>
      </c>
      <c r="D13" s="7" t="s">
        <v>157</v>
      </c>
      <c r="E13" s="30" t="n">
        <v>64788</v>
      </c>
      <c r="F13" s="31" t="n">
        <v>0.045</v>
      </c>
      <c r="G13" s="7" t="s">
        <v>161</v>
      </c>
      <c r="I13" s="4" t="s">
        <v>162</v>
      </c>
    </row>
    <row r="14" customFormat="false" ht="15" hidden="false" customHeight="false" outlineLevel="0" collapsed="false">
      <c r="A14" s="7" t="s">
        <v>163</v>
      </c>
      <c r="B14" s="29" t="n">
        <v>46171</v>
      </c>
      <c r="C14" s="7" t="s">
        <v>164</v>
      </c>
      <c r="D14" s="7" t="s">
        <v>152</v>
      </c>
      <c r="E14" s="30" t="n">
        <v>58362</v>
      </c>
      <c r="F14" s="31" t="n">
        <v>0.085</v>
      </c>
      <c r="G14" s="7" t="s">
        <v>153</v>
      </c>
      <c r="I14" s="10" t="s">
        <v>165</v>
      </c>
      <c r="J14" s="10" t="s">
        <v>143</v>
      </c>
      <c r="K14" s="10" t="s">
        <v>166</v>
      </c>
    </row>
    <row r="15" customFormat="false" ht="15" hidden="false" customHeight="false" outlineLevel="0" collapsed="false">
      <c r="A15" s="7" t="s">
        <v>167</v>
      </c>
      <c r="B15" s="29" t="n">
        <v>46180</v>
      </c>
      <c r="C15" s="7" t="s">
        <v>168</v>
      </c>
      <c r="D15" s="7" t="s">
        <v>159</v>
      </c>
      <c r="E15" s="30" t="n">
        <v>14549</v>
      </c>
      <c r="F15" s="31" t="n">
        <v>0.11</v>
      </c>
      <c r="G15" s="7" t="s">
        <v>153</v>
      </c>
      <c r="I15" s="13" t="s">
        <v>169</v>
      </c>
      <c r="J15" s="19"/>
      <c r="K15" s="17"/>
    </row>
    <row r="16" customFormat="false" ht="15" hidden="false" customHeight="false" outlineLevel="0" collapsed="false">
      <c r="A16" s="7" t="s">
        <v>170</v>
      </c>
      <c r="B16" s="29" t="n">
        <v>46158</v>
      </c>
      <c r="C16" s="7" t="s">
        <v>151</v>
      </c>
      <c r="D16" s="7" t="s">
        <v>152</v>
      </c>
      <c r="E16" s="30" t="n">
        <v>49990</v>
      </c>
      <c r="F16" s="31" t="n">
        <v>0.045</v>
      </c>
      <c r="G16" s="7" t="s">
        <v>161</v>
      </c>
      <c r="I16" s="13" t="s">
        <v>171</v>
      </c>
      <c r="J16" s="19"/>
      <c r="K16" s="17"/>
    </row>
    <row r="17" customFormat="false" ht="15" hidden="false" customHeight="false" outlineLevel="0" collapsed="false">
      <c r="A17" s="7" t="s">
        <v>172</v>
      </c>
      <c r="B17" s="29" t="n">
        <v>46194</v>
      </c>
      <c r="C17" s="7" t="s">
        <v>164</v>
      </c>
      <c r="D17" s="7" t="s">
        <v>173</v>
      </c>
      <c r="E17" s="30" t="n">
        <v>59272</v>
      </c>
      <c r="F17" s="31" t="n">
        <v>0.11</v>
      </c>
      <c r="G17" s="7" t="s">
        <v>174</v>
      </c>
      <c r="I17" s="13" t="s">
        <v>175</v>
      </c>
      <c r="J17" s="19"/>
      <c r="K17" s="17"/>
    </row>
    <row r="18" customFormat="false" ht="15" hidden="false" customHeight="false" outlineLevel="0" collapsed="false">
      <c r="A18" s="7" t="s">
        <v>176</v>
      </c>
      <c r="B18" s="29" t="n">
        <v>46233</v>
      </c>
      <c r="C18" s="7" t="s">
        <v>164</v>
      </c>
      <c r="D18" s="7" t="s">
        <v>159</v>
      </c>
      <c r="E18" s="30" t="n">
        <v>93236</v>
      </c>
      <c r="F18" s="31" t="n">
        <v>0.11</v>
      </c>
      <c r="G18" s="7" t="s">
        <v>153</v>
      </c>
      <c r="I18" s="13" t="s">
        <v>177</v>
      </c>
      <c r="J18" s="19"/>
      <c r="K18" s="17"/>
    </row>
    <row r="19" customFormat="false" ht="15" hidden="false" customHeight="false" outlineLevel="0" collapsed="false">
      <c r="A19" s="7" t="s">
        <v>178</v>
      </c>
      <c r="B19" s="29" t="n">
        <v>46151</v>
      </c>
      <c r="C19" s="7" t="s">
        <v>168</v>
      </c>
      <c r="D19" s="7" t="s">
        <v>157</v>
      </c>
      <c r="E19" s="30" t="n">
        <v>87230</v>
      </c>
      <c r="F19" s="31" t="n">
        <v>0.11</v>
      </c>
      <c r="G19" s="7" t="s">
        <v>174</v>
      </c>
      <c r="I19" s="13" t="s">
        <v>179</v>
      </c>
      <c r="J19" s="19"/>
      <c r="K19" s="17"/>
    </row>
    <row r="20" customFormat="false" ht="15" hidden="false" customHeight="false" outlineLevel="0" collapsed="false">
      <c r="A20" s="7" t="s">
        <v>180</v>
      </c>
      <c r="B20" s="29" t="n">
        <v>46172</v>
      </c>
      <c r="C20" s="7" t="s">
        <v>151</v>
      </c>
      <c r="D20" s="7" t="s">
        <v>152</v>
      </c>
      <c r="E20" s="30" t="n">
        <v>70031</v>
      </c>
      <c r="F20" s="31" t="n">
        <v>0.045</v>
      </c>
      <c r="G20" s="7" t="s">
        <v>181</v>
      </c>
      <c r="I20" s="13" t="s">
        <v>182</v>
      </c>
      <c r="J20" s="19"/>
    </row>
    <row r="21" customFormat="false" ht="15" hidden="false" customHeight="false" outlineLevel="0" collapsed="false">
      <c r="A21" s="7" t="s">
        <v>183</v>
      </c>
      <c r="B21" s="29" t="n">
        <v>46208</v>
      </c>
      <c r="C21" s="7" t="s">
        <v>156</v>
      </c>
      <c r="D21" s="7" t="s">
        <v>157</v>
      </c>
      <c r="E21" s="30" t="n">
        <v>57515</v>
      </c>
      <c r="F21" s="31" t="n">
        <v>0.085</v>
      </c>
      <c r="G21" s="7" t="s">
        <v>181</v>
      </c>
      <c r="I21" s="13" t="s">
        <v>184</v>
      </c>
      <c r="J21" s="19"/>
    </row>
    <row r="22" customFormat="false" ht="15" hidden="false" customHeight="false" outlineLevel="0" collapsed="false">
      <c r="A22" s="7" t="s">
        <v>185</v>
      </c>
      <c r="B22" s="29" t="n">
        <v>46261</v>
      </c>
      <c r="C22" s="7" t="s">
        <v>156</v>
      </c>
      <c r="D22" s="7" t="s">
        <v>159</v>
      </c>
      <c r="E22" s="30" t="n">
        <v>46861</v>
      </c>
      <c r="F22" s="31" t="n">
        <v>0.11</v>
      </c>
      <c r="G22" s="7" t="s">
        <v>153</v>
      </c>
      <c r="I22" s="13" t="s">
        <v>186</v>
      </c>
      <c r="J22" s="19"/>
    </row>
    <row r="23" customFormat="false" ht="15" hidden="false" customHeight="false" outlineLevel="0" collapsed="false">
      <c r="A23" s="7" t="s">
        <v>187</v>
      </c>
      <c r="B23" s="29" t="n">
        <v>46237</v>
      </c>
      <c r="C23" s="7" t="s">
        <v>168</v>
      </c>
      <c r="D23" s="7" t="s">
        <v>152</v>
      </c>
      <c r="E23" s="30" t="n">
        <v>61365</v>
      </c>
      <c r="F23" s="31" t="n">
        <v>0.14</v>
      </c>
      <c r="G23" s="7" t="s">
        <v>174</v>
      </c>
      <c r="I23" s="13" t="s">
        <v>188</v>
      </c>
      <c r="J23" s="17"/>
    </row>
    <row r="24" customFormat="false" ht="15" hidden="false" customHeight="false" outlineLevel="0" collapsed="false">
      <c r="A24" s="7" t="s">
        <v>189</v>
      </c>
      <c r="B24" s="29" t="n">
        <v>46246</v>
      </c>
      <c r="C24" s="7" t="s">
        <v>151</v>
      </c>
      <c r="D24" s="7" t="s">
        <v>173</v>
      </c>
      <c r="E24" s="30" t="n">
        <v>30859</v>
      </c>
      <c r="F24" s="31" t="n">
        <v>0.11</v>
      </c>
      <c r="G24" s="7" t="s">
        <v>153</v>
      </c>
      <c r="I24" s="13" t="s">
        <v>190</v>
      </c>
      <c r="J24" s="32"/>
    </row>
    <row r="25" customFormat="false" ht="15" hidden="false" customHeight="false" outlineLevel="0" collapsed="false">
      <c r="A25" s="7" t="s">
        <v>191</v>
      </c>
      <c r="B25" s="29" t="n">
        <v>46189</v>
      </c>
      <c r="C25" s="7" t="s">
        <v>156</v>
      </c>
      <c r="D25" s="7" t="s">
        <v>152</v>
      </c>
      <c r="E25" s="30" t="n">
        <v>49360</v>
      </c>
      <c r="F25" s="31" t="n">
        <v>0.02</v>
      </c>
      <c r="G25" s="7" t="s">
        <v>161</v>
      </c>
    </row>
    <row r="26" customFormat="false" ht="15" hidden="false" customHeight="false" outlineLevel="0" collapsed="false">
      <c r="A26" s="7" t="s">
        <v>192</v>
      </c>
      <c r="B26" s="29" t="n">
        <v>46138</v>
      </c>
      <c r="C26" s="7" t="s">
        <v>168</v>
      </c>
      <c r="D26" s="7" t="s">
        <v>173</v>
      </c>
      <c r="E26" s="30" t="n">
        <v>65880</v>
      </c>
      <c r="F26" s="31" t="n">
        <v>0.085</v>
      </c>
      <c r="G26" s="7" t="s">
        <v>153</v>
      </c>
    </row>
    <row r="27" customFormat="false" ht="15" hidden="false" customHeight="false" outlineLevel="0" collapsed="false">
      <c r="A27" s="7" t="s">
        <v>193</v>
      </c>
      <c r="B27" s="29" t="n">
        <v>46262</v>
      </c>
      <c r="C27" s="7" t="s">
        <v>156</v>
      </c>
      <c r="D27" s="7" t="s">
        <v>173</v>
      </c>
      <c r="E27" s="30" t="n">
        <v>56157</v>
      </c>
      <c r="F27" s="31" t="n">
        <v>0.065</v>
      </c>
      <c r="G27" s="7" t="s">
        <v>153</v>
      </c>
    </row>
    <row r="28" customFormat="false" ht="15" hidden="false" customHeight="false" outlineLevel="0" collapsed="false">
      <c r="A28" s="7" t="s">
        <v>194</v>
      </c>
      <c r="B28" s="29" t="n">
        <v>46245</v>
      </c>
      <c r="C28" s="7" t="s">
        <v>168</v>
      </c>
      <c r="D28" s="7" t="s">
        <v>159</v>
      </c>
      <c r="E28" s="30" t="n">
        <v>60028</v>
      </c>
      <c r="F28" s="31" t="n">
        <v>0.085</v>
      </c>
      <c r="G28" s="7" t="s">
        <v>153</v>
      </c>
    </row>
    <row r="29" customFormat="false" ht="15" hidden="false" customHeight="false" outlineLevel="0" collapsed="false">
      <c r="A29" s="7" t="s">
        <v>195</v>
      </c>
      <c r="B29" s="29" t="n">
        <v>46149</v>
      </c>
      <c r="C29" s="7" t="s">
        <v>151</v>
      </c>
      <c r="D29" s="7" t="s">
        <v>152</v>
      </c>
      <c r="E29" s="30" t="n">
        <v>60602</v>
      </c>
      <c r="F29" s="31" t="n">
        <v>0.085</v>
      </c>
      <c r="G29" s="7" t="s">
        <v>153</v>
      </c>
    </row>
    <row r="30" customFormat="false" ht="15" hidden="false" customHeight="false" outlineLevel="0" collapsed="false">
      <c r="A30" s="7" t="s">
        <v>196</v>
      </c>
      <c r="B30" s="29" t="n">
        <v>46123</v>
      </c>
      <c r="C30" s="7" t="s">
        <v>151</v>
      </c>
      <c r="D30" s="7" t="s">
        <v>159</v>
      </c>
      <c r="E30" s="30" t="n">
        <v>93537</v>
      </c>
      <c r="F30" s="31" t="n">
        <v>0.02</v>
      </c>
      <c r="G30" s="7" t="s">
        <v>181</v>
      </c>
    </row>
    <row r="31" customFormat="false" ht="15" hidden="false" customHeight="false" outlineLevel="0" collapsed="false">
      <c r="A31" s="7" t="s">
        <v>197</v>
      </c>
      <c r="B31" s="29" t="n">
        <v>46188</v>
      </c>
      <c r="C31" s="7" t="s">
        <v>151</v>
      </c>
      <c r="D31" s="7" t="s">
        <v>152</v>
      </c>
      <c r="E31" s="30" t="n">
        <v>4105</v>
      </c>
      <c r="F31" s="31" t="n">
        <v>0.02</v>
      </c>
      <c r="G31" s="7" t="s">
        <v>174</v>
      </c>
    </row>
    <row r="32" customFormat="false" ht="15" hidden="false" customHeight="false" outlineLevel="0" collapsed="false">
      <c r="A32" s="7" t="s">
        <v>198</v>
      </c>
      <c r="B32" s="29" t="n">
        <v>46161</v>
      </c>
      <c r="C32" s="7" t="s">
        <v>168</v>
      </c>
      <c r="D32" s="7" t="s">
        <v>173</v>
      </c>
      <c r="E32" s="30" t="n">
        <v>67203</v>
      </c>
      <c r="F32" s="31" t="n">
        <v>0.14</v>
      </c>
      <c r="G32" s="7" t="s">
        <v>161</v>
      </c>
    </row>
    <row r="33" customFormat="false" ht="15" hidden="false" customHeight="false" outlineLevel="0" collapsed="false">
      <c r="A33" s="7" t="s">
        <v>199</v>
      </c>
      <c r="B33" s="29" t="n">
        <v>46235</v>
      </c>
      <c r="C33" s="7" t="s">
        <v>168</v>
      </c>
      <c r="D33" s="7" t="s">
        <v>152</v>
      </c>
      <c r="E33" s="30" t="n">
        <v>26946</v>
      </c>
      <c r="F33" s="31" t="n">
        <v>0.14</v>
      </c>
      <c r="G33" s="7" t="s">
        <v>161</v>
      </c>
    </row>
    <row r="34" customFormat="false" ht="15" hidden="false" customHeight="false" outlineLevel="0" collapsed="false">
      <c r="A34" s="7" t="s">
        <v>200</v>
      </c>
      <c r="B34" s="29" t="n">
        <v>46250</v>
      </c>
      <c r="C34" s="7" t="s">
        <v>164</v>
      </c>
      <c r="D34" s="7" t="s">
        <v>173</v>
      </c>
      <c r="E34" s="30" t="n">
        <v>89029</v>
      </c>
      <c r="F34" s="31" t="n">
        <v>0.02</v>
      </c>
      <c r="G34" s="7" t="s">
        <v>153</v>
      </c>
    </row>
    <row r="35" customFormat="false" ht="15" hidden="false" customHeight="false" outlineLevel="0" collapsed="false">
      <c r="A35" s="7" t="s">
        <v>201</v>
      </c>
      <c r="B35" s="29" t="n">
        <v>46150</v>
      </c>
      <c r="C35" s="7" t="s">
        <v>164</v>
      </c>
      <c r="D35" s="7" t="s">
        <v>173</v>
      </c>
      <c r="E35" s="30" t="n">
        <v>15991</v>
      </c>
      <c r="F35" s="31" t="n">
        <v>0.085</v>
      </c>
      <c r="G35" s="7" t="s">
        <v>161</v>
      </c>
    </row>
    <row r="36" customFormat="false" ht="15" hidden="false" customHeight="false" outlineLevel="0" collapsed="false">
      <c r="A36" s="7" t="s">
        <v>202</v>
      </c>
      <c r="B36" s="29" t="n">
        <v>46113</v>
      </c>
      <c r="C36" s="7" t="s">
        <v>168</v>
      </c>
      <c r="D36" s="7" t="s">
        <v>173</v>
      </c>
      <c r="E36" s="30" t="n">
        <v>95028</v>
      </c>
      <c r="F36" s="31" t="n">
        <v>0.045</v>
      </c>
      <c r="G36" s="7" t="s">
        <v>153</v>
      </c>
    </row>
    <row r="37" customFormat="false" ht="15" hidden="false" customHeight="false" outlineLevel="0" collapsed="false">
      <c r="A37" s="7" t="s">
        <v>203</v>
      </c>
      <c r="B37" s="29" t="n">
        <v>46249</v>
      </c>
      <c r="C37" s="7" t="s">
        <v>164</v>
      </c>
      <c r="D37" s="7" t="s">
        <v>159</v>
      </c>
      <c r="E37" s="30" t="n">
        <v>6800</v>
      </c>
      <c r="F37" s="31" t="n">
        <v>0.02</v>
      </c>
      <c r="G37" s="7" t="s">
        <v>153</v>
      </c>
    </row>
    <row r="38" customFormat="false" ht="15" hidden="false" customHeight="false" outlineLevel="0" collapsed="false">
      <c r="A38" s="7" t="s">
        <v>204</v>
      </c>
      <c r="B38" s="29" t="n">
        <v>46196</v>
      </c>
      <c r="C38" s="7" t="s">
        <v>156</v>
      </c>
      <c r="D38" s="7" t="s">
        <v>173</v>
      </c>
      <c r="E38" s="30" t="n">
        <v>82015</v>
      </c>
      <c r="F38" s="31" t="n">
        <v>0.065</v>
      </c>
      <c r="G38" s="7" t="s">
        <v>153</v>
      </c>
    </row>
    <row r="39" customFormat="false" ht="15" hidden="false" customHeight="false" outlineLevel="0" collapsed="false">
      <c r="A39" s="7" t="s">
        <v>205</v>
      </c>
      <c r="B39" s="29" t="n">
        <v>46190</v>
      </c>
      <c r="C39" s="7" t="s">
        <v>151</v>
      </c>
      <c r="D39" s="7" t="s">
        <v>152</v>
      </c>
      <c r="E39" s="30" t="n">
        <v>61204</v>
      </c>
      <c r="F39" s="31" t="n">
        <v>0.065</v>
      </c>
      <c r="G39" s="7" t="s">
        <v>181</v>
      </c>
    </row>
    <row r="40" customFormat="false" ht="15" hidden="false" customHeight="false" outlineLevel="0" collapsed="false">
      <c r="A40" s="7" t="s">
        <v>206</v>
      </c>
      <c r="B40" s="29" t="n">
        <v>46143</v>
      </c>
      <c r="C40" s="7" t="s">
        <v>151</v>
      </c>
      <c r="D40" s="7" t="s">
        <v>159</v>
      </c>
      <c r="E40" s="30" t="n">
        <v>78095</v>
      </c>
      <c r="F40" s="31" t="n">
        <v>0.14</v>
      </c>
      <c r="G40" s="7" t="s">
        <v>153</v>
      </c>
    </row>
    <row r="41" customFormat="false" ht="15" hidden="false" customHeight="false" outlineLevel="0" collapsed="false">
      <c r="A41" s="7" t="s">
        <v>207</v>
      </c>
      <c r="B41" s="29" t="n">
        <v>46229</v>
      </c>
      <c r="C41" s="7" t="s">
        <v>168</v>
      </c>
      <c r="D41" s="7" t="s">
        <v>152</v>
      </c>
      <c r="E41" s="30" t="n">
        <v>12960</v>
      </c>
      <c r="F41" s="31" t="n">
        <v>0</v>
      </c>
      <c r="G41" s="7" t="s">
        <v>153</v>
      </c>
    </row>
    <row r="42" customFormat="false" ht="15" hidden="false" customHeight="false" outlineLevel="0" collapsed="false">
      <c r="A42" s="7" t="s">
        <v>208</v>
      </c>
      <c r="B42" s="29" t="n">
        <v>46135</v>
      </c>
      <c r="C42" s="7" t="s">
        <v>168</v>
      </c>
      <c r="D42" s="7" t="s">
        <v>152</v>
      </c>
      <c r="E42" s="30" t="n">
        <v>83464</v>
      </c>
      <c r="F42" s="31" t="n">
        <v>0.045</v>
      </c>
      <c r="G42" s="7" t="s">
        <v>161</v>
      </c>
    </row>
    <row r="43" customFormat="false" ht="15" hidden="false" customHeight="false" outlineLevel="0" collapsed="false">
      <c r="A43" s="7" t="s">
        <v>209</v>
      </c>
      <c r="B43" s="29" t="n">
        <v>46170</v>
      </c>
      <c r="C43" s="7" t="s">
        <v>164</v>
      </c>
      <c r="D43" s="7" t="s">
        <v>157</v>
      </c>
      <c r="E43" s="30" t="n">
        <v>72565</v>
      </c>
      <c r="F43" s="31" t="n">
        <v>0.085</v>
      </c>
      <c r="G43" s="7" t="s">
        <v>153</v>
      </c>
    </row>
    <row r="44" customFormat="false" ht="15" hidden="false" customHeight="false" outlineLevel="0" collapsed="false">
      <c r="A44" s="7" t="s">
        <v>210</v>
      </c>
      <c r="B44" s="29" t="n">
        <v>46195</v>
      </c>
      <c r="C44" s="7" t="s">
        <v>168</v>
      </c>
      <c r="D44" s="7" t="s">
        <v>157</v>
      </c>
      <c r="E44" s="30" t="n">
        <v>50445</v>
      </c>
      <c r="F44" s="31" t="n">
        <v>0.065</v>
      </c>
      <c r="G44" s="7" t="s">
        <v>153</v>
      </c>
    </row>
    <row r="45" customFormat="false" ht="15" hidden="false" customHeight="false" outlineLevel="0" collapsed="false">
      <c r="A45" s="7" t="s">
        <v>211</v>
      </c>
      <c r="B45" s="29" t="n">
        <v>46163</v>
      </c>
      <c r="C45" s="7" t="s">
        <v>168</v>
      </c>
      <c r="D45" s="7" t="s">
        <v>159</v>
      </c>
      <c r="E45" s="30" t="n">
        <v>55107</v>
      </c>
      <c r="F45" s="31" t="n">
        <v>0.14</v>
      </c>
      <c r="G45" s="7" t="s">
        <v>161</v>
      </c>
    </row>
    <row r="46" customFormat="false" ht="15" hidden="false" customHeight="false" outlineLevel="0" collapsed="false">
      <c r="A46" s="7" t="s">
        <v>212</v>
      </c>
      <c r="B46" s="29" t="n">
        <v>46202</v>
      </c>
      <c r="C46" s="7" t="s">
        <v>168</v>
      </c>
      <c r="D46" s="7" t="s">
        <v>152</v>
      </c>
      <c r="E46" s="30" t="n">
        <v>17531</v>
      </c>
      <c r="F46" s="31" t="n">
        <v>0.065</v>
      </c>
      <c r="G46" s="7" t="s">
        <v>181</v>
      </c>
    </row>
    <row r="47" customFormat="false" ht="15" hidden="false" customHeight="false" outlineLevel="0" collapsed="false">
      <c r="A47" s="7" t="s">
        <v>213</v>
      </c>
      <c r="B47" s="29" t="n">
        <v>46210</v>
      </c>
      <c r="C47" s="7" t="s">
        <v>164</v>
      </c>
      <c r="D47" s="7" t="s">
        <v>157</v>
      </c>
      <c r="E47" s="30" t="n">
        <v>56486</v>
      </c>
      <c r="F47" s="31" t="n">
        <v>0.11</v>
      </c>
      <c r="G47" s="7" t="s">
        <v>153</v>
      </c>
    </row>
    <row r="48" customFormat="false" ht="15" hidden="false" customHeight="false" outlineLevel="0" collapsed="false">
      <c r="A48" s="7" t="s">
        <v>214</v>
      </c>
      <c r="B48" s="29" t="n">
        <v>46145</v>
      </c>
      <c r="C48" s="7" t="s">
        <v>156</v>
      </c>
      <c r="D48" s="7" t="s">
        <v>152</v>
      </c>
      <c r="E48" s="30" t="n">
        <v>27450</v>
      </c>
      <c r="F48" s="31" t="n">
        <v>0.14</v>
      </c>
      <c r="G48" s="7" t="s">
        <v>153</v>
      </c>
    </row>
    <row r="49" customFormat="false" ht="15" hidden="false" customHeight="false" outlineLevel="0" collapsed="false">
      <c r="A49" s="7" t="s">
        <v>215</v>
      </c>
      <c r="B49" s="29" t="n">
        <v>46181</v>
      </c>
      <c r="C49" s="7" t="s">
        <v>168</v>
      </c>
      <c r="D49" s="7" t="s">
        <v>157</v>
      </c>
      <c r="E49" s="30" t="n">
        <v>15193</v>
      </c>
      <c r="F49" s="31" t="n">
        <v>0.045</v>
      </c>
      <c r="G49" s="7" t="s">
        <v>153</v>
      </c>
    </row>
    <row r="50" customFormat="false" ht="15" hidden="false" customHeight="false" outlineLevel="0" collapsed="false">
      <c r="A50" s="7" t="s">
        <v>216</v>
      </c>
      <c r="B50" s="29" t="n">
        <v>46181</v>
      </c>
      <c r="C50" s="7" t="s">
        <v>164</v>
      </c>
      <c r="D50" s="7" t="s">
        <v>159</v>
      </c>
      <c r="E50" s="30" t="n">
        <v>73069</v>
      </c>
      <c r="F50" s="31" t="n">
        <v>0.085</v>
      </c>
      <c r="G50" s="7" t="s">
        <v>161</v>
      </c>
    </row>
    <row r="51" customFormat="false" ht="15" hidden="false" customHeight="false" outlineLevel="0" collapsed="false">
      <c r="A51" s="7" t="s">
        <v>217</v>
      </c>
      <c r="B51" s="29" t="n">
        <v>46181</v>
      </c>
      <c r="C51" s="7" t="s">
        <v>156</v>
      </c>
      <c r="D51" s="7" t="s">
        <v>157</v>
      </c>
      <c r="E51" s="30" t="n">
        <v>81560</v>
      </c>
      <c r="F51" s="31" t="n">
        <v>0.11</v>
      </c>
      <c r="G51" s="7" t="s">
        <v>153</v>
      </c>
    </row>
    <row r="52" customFormat="false" ht="15" hidden="false" customHeight="false" outlineLevel="0" collapsed="false">
      <c r="A52" s="7" t="s">
        <v>218</v>
      </c>
      <c r="B52" s="29" t="n">
        <v>46118</v>
      </c>
      <c r="C52" s="7" t="s">
        <v>151</v>
      </c>
      <c r="D52" s="7" t="s">
        <v>152</v>
      </c>
      <c r="E52" s="30" t="n">
        <v>53588</v>
      </c>
      <c r="F52" s="31" t="n">
        <v>0.11</v>
      </c>
      <c r="G52" s="7" t="s">
        <v>153</v>
      </c>
    </row>
    <row r="53" customFormat="false" ht="15" hidden="false" customHeight="false" outlineLevel="0" collapsed="false">
      <c r="A53" s="7" t="s">
        <v>219</v>
      </c>
      <c r="B53" s="29" t="n">
        <v>46137</v>
      </c>
      <c r="C53" s="7" t="s">
        <v>151</v>
      </c>
      <c r="D53" s="7" t="s">
        <v>157</v>
      </c>
      <c r="E53" s="30" t="n">
        <v>78529</v>
      </c>
      <c r="F53" s="31" t="n">
        <v>0.11</v>
      </c>
      <c r="G53" s="7" t="s">
        <v>181</v>
      </c>
    </row>
    <row r="54" customFormat="false" ht="15" hidden="false" customHeight="false" outlineLevel="0" collapsed="false">
      <c r="A54" s="7" t="s">
        <v>220</v>
      </c>
      <c r="B54" s="29" t="n">
        <v>46252</v>
      </c>
      <c r="C54" s="7" t="s">
        <v>151</v>
      </c>
      <c r="D54" s="7" t="s">
        <v>157</v>
      </c>
      <c r="E54" s="30" t="n">
        <v>55030</v>
      </c>
      <c r="F54" s="31" t="n">
        <v>0.045</v>
      </c>
      <c r="G54" s="7" t="s">
        <v>161</v>
      </c>
    </row>
    <row r="55" customFormat="false" ht="15" hidden="false" customHeight="false" outlineLevel="0" collapsed="false">
      <c r="A55" s="7" t="s">
        <v>221</v>
      </c>
      <c r="B55" s="29" t="n">
        <v>46128</v>
      </c>
      <c r="C55" s="7" t="s">
        <v>168</v>
      </c>
      <c r="D55" s="7" t="s">
        <v>159</v>
      </c>
      <c r="E55" s="30" t="n">
        <v>83142</v>
      </c>
      <c r="F55" s="31" t="n">
        <v>0</v>
      </c>
      <c r="G55" s="7" t="s">
        <v>153</v>
      </c>
    </row>
    <row r="56" customFormat="false" ht="15" hidden="false" customHeight="false" outlineLevel="0" collapsed="false">
      <c r="A56" s="7" t="s">
        <v>222</v>
      </c>
      <c r="B56" s="29" t="n">
        <v>46177</v>
      </c>
      <c r="C56" s="7" t="s">
        <v>164</v>
      </c>
      <c r="D56" s="7" t="s">
        <v>157</v>
      </c>
      <c r="E56" s="30" t="n">
        <v>63773</v>
      </c>
      <c r="F56" s="31" t="n">
        <v>0.14</v>
      </c>
      <c r="G56" s="7" t="s">
        <v>161</v>
      </c>
    </row>
    <row r="57" customFormat="false" ht="15" hidden="false" customHeight="false" outlineLevel="0" collapsed="false">
      <c r="A57" s="7" t="s">
        <v>223</v>
      </c>
      <c r="B57" s="29" t="n">
        <v>46234</v>
      </c>
      <c r="C57" s="7" t="s">
        <v>168</v>
      </c>
      <c r="D57" s="7" t="s">
        <v>157</v>
      </c>
      <c r="E57" s="30" t="n">
        <v>29984</v>
      </c>
      <c r="F57" s="31" t="n">
        <v>0.045</v>
      </c>
      <c r="G57" s="7" t="s">
        <v>153</v>
      </c>
    </row>
    <row r="58" customFormat="false" ht="15" hidden="false" customHeight="false" outlineLevel="0" collapsed="false">
      <c r="A58" s="7" t="s">
        <v>224</v>
      </c>
      <c r="B58" s="29" t="n">
        <v>46169</v>
      </c>
      <c r="C58" s="7" t="s">
        <v>151</v>
      </c>
      <c r="D58" s="7" t="s">
        <v>152</v>
      </c>
      <c r="E58" s="30" t="n">
        <v>65397</v>
      </c>
      <c r="F58" s="31" t="n">
        <v>0.045</v>
      </c>
      <c r="G58" s="7" t="s">
        <v>153</v>
      </c>
    </row>
    <row r="59" customFormat="false" ht="15" hidden="false" customHeight="false" outlineLevel="0" collapsed="false">
      <c r="A59" s="7" t="s">
        <v>225</v>
      </c>
      <c r="B59" s="29" t="n">
        <v>46166</v>
      </c>
      <c r="C59" s="7" t="s">
        <v>168</v>
      </c>
      <c r="D59" s="7" t="s">
        <v>152</v>
      </c>
      <c r="E59" s="30" t="n">
        <v>47309</v>
      </c>
      <c r="F59" s="31" t="n">
        <v>0.085</v>
      </c>
      <c r="G59" s="7" t="s">
        <v>161</v>
      </c>
    </row>
    <row r="60" customFormat="false" ht="15" hidden="false" customHeight="false" outlineLevel="0" collapsed="false">
      <c r="A60" s="7" t="s">
        <v>226</v>
      </c>
      <c r="B60" s="29" t="n">
        <v>46133</v>
      </c>
      <c r="C60" s="7" t="s">
        <v>151</v>
      </c>
      <c r="D60" s="7" t="s">
        <v>159</v>
      </c>
      <c r="E60" s="30" t="n">
        <v>78011</v>
      </c>
      <c r="F60" s="31" t="n">
        <v>0.085</v>
      </c>
      <c r="G60" s="7" t="s">
        <v>161</v>
      </c>
    </row>
    <row r="61" customFormat="false" ht="15" hidden="false" customHeight="false" outlineLevel="0" collapsed="false">
      <c r="A61" s="7" t="s">
        <v>227</v>
      </c>
      <c r="B61" s="29" t="n">
        <v>46137</v>
      </c>
      <c r="C61" s="7" t="s">
        <v>164</v>
      </c>
      <c r="D61" s="7" t="s">
        <v>159</v>
      </c>
      <c r="E61" s="30" t="n">
        <v>36480</v>
      </c>
      <c r="F61" s="31" t="n">
        <v>0.065</v>
      </c>
      <c r="G61" s="7" t="s">
        <v>153</v>
      </c>
    </row>
    <row r="62" customFormat="false" ht="15" hidden="false" customHeight="false" outlineLevel="0" collapsed="false">
      <c r="A62" s="7" t="s">
        <v>228</v>
      </c>
      <c r="B62" s="29" t="n">
        <v>46156</v>
      </c>
      <c r="C62" s="7" t="s">
        <v>151</v>
      </c>
      <c r="D62" s="7" t="s">
        <v>173</v>
      </c>
      <c r="E62" s="30" t="n">
        <v>64060</v>
      </c>
      <c r="F62" s="31" t="n">
        <v>0.085</v>
      </c>
      <c r="G62" s="7" t="s">
        <v>153</v>
      </c>
    </row>
    <row r="63" customFormat="false" ht="15" hidden="false" customHeight="false" outlineLevel="0" collapsed="false">
      <c r="A63" s="7" t="s">
        <v>229</v>
      </c>
      <c r="B63" s="29" t="n">
        <v>46246</v>
      </c>
      <c r="C63" s="7" t="s">
        <v>151</v>
      </c>
      <c r="D63" s="7" t="s">
        <v>159</v>
      </c>
      <c r="E63" s="30" t="n">
        <v>92921</v>
      </c>
      <c r="F63" s="31" t="n">
        <v>0</v>
      </c>
      <c r="G63" s="7" t="s">
        <v>153</v>
      </c>
    </row>
    <row r="64" customFormat="false" ht="15" hidden="false" customHeight="false" outlineLevel="0" collapsed="false">
      <c r="A64" s="7" t="s">
        <v>230</v>
      </c>
      <c r="B64" s="29" t="n">
        <v>46220</v>
      </c>
      <c r="C64" s="7" t="s">
        <v>164</v>
      </c>
      <c r="D64" s="7" t="s">
        <v>159</v>
      </c>
      <c r="E64" s="30" t="n">
        <v>75386</v>
      </c>
      <c r="F64" s="31" t="n">
        <v>0.065</v>
      </c>
      <c r="G64" s="7" t="s">
        <v>161</v>
      </c>
    </row>
    <row r="65" customFormat="false" ht="15" hidden="false" customHeight="false" outlineLevel="0" collapsed="false">
      <c r="A65" s="7" t="s">
        <v>231</v>
      </c>
      <c r="B65" s="29" t="n">
        <v>46200</v>
      </c>
      <c r="C65" s="7" t="s">
        <v>156</v>
      </c>
      <c r="D65" s="7" t="s">
        <v>152</v>
      </c>
      <c r="E65" s="30" t="n">
        <v>58761</v>
      </c>
      <c r="F65" s="31" t="n">
        <v>0.085</v>
      </c>
      <c r="G65" s="7" t="s">
        <v>153</v>
      </c>
    </row>
    <row r="66" customFormat="false" ht="15" hidden="false" customHeight="false" outlineLevel="0" collapsed="false">
      <c r="A66" s="7" t="s">
        <v>232</v>
      </c>
      <c r="B66" s="29" t="n">
        <v>46238</v>
      </c>
      <c r="C66" s="7" t="s">
        <v>168</v>
      </c>
      <c r="D66" s="7" t="s">
        <v>152</v>
      </c>
      <c r="E66" s="30" t="n">
        <v>81287</v>
      </c>
      <c r="F66" s="31" t="n">
        <v>0</v>
      </c>
      <c r="G66" s="7" t="s">
        <v>161</v>
      </c>
    </row>
    <row r="67" customFormat="false" ht="15" hidden="false" customHeight="false" outlineLevel="0" collapsed="false">
      <c r="A67" s="7" t="s">
        <v>233</v>
      </c>
      <c r="B67" s="29" t="n">
        <v>46147</v>
      </c>
      <c r="C67" s="7" t="s">
        <v>164</v>
      </c>
      <c r="D67" s="7" t="s">
        <v>152</v>
      </c>
      <c r="E67" s="30" t="n">
        <v>56122</v>
      </c>
      <c r="F67" s="31" t="n">
        <v>0.045</v>
      </c>
      <c r="G67" s="7" t="s">
        <v>181</v>
      </c>
    </row>
    <row r="68" customFormat="false" ht="15" hidden="false" customHeight="false" outlineLevel="0" collapsed="false">
      <c r="A68" s="7" t="s">
        <v>234</v>
      </c>
      <c r="B68" s="29" t="n">
        <v>46232</v>
      </c>
      <c r="C68" s="7" t="s">
        <v>164</v>
      </c>
      <c r="D68" s="7" t="s">
        <v>152</v>
      </c>
      <c r="E68" s="30" t="n">
        <v>93509</v>
      </c>
      <c r="F68" s="31" t="n">
        <v>0.085</v>
      </c>
      <c r="G68" s="7" t="s">
        <v>181</v>
      </c>
    </row>
    <row r="69" customFormat="false" ht="15" hidden="false" customHeight="false" outlineLevel="0" collapsed="false">
      <c r="A69" s="7" t="s">
        <v>235</v>
      </c>
      <c r="B69" s="29" t="n">
        <v>46215</v>
      </c>
      <c r="C69" s="7" t="s">
        <v>156</v>
      </c>
      <c r="D69" s="7" t="s">
        <v>173</v>
      </c>
      <c r="E69" s="30" t="n">
        <v>47295</v>
      </c>
      <c r="F69" s="31" t="n">
        <v>0.14</v>
      </c>
      <c r="G69" s="7" t="s">
        <v>153</v>
      </c>
    </row>
    <row r="70" customFormat="false" ht="15" hidden="false" customHeight="false" outlineLevel="0" collapsed="false">
      <c r="A70" s="7" t="s">
        <v>236</v>
      </c>
      <c r="B70" s="29" t="n">
        <v>46129</v>
      </c>
      <c r="C70" s="7" t="s">
        <v>151</v>
      </c>
      <c r="D70" s="7" t="s">
        <v>152</v>
      </c>
      <c r="E70" s="30" t="n">
        <v>50865</v>
      </c>
      <c r="F70" s="31" t="n">
        <v>0.065</v>
      </c>
      <c r="G70" s="7" t="s">
        <v>161</v>
      </c>
    </row>
    <row r="71" customFormat="false" ht="15" hidden="false" customHeight="false" outlineLevel="0" collapsed="false">
      <c r="A71" s="7" t="s">
        <v>237</v>
      </c>
      <c r="B71" s="29" t="n">
        <v>46243</v>
      </c>
      <c r="C71" s="7" t="s">
        <v>168</v>
      </c>
      <c r="D71" s="7" t="s">
        <v>152</v>
      </c>
      <c r="E71" s="30" t="n">
        <v>24426</v>
      </c>
      <c r="F71" s="31" t="n">
        <v>0.065</v>
      </c>
      <c r="G71" s="7" t="s">
        <v>153</v>
      </c>
    </row>
    <row r="72" customFormat="false" ht="15" hidden="false" customHeight="false" outlineLevel="0" collapsed="false">
      <c r="A72" s="7" t="s">
        <v>238</v>
      </c>
      <c r="B72" s="29" t="n">
        <v>46199</v>
      </c>
      <c r="C72" s="7" t="s">
        <v>156</v>
      </c>
      <c r="D72" s="7" t="s">
        <v>173</v>
      </c>
      <c r="E72" s="30" t="n">
        <v>34961</v>
      </c>
      <c r="F72" s="31" t="n">
        <v>0.085</v>
      </c>
      <c r="G72" s="7" t="s">
        <v>181</v>
      </c>
    </row>
    <row r="73" customFormat="false" ht="15" hidden="false" customHeight="false" outlineLevel="0" collapsed="false">
      <c r="A73" s="7" t="s">
        <v>239</v>
      </c>
      <c r="B73" s="29" t="n">
        <v>46157</v>
      </c>
      <c r="C73" s="7" t="s">
        <v>168</v>
      </c>
      <c r="D73" s="7" t="s">
        <v>157</v>
      </c>
      <c r="E73" s="30" t="n">
        <v>96596</v>
      </c>
      <c r="F73" s="31" t="n">
        <v>0.11</v>
      </c>
      <c r="G73" s="7" t="s">
        <v>153</v>
      </c>
    </row>
    <row r="74" customFormat="false" ht="15" hidden="false" customHeight="false" outlineLevel="0" collapsed="false">
      <c r="A74" s="7" t="s">
        <v>240</v>
      </c>
      <c r="B74" s="29" t="n">
        <v>46167</v>
      </c>
      <c r="C74" s="7" t="s">
        <v>164</v>
      </c>
      <c r="D74" s="7" t="s">
        <v>159</v>
      </c>
      <c r="E74" s="30" t="n">
        <v>32049</v>
      </c>
      <c r="F74" s="31" t="n">
        <v>0.02</v>
      </c>
      <c r="G74" s="7" t="s">
        <v>153</v>
      </c>
    </row>
    <row r="75" customFormat="false" ht="15" hidden="false" customHeight="false" outlineLevel="0" collapsed="false">
      <c r="A75" s="7" t="s">
        <v>241</v>
      </c>
      <c r="B75" s="29" t="n">
        <v>46247</v>
      </c>
      <c r="C75" s="7" t="s">
        <v>164</v>
      </c>
      <c r="D75" s="7" t="s">
        <v>159</v>
      </c>
      <c r="E75" s="30" t="n">
        <v>2257</v>
      </c>
      <c r="F75" s="31" t="n">
        <v>0.14</v>
      </c>
      <c r="G75" s="7" t="s">
        <v>181</v>
      </c>
    </row>
    <row r="76" customFormat="false" ht="15" hidden="false" customHeight="false" outlineLevel="0" collapsed="false">
      <c r="A76" s="7" t="s">
        <v>242</v>
      </c>
      <c r="B76" s="29" t="n">
        <v>46238</v>
      </c>
      <c r="C76" s="7" t="s">
        <v>164</v>
      </c>
      <c r="D76" s="7" t="s">
        <v>152</v>
      </c>
      <c r="E76" s="30" t="n">
        <v>4994</v>
      </c>
      <c r="F76" s="31" t="n">
        <v>0.045</v>
      </c>
      <c r="G76" s="7" t="s">
        <v>174</v>
      </c>
    </row>
    <row r="77" customFormat="false" ht="15" hidden="false" customHeight="false" outlineLevel="0" collapsed="false">
      <c r="A77" s="7" t="s">
        <v>243</v>
      </c>
      <c r="B77" s="29" t="n">
        <v>46213</v>
      </c>
      <c r="C77" s="7" t="s">
        <v>151</v>
      </c>
      <c r="D77" s="7" t="s">
        <v>159</v>
      </c>
      <c r="E77" s="30" t="n">
        <v>18385</v>
      </c>
      <c r="F77" s="31" t="n">
        <v>0.02</v>
      </c>
      <c r="G77" s="7" t="s">
        <v>161</v>
      </c>
    </row>
    <row r="78" customFormat="false" ht="15" hidden="false" customHeight="false" outlineLevel="0" collapsed="false">
      <c r="A78" s="7" t="s">
        <v>244</v>
      </c>
      <c r="B78" s="29" t="n">
        <v>46152</v>
      </c>
      <c r="C78" s="7" t="s">
        <v>151</v>
      </c>
      <c r="D78" s="7" t="s">
        <v>159</v>
      </c>
      <c r="E78" s="30" t="n">
        <v>76394</v>
      </c>
      <c r="F78" s="31" t="n">
        <v>0.14</v>
      </c>
      <c r="G78" s="7" t="s">
        <v>181</v>
      </c>
    </row>
    <row r="79" customFormat="false" ht="15" hidden="false" customHeight="false" outlineLevel="0" collapsed="false">
      <c r="A79" s="7" t="s">
        <v>245</v>
      </c>
      <c r="B79" s="29" t="n">
        <v>46259</v>
      </c>
      <c r="C79" s="7" t="s">
        <v>164</v>
      </c>
      <c r="D79" s="7" t="s">
        <v>173</v>
      </c>
      <c r="E79" s="30" t="n">
        <v>69695</v>
      </c>
      <c r="F79" s="31" t="n">
        <v>0.045</v>
      </c>
      <c r="G79" s="7" t="s">
        <v>161</v>
      </c>
    </row>
    <row r="80" customFormat="false" ht="15" hidden="false" customHeight="false" outlineLevel="0" collapsed="false">
      <c r="A80" s="7" t="s">
        <v>246</v>
      </c>
      <c r="B80" s="29" t="n">
        <v>46158</v>
      </c>
      <c r="C80" s="7" t="s">
        <v>164</v>
      </c>
      <c r="D80" s="7" t="s">
        <v>152</v>
      </c>
      <c r="E80" s="30" t="n">
        <v>53749</v>
      </c>
      <c r="F80" s="31" t="n">
        <v>0.02</v>
      </c>
      <c r="G80" s="7" t="s">
        <v>153</v>
      </c>
    </row>
    <row r="81" customFormat="false" ht="15" hidden="false" customHeight="false" outlineLevel="0" collapsed="false">
      <c r="A81" s="7" t="s">
        <v>247</v>
      </c>
      <c r="B81" s="29" t="n">
        <v>46160</v>
      </c>
      <c r="C81" s="7" t="s">
        <v>151</v>
      </c>
      <c r="D81" s="7" t="s">
        <v>159</v>
      </c>
      <c r="E81" s="30" t="n">
        <v>93355</v>
      </c>
      <c r="F81" s="31" t="n">
        <v>0.11</v>
      </c>
      <c r="G81" s="7" t="s">
        <v>153</v>
      </c>
    </row>
    <row r="82" customFormat="false" ht="15" hidden="false" customHeight="false" outlineLevel="0" collapsed="false">
      <c r="A82" s="7" t="s">
        <v>248</v>
      </c>
      <c r="B82" s="29" t="n">
        <v>46238</v>
      </c>
      <c r="C82" s="7" t="s">
        <v>168</v>
      </c>
      <c r="D82" s="7" t="s">
        <v>173</v>
      </c>
      <c r="E82" s="30" t="n">
        <v>61169</v>
      </c>
      <c r="F82" s="31" t="n">
        <v>0.045</v>
      </c>
      <c r="G82" s="7" t="s">
        <v>153</v>
      </c>
    </row>
    <row r="83" customFormat="false" ht="15" hidden="false" customHeight="false" outlineLevel="0" collapsed="false">
      <c r="A83" s="7" t="s">
        <v>249</v>
      </c>
      <c r="B83" s="29" t="n">
        <v>46206</v>
      </c>
      <c r="C83" s="7" t="s">
        <v>168</v>
      </c>
      <c r="D83" s="7" t="s">
        <v>173</v>
      </c>
      <c r="E83" s="30" t="n">
        <v>57340</v>
      </c>
      <c r="F83" s="31" t="n">
        <v>0.065</v>
      </c>
      <c r="G83" s="7" t="s">
        <v>161</v>
      </c>
    </row>
    <row r="84" customFormat="false" ht="15" hidden="false" customHeight="false" outlineLevel="0" collapsed="false">
      <c r="A84" s="7" t="s">
        <v>250</v>
      </c>
      <c r="B84" s="29" t="n">
        <v>46217</v>
      </c>
      <c r="C84" s="7" t="s">
        <v>164</v>
      </c>
      <c r="D84" s="7" t="s">
        <v>152</v>
      </c>
      <c r="E84" s="30" t="n">
        <v>42479</v>
      </c>
      <c r="F84" s="31" t="n">
        <v>0.02</v>
      </c>
      <c r="G84" s="7" t="s">
        <v>161</v>
      </c>
    </row>
    <row r="85" customFormat="false" ht="15" hidden="false" customHeight="false" outlineLevel="0" collapsed="false">
      <c r="A85" s="7" t="s">
        <v>251</v>
      </c>
      <c r="B85" s="29" t="n">
        <v>46123</v>
      </c>
      <c r="C85" s="7" t="s">
        <v>156</v>
      </c>
      <c r="D85" s="7" t="s">
        <v>173</v>
      </c>
      <c r="E85" s="30" t="n">
        <v>24118</v>
      </c>
      <c r="F85" s="31" t="n">
        <v>0</v>
      </c>
      <c r="G85" s="7" t="s">
        <v>153</v>
      </c>
    </row>
    <row r="86" customFormat="false" ht="15" hidden="false" customHeight="false" outlineLevel="0" collapsed="false">
      <c r="A86" s="7" t="s">
        <v>252</v>
      </c>
      <c r="B86" s="29" t="n">
        <v>46178</v>
      </c>
      <c r="C86" s="7" t="s">
        <v>156</v>
      </c>
      <c r="D86" s="7" t="s">
        <v>173</v>
      </c>
      <c r="E86" s="30" t="n">
        <v>31027</v>
      </c>
      <c r="F86" s="31" t="n">
        <v>0.02</v>
      </c>
      <c r="G86" s="7" t="s">
        <v>153</v>
      </c>
    </row>
    <row r="87" customFormat="false" ht="15" hidden="false" customHeight="false" outlineLevel="0" collapsed="false">
      <c r="A87" s="7" t="s">
        <v>253</v>
      </c>
      <c r="B87" s="29" t="n">
        <v>46136</v>
      </c>
      <c r="C87" s="7" t="s">
        <v>156</v>
      </c>
      <c r="D87" s="7" t="s">
        <v>157</v>
      </c>
      <c r="E87" s="30" t="n">
        <v>80636</v>
      </c>
      <c r="F87" s="31" t="n">
        <v>0.02</v>
      </c>
      <c r="G87" s="7" t="s">
        <v>181</v>
      </c>
    </row>
    <row r="88" customFormat="false" ht="15" hidden="false" customHeight="false" outlineLevel="0" collapsed="false">
      <c r="A88" s="7" t="s">
        <v>254</v>
      </c>
      <c r="B88" s="29" t="n">
        <v>46156</v>
      </c>
      <c r="C88" s="7" t="s">
        <v>164</v>
      </c>
      <c r="D88" s="7" t="s">
        <v>157</v>
      </c>
      <c r="E88" s="30" t="n">
        <v>56885</v>
      </c>
      <c r="F88" s="31" t="n">
        <v>0.02</v>
      </c>
      <c r="G88" s="7" t="s">
        <v>153</v>
      </c>
    </row>
    <row r="89" customFormat="false" ht="15" hidden="false" customHeight="false" outlineLevel="0" collapsed="false">
      <c r="A89" s="7" t="s">
        <v>255</v>
      </c>
      <c r="B89" s="29" t="n">
        <v>46250</v>
      </c>
      <c r="C89" s="7" t="s">
        <v>168</v>
      </c>
      <c r="D89" s="7" t="s">
        <v>157</v>
      </c>
      <c r="E89" s="30" t="n">
        <v>54715</v>
      </c>
      <c r="F89" s="31" t="n">
        <v>0.11</v>
      </c>
      <c r="G89" s="7" t="s">
        <v>153</v>
      </c>
    </row>
    <row r="90" customFormat="false" ht="15" hidden="false" customHeight="false" outlineLevel="0" collapsed="false">
      <c r="A90" s="7" t="s">
        <v>256</v>
      </c>
      <c r="B90" s="29" t="n">
        <v>46205</v>
      </c>
      <c r="C90" s="7" t="s">
        <v>151</v>
      </c>
      <c r="D90" s="7" t="s">
        <v>152</v>
      </c>
      <c r="E90" s="30" t="n">
        <v>59832</v>
      </c>
      <c r="F90" s="31" t="n">
        <v>0.11</v>
      </c>
      <c r="G90" s="7" t="s">
        <v>161</v>
      </c>
    </row>
    <row r="91" customFormat="false" ht="15" hidden="false" customHeight="false" outlineLevel="0" collapsed="false">
      <c r="A91" s="7" t="s">
        <v>257</v>
      </c>
      <c r="B91" s="29" t="n">
        <v>46256</v>
      </c>
      <c r="C91" s="7" t="s">
        <v>151</v>
      </c>
      <c r="D91" s="7" t="s">
        <v>173</v>
      </c>
      <c r="E91" s="30" t="n">
        <v>89127</v>
      </c>
      <c r="F91" s="31" t="n">
        <v>0.02</v>
      </c>
      <c r="G91" s="7" t="s">
        <v>161</v>
      </c>
    </row>
    <row r="92" customFormat="false" ht="15" hidden="false" customHeight="false" outlineLevel="0" collapsed="false">
      <c r="A92" s="7" t="s">
        <v>258</v>
      </c>
      <c r="B92" s="29" t="n">
        <v>46142</v>
      </c>
      <c r="C92" s="7" t="s">
        <v>168</v>
      </c>
      <c r="D92" s="7" t="s">
        <v>152</v>
      </c>
      <c r="E92" s="30" t="n">
        <v>95952</v>
      </c>
      <c r="F92" s="31" t="n">
        <v>0.11</v>
      </c>
      <c r="G92" s="7" t="s">
        <v>161</v>
      </c>
    </row>
    <row r="93" customFormat="false" ht="15" hidden="false" customHeight="false" outlineLevel="0" collapsed="false">
      <c r="A93" s="7" t="s">
        <v>259</v>
      </c>
      <c r="B93" s="29" t="n">
        <v>46153</v>
      </c>
      <c r="C93" s="7" t="s">
        <v>164</v>
      </c>
      <c r="D93" s="7" t="s">
        <v>159</v>
      </c>
      <c r="E93" s="30" t="n">
        <v>58215</v>
      </c>
      <c r="F93" s="31" t="n">
        <v>0.11</v>
      </c>
      <c r="G93" s="7" t="s">
        <v>153</v>
      </c>
    </row>
    <row r="94" customFormat="false" ht="15" hidden="false" customHeight="false" outlineLevel="0" collapsed="false">
      <c r="A94" s="7" t="s">
        <v>260</v>
      </c>
      <c r="B94" s="29" t="n">
        <v>46222</v>
      </c>
      <c r="C94" s="7" t="s">
        <v>164</v>
      </c>
      <c r="D94" s="7" t="s">
        <v>159</v>
      </c>
      <c r="E94" s="30" t="n">
        <v>93859</v>
      </c>
      <c r="F94" s="31" t="n">
        <v>0.11</v>
      </c>
      <c r="G94" s="7" t="s">
        <v>181</v>
      </c>
    </row>
    <row r="95" customFormat="false" ht="15" hidden="false" customHeight="false" outlineLevel="0" collapsed="false">
      <c r="A95" s="7" t="s">
        <v>261</v>
      </c>
      <c r="B95" s="29" t="n">
        <v>46181</v>
      </c>
      <c r="C95" s="7" t="s">
        <v>156</v>
      </c>
      <c r="D95" s="7" t="s">
        <v>152</v>
      </c>
      <c r="E95" s="30" t="n">
        <v>50998</v>
      </c>
      <c r="F95" s="31" t="n">
        <v>0.065</v>
      </c>
      <c r="G95" s="7" t="s">
        <v>153</v>
      </c>
    </row>
    <row r="96" customFormat="false" ht="15" hidden="false" customHeight="false" outlineLevel="0" collapsed="false">
      <c r="A96" s="7" t="s">
        <v>262</v>
      </c>
      <c r="B96" s="29" t="n">
        <v>46246</v>
      </c>
      <c r="C96" s="7" t="s">
        <v>156</v>
      </c>
      <c r="D96" s="7" t="s">
        <v>152</v>
      </c>
      <c r="E96" s="30" t="n">
        <v>65173</v>
      </c>
      <c r="F96" s="31" t="n">
        <v>0.14</v>
      </c>
      <c r="G96" s="7" t="s">
        <v>153</v>
      </c>
    </row>
    <row r="97" customFormat="false" ht="15" hidden="false" customHeight="false" outlineLevel="0" collapsed="false">
      <c r="A97" s="7" t="s">
        <v>263</v>
      </c>
      <c r="B97" s="29" t="n">
        <v>46148</v>
      </c>
      <c r="C97" s="7" t="s">
        <v>164</v>
      </c>
      <c r="D97" s="7" t="s">
        <v>159</v>
      </c>
      <c r="E97" s="30" t="n">
        <v>77339</v>
      </c>
      <c r="F97" s="31" t="n">
        <v>0.085</v>
      </c>
      <c r="G97" s="7" t="s">
        <v>153</v>
      </c>
    </row>
    <row r="98" customFormat="false" ht="15" hidden="false" customHeight="false" outlineLevel="0" collapsed="false">
      <c r="A98" s="7" t="s">
        <v>264</v>
      </c>
      <c r="B98" s="29" t="n">
        <v>46204</v>
      </c>
      <c r="C98" s="7" t="s">
        <v>156</v>
      </c>
      <c r="D98" s="7" t="s">
        <v>173</v>
      </c>
      <c r="E98" s="30" t="n">
        <v>5050</v>
      </c>
      <c r="F98" s="31" t="n">
        <v>0.11</v>
      </c>
      <c r="G98" s="7" t="s">
        <v>161</v>
      </c>
    </row>
    <row r="99" customFormat="false" ht="15" hidden="false" customHeight="false" outlineLevel="0" collapsed="false">
      <c r="A99" s="7" t="s">
        <v>265</v>
      </c>
      <c r="B99" s="29" t="n">
        <v>46196</v>
      </c>
      <c r="C99" s="7" t="s">
        <v>168</v>
      </c>
      <c r="D99" s="7" t="s">
        <v>173</v>
      </c>
      <c r="E99" s="30" t="n">
        <v>96547</v>
      </c>
      <c r="F99" s="31" t="n">
        <v>0.065</v>
      </c>
      <c r="G99" s="7" t="s">
        <v>153</v>
      </c>
    </row>
    <row r="100" customFormat="false" ht="15" hidden="false" customHeight="false" outlineLevel="0" collapsed="false">
      <c r="A100" s="7" t="s">
        <v>266</v>
      </c>
      <c r="B100" s="29" t="n">
        <v>46252</v>
      </c>
      <c r="C100" s="7" t="s">
        <v>168</v>
      </c>
      <c r="D100" s="7" t="s">
        <v>173</v>
      </c>
      <c r="E100" s="30" t="n">
        <v>34464</v>
      </c>
      <c r="F100" s="31" t="n">
        <v>0.14</v>
      </c>
      <c r="G100" s="7" t="s">
        <v>153</v>
      </c>
    </row>
    <row r="101" customFormat="false" ht="15" hidden="false" customHeight="false" outlineLevel="0" collapsed="false">
      <c r="A101" s="7" t="s">
        <v>267</v>
      </c>
      <c r="B101" s="29" t="n">
        <v>46122</v>
      </c>
      <c r="C101" s="7" t="s">
        <v>164</v>
      </c>
      <c r="D101" s="7" t="s">
        <v>173</v>
      </c>
      <c r="E101" s="30" t="n">
        <v>37516</v>
      </c>
      <c r="F101" s="31" t="n">
        <v>0</v>
      </c>
      <c r="G101" s="7" t="s">
        <v>153</v>
      </c>
    </row>
    <row r="102" customFormat="false" ht="15" hidden="false" customHeight="false" outlineLevel="0" collapsed="false">
      <c r="A102" s="7" t="s">
        <v>268</v>
      </c>
      <c r="B102" s="29" t="n">
        <v>46228</v>
      </c>
      <c r="C102" s="7" t="s">
        <v>151</v>
      </c>
      <c r="D102" s="7" t="s">
        <v>157</v>
      </c>
      <c r="E102" s="30" t="n">
        <v>53686</v>
      </c>
      <c r="F102" s="31" t="n">
        <v>0.14</v>
      </c>
      <c r="G102" s="7" t="s">
        <v>161</v>
      </c>
    </row>
    <row r="103" customFormat="false" ht="15" hidden="false" customHeight="false" outlineLevel="0" collapsed="false">
      <c r="A103" s="7" t="s">
        <v>269</v>
      </c>
      <c r="B103" s="29" t="n">
        <v>46260</v>
      </c>
      <c r="C103" s="7" t="s">
        <v>168</v>
      </c>
      <c r="D103" s="7" t="s">
        <v>157</v>
      </c>
      <c r="E103" s="30" t="n">
        <v>94314</v>
      </c>
      <c r="F103" s="31" t="n">
        <v>0.085</v>
      </c>
      <c r="G103" s="7" t="s">
        <v>153</v>
      </c>
    </row>
    <row r="104" customFormat="false" ht="15" hidden="false" customHeight="false" outlineLevel="0" collapsed="false">
      <c r="A104" s="7" t="s">
        <v>270</v>
      </c>
      <c r="B104" s="29" t="n">
        <v>46194</v>
      </c>
      <c r="C104" s="7" t="s">
        <v>164</v>
      </c>
      <c r="D104" s="7" t="s">
        <v>173</v>
      </c>
      <c r="E104" s="30" t="n">
        <v>12477</v>
      </c>
      <c r="F104" s="31" t="n">
        <v>0.065</v>
      </c>
      <c r="G104" s="7" t="s">
        <v>153</v>
      </c>
    </row>
    <row r="105" customFormat="false" ht="15" hidden="false" customHeight="false" outlineLevel="0" collapsed="false">
      <c r="A105" s="7" t="s">
        <v>271</v>
      </c>
      <c r="B105" s="29" t="n">
        <v>46249</v>
      </c>
      <c r="C105" s="7" t="s">
        <v>168</v>
      </c>
      <c r="D105" s="7" t="s">
        <v>173</v>
      </c>
      <c r="E105" s="30" t="n">
        <v>51481</v>
      </c>
      <c r="F105" s="31" t="n">
        <v>0</v>
      </c>
      <c r="G105" s="7" t="s">
        <v>161</v>
      </c>
    </row>
    <row r="106" customFormat="false" ht="15" hidden="false" customHeight="false" outlineLevel="0" collapsed="false">
      <c r="A106" s="7" t="s">
        <v>272</v>
      </c>
      <c r="B106" s="29" t="n">
        <v>46131</v>
      </c>
      <c r="C106" s="7" t="s">
        <v>168</v>
      </c>
      <c r="D106" s="7" t="s">
        <v>173</v>
      </c>
      <c r="E106" s="30" t="n">
        <v>80258</v>
      </c>
      <c r="F106" s="31" t="n">
        <v>0.11</v>
      </c>
      <c r="G106" s="7" t="s">
        <v>174</v>
      </c>
    </row>
    <row r="107" customFormat="false" ht="15" hidden="false" customHeight="false" outlineLevel="0" collapsed="false">
      <c r="A107" s="7" t="s">
        <v>273</v>
      </c>
      <c r="B107" s="29" t="n">
        <v>46198</v>
      </c>
      <c r="C107" s="7" t="s">
        <v>151</v>
      </c>
      <c r="D107" s="7" t="s">
        <v>152</v>
      </c>
      <c r="E107" s="30" t="n">
        <v>83373</v>
      </c>
      <c r="F107" s="31" t="n">
        <v>0.065</v>
      </c>
      <c r="G107" s="7" t="s">
        <v>153</v>
      </c>
    </row>
    <row r="108" customFormat="false" ht="15" hidden="false" customHeight="false" outlineLevel="0" collapsed="false">
      <c r="A108" s="7" t="s">
        <v>274</v>
      </c>
      <c r="B108" s="29" t="n">
        <v>46232</v>
      </c>
      <c r="C108" s="7" t="s">
        <v>151</v>
      </c>
      <c r="D108" s="7" t="s">
        <v>157</v>
      </c>
      <c r="E108" s="30" t="n">
        <v>91234</v>
      </c>
      <c r="F108" s="31" t="n">
        <v>0.02</v>
      </c>
      <c r="G108" s="7" t="s">
        <v>153</v>
      </c>
    </row>
    <row r="109" customFormat="false" ht="15" hidden="false" customHeight="false" outlineLevel="0" collapsed="false">
      <c r="A109" s="7" t="s">
        <v>275</v>
      </c>
      <c r="B109" s="29" t="n">
        <v>46193</v>
      </c>
      <c r="C109" s="7" t="s">
        <v>156</v>
      </c>
      <c r="D109" s="7" t="s">
        <v>157</v>
      </c>
      <c r="E109" s="30" t="n">
        <v>60280</v>
      </c>
      <c r="F109" s="31" t="n">
        <v>0.02</v>
      </c>
      <c r="G109" s="7" t="s">
        <v>153</v>
      </c>
    </row>
    <row r="110" customFormat="false" ht="15" hidden="false" customHeight="false" outlineLevel="0" collapsed="false">
      <c r="A110" s="7" t="s">
        <v>276</v>
      </c>
      <c r="B110" s="29" t="n">
        <v>46225</v>
      </c>
      <c r="C110" s="7" t="s">
        <v>164</v>
      </c>
      <c r="D110" s="7" t="s">
        <v>173</v>
      </c>
      <c r="E110" s="30" t="n">
        <v>30880</v>
      </c>
      <c r="F110" s="31" t="n">
        <v>0.085</v>
      </c>
      <c r="G110" s="7" t="s">
        <v>153</v>
      </c>
    </row>
    <row r="111" customFormat="false" ht="15" hidden="false" customHeight="false" outlineLevel="0" collapsed="false">
      <c r="A111" s="7" t="s">
        <v>277</v>
      </c>
      <c r="B111" s="29" t="n">
        <v>46210</v>
      </c>
      <c r="C111" s="7" t="s">
        <v>156</v>
      </c>
      <c r="D111" s="7" t="s">
        <v>173</v>
      </c>
      <c r="E111" s="30" t="n">
        <v>53140</v>
      </c>
      <c r="F111" s="31" t="n">
        <v>0.065</v>
      </c>
      <c r="G111" s="7" t="s">
        <v>174</v>
      </c>
    </row>
    <row r="112" customFormat="false" ht="15" hidden="false" customHeight="false" outlineLevel="0" collapsed="false">
      <c r="A112" s="7" t="s">
        <v>278</v>
      </c>
      <c r="B112" s="29" t="n">
        <v>46211</v>
      </c>
      <c r="C112" s="7" t="s">
        <v>151</v>
      </c>
      <c r="D112" s="7" t="s">
        <v>157</v>
      </c>
      <c r="E112" s="30" t="n">
        <v>22193</v>
      </c>
      <c r="F112" s="31" t="n">
        <v>0.14</v>
      </c>
      <c r="G112" s="7" t="s">
        <v>153</v>
      </c>
    </row>
    <row r="113" customFormat="false" ht="15" hidden="false" customHeight="false" outlineLevel="0" collapsed="false">
      <c r="A113" s="7" t="s">
        <v>279</v>
      </c>
      <c r="B113" s="29" t="n">
        <v>46174</v>
      </c>
      <c r="C113" s="7" t="s">
        <v>168</v>
      </c>
      <c r="D113" s="7" t="s">
        <v>152</v>
      </c>
      <c r="E113" s="30" t="n">
        <v>50025</v>
      </c>
      <c r="F113" s="31" t="n">
        <v>0.045</v>
      </c>
      <c r="G113" s="7" t="s">
        <v>161</v>
      </c>
    </row>
    <row r="114" customFormat="false" ht="15" hidden="false" customHeight="false" outlineLevel="0" collapsed="false">
      <c r="A114" s="7" t="s">
        <v>280</v>
      </c>
      <c r="B114" s="29" t="n">
        <v>46261</v>
      </c>
      <c r="C114" s="7" t="s">
        <v>164</v>
      </c>
      <c r="D114" s="7" t="s">
        <v>159</v>
      </c>
      <c r="E114" s="30" t="n">
        <v>97814</v>
      </c>
      <c r="F114" s="31" t="n">
        <v>0.085</v>
      </c>
      <c r="G114" s="7" t="s">
        <v>153</v>
      </c>
    </row>
    <row r="115" customFormat="false" ht="15" hidden="false" customHeight="false" outlineLevel="0" collapsed="false">
      <c r="A115" s="7" t="s">
        <v>281</v>
      </c>
      <c r="B115" s="29" t="n">
        <v>46207</v>
      </c>
      <c r="C115" s="7" t="s">
        <v>168</v>
      </c>
      <c r="D115" s="7" t="s">
        <v>173</v>
      </c>
      <c r="E115" s="30" t="n">
        <v>84689</v>
      </c>
      <c r="F115" s="31" t="n">
        <v>0.085</v>
      </c>
      <c r="G115" s="7" t="s">
        <v>153</v>
      </c>
    </row>
    <row r="116" customFormat="false" ht="15" hidden="false" customHeight="false" outlineLevel="0" collapsed="false">
      <c r="A116" s="7" t="s">
        <v>282</v>
      </c>
      <c r="B116" s="29" t="n">
        <v>46216</v>
      </c>
      <c r="C116" s="7" t="s">
        <v>168</v>
      </c>
      <c r="D116" s="7" t="s">
        <v>173</v>
      </c>
      <c r="E116" s="30" t="n">
        <v>56150</v>
      </c>
      <c r="F116" s="31" t="n">
        <v>0.14</v>
      </c>
      <c r="G116" s="7" t="s">
        <v>174</v>
      </c>
    </row>
    <row r="117" customFormat="false" ht="15" hidden="false" customHeight="false" outlineLevel="0" collapsed="false">
      <c r="A117" s="7" t="s">
        <v>283</v>
      </c>
      <c r="B117" s="29" t="n">
        <v>46215</v>
      </c>
      <c r="C117" s="7" t="s">
        <v>168</v>
      </c>
      <c r="D117" s="7" t="s">
        <v>159</v>
      </c>
      <c r="E117" s="30" t="n">
        <v>8571</v>
      </c>
      <c r="F117" s="31" t="n">
        <v>0.02</v>
      </c>
      <c r="G117" s="7" t="s">
        <v>153</v>
      </c>
    </row>
    <row r="118" customFormat="false" ht="15" hidden="false" customHeight="false" outlineLevel="0" collapsed="false">
      <c r="A118" s="7" t="s">
        <v>284</v>
      </c>
      <c r="B118" s="29" t="n">
        <v>46156</v>
      </c>
      <c r="C118" s="7" t="s">
        <v>151</v>
      </c>
      <c r="D118" s="7" t="s">
        <v>152</v>
      </c>
      <c r="E118" s="30" t="n">
        <v>75575</v>
      </c>
      <c r="F118" s="31" t="n">
        <v>0</v>
      </c>
      <c r="G118" s="7" t="s">
        <v>153</v>
      </c>
    </row>
    <row r="119" customFormat="false" ht="15" hidden="false" customHeight="false" outlineLevel="0" collapsed="false">
      <c r="A119" s="7" t="s">
        <v>285</v>
      </c>
      <c r="B119" s="29" t="n">
        <v>46122</v>
      </c>
      <c r="C119" s="7" t="s">
        <v>164</v>
      </c>
      <c r="D119" s="7" t="s">
        <v>173</v>
      </c>
      <c r="E119" s="30" t="n">
        <v>31755</v>
      </c>
      <c r="F119" s="31" t="n">
        <v>0.065</v>
      </c>
      <c r="G119" s="7" t="s">
        <v>153</v>
      </c>
    </row>
    <row r="120" customFormat="false" ht="15" hidden="false" customHeight="false" outlineLevel="0" collapsed="false">
      <c r="A120" s="7" t="s">
        <v>286</v>
      </c>
      <c r="B120" s="29" t="n">
        <v>46122</v>
      </c>
      <c r="C120" s="7" t="s">
        <v>156</v>
      </c>
      <c r="D120" s="7" t="s">
        <v>157</v>
      </c>
      <c r="E120" s="30" t="n">
        <v>43648</v>
      </c>
      <c r="F120" s="31" t="n">
        <v>0.14</v>
      </c>
      <c r="G120" s="7" t="s">
        <v>174</v>
      </c>
    </row>
    <row r="121" customFormat="false" ht="15" hidden="false" customHeight="false" outlineLevel="0" collapsed="false">
      <c r="A121" s="7" t="s">
        <v>287</v>
      </c>
      <c r="B121" s="29" t="n">
        <v>46121</v>
      </c>
      <c r="C121" s="7" t="s">
        <v>168</v>
      </c>
      <c r="D121" s="7" t="s">
        <v>159</v>
      </c>
      <c r="E121" s="30" t="n">
        <v>12281</v>
      </c>
      <c r="F121" s="31" t="n">
        <v>0.11</v>
      </c>
      <c r="G121" s="7" t="s">
        <v>161</v>
      </c>
    </row>
    <row r="122" customFormat="false" ht="15" hidden="false" customHeight="false" outlineLevel="0" collapsed="false">
      <c r="A122" s="7" t="s">
        <v>288</v>
      </c>
      <c r="B122" s="29" t="n">
        <v>46236</v>
      </c>
      <c r="C122" s="7" t="s">
        <v>164</v>
      </c>
      <c r="D122" s="7" t="s">
        <v>173</v>
      </c>
      <c r="E122" s="30" t="n">
        <v>23516</v>
      </c>
      <c r="F122" s="31" t="n">
        <v>0.02</v>
      </c>
      <c r="G122" s="7" t="s">
        <v>161</v>
      </c>
    </row>
    <row r="123" customFormat="false" ht="15" hidden="false" customHeight="false" outlineLevel="0" collapsed="false">
      <c r="A123" s="7" t="s">
        <v>289</v>
      </c>
      <c r="B123" s="29" t="n">
        <v>46184</v>
      </c>
      <c r="C123" s="7" t="s">
        <v>164</v>
      </c>
      <c r="D123" s="7" t="s">
        <v>152</v>
      </c>
      <c r="E123" s="30" t="n">
        <v>86929</v>
      </c>
      <c r="F123" s="31" t="n">
        <v>0.085</v>
      </c>
      <c r="G123" s="7" t="s">
        <v>161</v>
      </c>
    </row>
    <row r="124" customFormat="false" ht="15" hidden="false" customHeight="false" outlineLevel="0" collapsed="false">
      <c r="A124" s="7" t="s">
        <v>290</v>
      </c>
      <c r="B124" s="29" t="n">
        <v>46233</v>
      </c>
      <c r="C124" s="7" t="s">
        <v>168</v>
      </c>
      <c r="D124" s="7" t="s">
        <v>173</v>
      </c>
      <c r="E124" s="30" t="n">
        <v>48366</v>
      </c>
      <c r="F124" s="31" t="n">
        <v>0.11</v>
      </c>
      <c r="G124" s="7" t="s">
        <v>161</v>
      </c>
    </row>
    <row r="125" customFormat="false" ht="15" hidden="false" customHeight="false" outlineLevel="0" collapsed="false">
      <c r="A125" s="7" t="s">
        <v>291</v>
      </c>
      <c r="B125" s="29" t="n">
        <v>46155</v>
      </c>
      <c r="C125" s="7" t="s">
        <v>151</v>
      </c>
      <c r="D125" s="7" t="s">
        <v>159</v>
      </c>
      <c r="E125" s="30" t="n">
        <v>17979</v>
      </c>
      <c r="F125" s="31" t="n">
        <v>0.065</v>
      </c>
      <c r="G125" s="7" t="s">
        <v>181</v>
      </c>
    </row>
    <row r="126" customFormat="false" ht="15" hidden="false" customHeight="false" outlineLevel="0" collapsed="false">
      <c r="A126" s="7" t="s">
        <v>292</v>
      </c>
      <c r="B126" s="29" t="n">
        <v>46251</v>
      </c>
      <c r="C126" s="7" t="s">
        <v>156</v>
      </c>
      <c r="D126" s="7" t="s">
        <v>157</v>
      </c>
      <c r="E126" s="30" t="n">
        <v>52734</v>
      </c>
      <c r="F126" s="31" t="n">
        <v>0.065</v>
      </c>
      <c r="G126" s="7" t="s">
        <v>153</v>
      </c>
    </row>
    <row r="127" customFormat="false" ht="15" hidden="false" customHeight="false" outlineLevel="0" collapsed="false">
      <c r="A127" s="7" t="s">
        <v>293</v>
      </c>
      <c r="B127" s="29" t="n">
        <v>46121</v>
      </c>
      <c r="C127" s="7" t="s">
        <v>164</v>
      </c>
      <c r="D127" s="7" t="s">
        <v>157</v>
      </c>
      <c r="E127" s="30" t="n">
        <v>2803</v>
      </c>
      <c r="F127" s="31" t="n">
        <v>0.085</v>
      </c>
      <c r="G127" s="7" t="s">
        <v>153</v>
      </c>
    </row>
    <row r="128" customFormat="false" ht="15" hidden="false" customHeight="false" outlineLevel="0" collapsed="false">
      <c r="A128" s="7" t="s">
        <v>294</v>
      </c>
      <c r="B128" s="29" t="n">
        <v>46158</v>
      </c>
      <c r="C128" s="7" t="s">
        <v>164</v>
      </c>
      <c r="D128" s="7" t="s">
        <v>159</v>
      </c>
      <c r="E128" s="30" t="n">
        <v>11770</v>
      </c>
      <c r="F128" s="31" t="n">
        <v>0.085</v>
      </c>
      <c r="G128" s="7" t="s">
        <v>153</v>
      </c>
    </row>
    <row r="129" customFormat="false" ht="15" hidden="false" customHeight="false" outlineLevel="0" collapsed="false">
      <c r="A129" s="7" t="s">
        <v>295</v>
      </c>
      <c r="B129" s="29" t="n">
        <v>46199</v>
      </c>
      <c r="C129" s="7" t="s">
        <v>156</v>
      </c>
      <c r="D129" s="7" t="s">
        <v>159</v>
      </c>
      <c r="E129" s="30" t="n">
        <v>1221</v>
      </c>
      <c r="F129" s="31" t="n">
        <v>0.065</v>
      </c>
      <c r="G129" s="7" t="s">
        <v>153</v>
      </c>
    </row>
    <row r="130" customFormat="false" ht="15" hidden="false" customHeight="false" outlineLevel="0" collapsed="false">
      <c r="A130" s="7" t="s">
        <v>296</v>
      </c>
      <c r="B130" s="29" t="n">
        <v>46201</v>
      </c>
      <c r="C130" s="7" t="s">
        <v>164</v>
      </c>
      <c r="D130" s="7" t="s">
        <v>159</v>
      </c>
      <c r="E130" s="30" t="n">
        <v>52944</v>
      </c>
      <c r="F130" s="31" t="n">
        <v>0.085</v>
      </c>
      <c r="G130" s="7" t="s">
        <v>181</v>
      </c>
    </row>
    <row r="131" customFormat="false" ht="15" hidden="false" customHeight="false" outlineLevel="0" collapsed="false">
      <c r="A131" s="7" t="s">
        <v>297</v>
      </c>
      <c r="B131" s="29" t="n">
        <v>46175</v>
      </c>
      <c r="C131" s="7" t="s">
        <v>168</v>
      </c>
      <c r="D131" s="7" t="s">
        <v>157</v>
      </c>
      <c r="E131" s="30" t="n">
        <v>67791</v>
      </c>
      <c r="F131" s="31" t="n">
        <v>0.14</v>
      </c>
      <c r="G131" s="7" t="s">
        <v>161</v>
      </c>
    </row>
    <row r="132" customFormat="false" ht="15" hidden="false" customHeight="false" outlineLevel="0" collapsed="false">
      <c r="A132" s="7" t="s">
        <v>298</v>
      </c>
      <c r="B132" s="29" t="n">
        <v>46195</v>
      </c>
      <c r="C132" s="7" t="s">
        <v>164</v>
      </c>
      <c r="D132" s="7" t="s">
        <v>173</v>
      </c>
      <c r="E132" s="30" t="n">
        <v>63885</v>
      </c>
      <c r="F132" s="31" t="n">
        <v>0.02</v>
      </c>
      <c r="G132" s="7" t="s">
        <v>153</v>
      </c>
    </row>
    <row r="133" customFormat="false" ht="15" hidden="false" customHeight="false" outlineLevel="0" collapsed="false">
      <c r="A133" s="7" t="s">
        <v>299</v>
      </c>
      <c r="B133" s="29" t="n">
        <v>46210</v>
      </c>
      <c r="C133" s="7" t="s">
        <v>164</v>
      </c>
      <c r="D133" s="7" t="s">
        <v>157</v>
      </c>
      <c r="E133" s="30" t="n">
        <v>97114</v>
      </c>
      <c r="F133" s="31" t="n">
        <v>0.11</v>
      </c>
      <c r="G133" s="7" t="s">
        <v>153</v>
      </c>
    </row>
    <row r="134" customFormat="false" ht="15" hidden="false" customHeight="false" outlineLevel="0" collapsed="false">
      <c r="A134" s="7" t="s">
        <v>300</v>
      </c>
      <c r="B134" s="29" t="n">
        <v>46258</v>
      </c>
      <c r="C134" s="7" t="s">
        <v>156</v>
      </c>
      <c r="D134" s="7" t="s">
        <v>152</v>
      </c>
      <c r="E134" s="30" t="n">
        <v>10720</v>
      </c>
      <c r="F134" s="31" t="n">
        <v>0</v>
      </c>
      <c r="G134" s="7" t="s">
        <v>161</v>
      </c>
    </row>
    <row r="135" customFormat="false" ht="15" hidden="false" customHeight="false" outlineLevel="0" collapsed="false">
      <c r="A135" s="7" t="s">
        <v>301</v>
      </c>
      <c r="B135" s="29" t="n">
        <v>46118</v>
      </c>
      <c r="C135" s="7" t="s">
        <v>151</v>
      </c>
      <c r="D135" s="7" t="s">
        <v>159</v>
      </c>
      <c r="E135" s="30" t="n">
        <v>71172</v>
      </c>
      <c r="F135" s="31" t="n">
        <v>0</v>
      </c>
      <c r="G135" s="7" t="s">
        <v>153</v>
      </c>
    </row>
    <row r="136" customFormat="false" ht="15" hidden="false" customHeight="false" outlineLevel="0" collapsed="false">
      <c r="A136" s="7" t="s">
        <v>302</v>
      </c>
      <c r="B136" s="29" t="n">
        <v>46175</v>
      </c>
      <c r="C136" s="7" t="s">
        <v>168</v>
      </c>
      <c r="D136" s="7" t="s">
        <v>159</v>
      </c>
      <c r="E136" s="30" t="n">
        <v>92235</v>
      </c>
      <c r="F136" s="31" t="n">
        <v>0.045</v>
      </c>
      <c r="G136" s="7" t="s">
        <v>161</v>
      </c>
    </row>
    <row r="137" customFormat="false" ht="15" hidden="false" customHeight="false" outlineLevel="0" collapsed="false">
      <c r="A137" s="7" t="s">
        <v>303</v>
      </c>
      <c r="B137" s="29" t="n">
        <v>46115</v>
      </c>
      <c r="C137" s="7" t="s">
        <v>168</v>
      </c>
      <c r="D137" s="7" t="s">
        <v>152</v>
      </c>
      <c r="E137" s="30" t="n">
        <v>23999</v>
      </c>
      <c r="F137" s="31" t="n">
        <v>0.11</v>
      </c>
      <c r="G137" s="7" t="s">
        <v>153</v>
      </c>
    </row>
    <row r="138" customFormat="false" ht="15" hidden="false" customHeight="false" outlineLevel="0" collapsed="false">
      <c r="A138" s="7" t="s">
        <v>304</v>
      </c>
      <c r="B138" s="29" t="n">
        <v>46230</v>
      </c>
      <c r="C138" s="7" t="s">
        <v>151</v>
      </c>
      <c r="D138" s="7" t="s">
        <v>159</v>
      </c>
      <c r="E138" s="30" t="n">
        <v>29620</v>
      </c>
      <c r="F138" s="31" t="n">
        <v>0.11</v>
      </c>
      <c r="G138" s="7" t="s">
        <v>153</v>
      </c>
    </row>
    <row r="139" customFormat="false" ht="15" hidden="false" customHeight="false" outlineLevel="0" collapsed="false">
      <c r="A139" s="7" t="s">
        <v>305</v>
      </c>
      <c r="B139" s="29" t="n">
        <v>46153</v>
      </c>
      <c r="C139" s="7" t="s">
        <v>151</v>
      </c>
      <c r="D139" s="7" t="s">
        <v>157</v>
      </c>
      <c r="E139" s="30" t="n">
        <v>15053</v>
      </c>
      <c r="F139" s="31" t="n">
        <v>0</v>
      </c>
      <c r="G139" s="7" t="s">
        <v>153</v>
      </c>
    </row>
    <row r="140" customFormat="false" ht="15" hidden="false" customHeight="false" outlineLevel="0" collapsed="false">
      <c r="A140" s="7" t="s">
        <v>306</v>
      </c>
      <c r="B140" s="29" t="n">
        <v>46114</v>
      </c>
      <c r="C140" s="7" t="s">
        <v>151</v>
      </c>
      <c r="D140" s="7" t="s">
        <v>152</v>
      </c>
      <c r="E140" s="30" t="n">
        <v>72425</v>
      </c>
      <c r="F140" s="31" t="n">
        <v>0.02</v>
      </c>
      <c r="G140" s="7" t="s">
        <v>153</v>
      </c>
    </row>
    <row r="141" customFormat="false" ht="15" hidden="false" customHeight="false" outlineLevel="0" collapsed="false">
      <c r="A141" s="7" t="s">
        <v>307</v>
      </c>
      <c r="B141" s="29" t="n">
        <v>46177</v>
      </c>
      <c r="C141" s="7" t="s">
        <v>164</v>
      </c>
      <c r="D141" s="7" t="s">
        <v>152</v>
      </c>
      <c r="E141" s="30" t="n">
        <v>6317</v>
      </c>
      <c r="F141" s="31" t="n">
        <v>0.02</v>
      </c>
      <c r="G141" s="7" t="s">
        <v>153</v>
      </c>
    </row>
    <row r="142" customFormat="false" ht="15" hidden="false" customHeight="false" outlineLevel="0" collapsed="false">
      <c r="A142" s="7" t="s">
        <v>308</v>
      </c>
      <c r="B142" s="29" t="n">
        <v>46114</v>
      </c>
      <c r="C142" s="7" t="s">
        <v>156</v>
      </c>
      <c r="D142" s="7" t="s">
        <v>173</v>
      </c>
      <c r="E142" s="30" t="n">
        <v>87426</v>
      </c>
      <c r="F142" s="31" t="n">
        <v>0</v>
      </c>
      <c r="G142" s="7" t="s">
        <v>153</v>
      </c>
    </row>
    <row r="143" customFormat="false" ht="15" hidden="false" customHeight="false" outlineLevel="0" collapsed="false">
      <c r="A143" s="7" t="s">
        <v>309</v>
      </c>
      <c r="B143" s="29" t="n">
        <v>46196</v>
      </c>
      <c r="C143" s="7" t="s">
        <v>156</v>
      </c>
      <c r="D143" s="7" t="s">
        <v>173</v>
      </c>
      <c r="E143" s="30" t="n">
        <v>63871</v>
      </c>
      <c r="F143" s="31" t="n">
        <v>0.14</v>
      </c>
      <c r="G143" s="7" t="s">
        <v>153</v>
      </c>
    </row>
    <row r="144" customFormat="false" ht="15" hidden="false" customHeight="false" outlineLevel="0" collapsed="false">
      <c r="A144" s="7" t="s">
        <v>310</v>
      </c>
      <c r="B144" s="29" t="n">
        <v>46183</v>
      </c>
      <c r="C144" s="7" t="s">
        <v>156</v>
      </c>
      <c r="D144" s="7" t="s">
        <v>157</v>
      </c>
      <c r="E144" s="30" t="n">
        <v>31993</v>
      </c>
      <c r="F144" s="31" t="n">
        <v>0.11</v>
      </c>
      <c r="G144" s="7" t="s">
        <v>174</v>
      </c>
    </row>
    <row r="145" customFormat="false" ht="15" hidden="false" customHeight="false" outlineLevel="0" collapsed="false">
      <c r="A145" s="7" t="s">
        <v>311</v>
      </c>
      <c r="B145" s="29" t="n">
        <v>46189</v>
      </c>
      <c r="C145" s="7" t="s">
        <v>164</v>
      </c>
      <c r="D145" s="7" t="s">
        <v>157</v>
      </c>
      <c r="E145" s="30" t="n">
        <v>77864</v>
      </c>
      <c r="F145" s="31" t="n">
        <v>0.065</v>
      </c>
      <c r="G145" s="7" t="s">
        <v>153</v>
      </c>
    </row>
    <row r="146" customFormat="false" ht="15" hidden="false" customHeight="false" outlineLevel="0" collapsed="false">
      <c r="A146" s="7" t="s">
        <v>312</v>
      </c>
      <c r="B146" s="29" t="n">
        <v>46193</v>
      </c>
      <c r="C146" s="7" t="s">
        <v>168</v>
      </c>
      <c r="D146" s="7" t="s">
        <v>173</v>
      </c>
      <c r="E146" s="30" t="n">
        <v>88091</v>
      </c>
      <c r="F146" s="31" t="n">
        <v>0.085</v>
      </c>
      <c r="G146" s="7" t="s">
        <v>153</v>
      </c>
    </row>
    <row r="147" customFormat="false" ht="15" hidden="false" customHeight="false" outlineLevel="0" collapsed="false">
      <c r="A147" s="7" t="s">
        <v>313</v>
      </c>
      <c r="B147" s="29" t="n">
        <v>46165</v>
      </c>
      <c r="C147" s="7" t="s">
        <v>164</v>
      </c>
      <c r="D147" s="7" t="s">
        <v>152</v>
      </c>
      <c r="E147" s="30" t="n">
        <v>74070</v>
      </c>
      <c r="F147" s="31" t="n">
        <v>0.11</v>
      </c>
      <c r="G147" s="7" t="s">
        <v>174</v>
      </c>
    </row>
    <row r="148" customFormat="false" ht="15" hidden="false" customHeight="false" outlineLevel="0" collapsed="false">
      <c r="A148" s="7" t="s">
        <v>314</v>
      </c>
      <c r="B148" s="29" t="n">
        <v>46216</v>
      </c>
      <c r="C148" s="7" t="s">
        <v>164</v>
      </c>
      <c r="D148" s="7" t="s">
        <v>152</v>
      </c>
      <c r="E148" s="30" t="n">
        <v>42171</v>
      </c>
      <c r="F148" s="31" t="n">
        <v>0.02</v>
      </c>
      <c r="G148" s="7" t="s">
        <v>181</v>
      </c>
    </row>
    <row r="149" customFormat="false" ht="15" hidden="false" customHeight="false" outlineLevel="0" collapsed="false">
      <c r="A149" s="7" t="s">
        <v>315</v>
      </c>
      <c r="B149" s="29" t="n">
        <v>46171</v>
      </c>
      <c r="C149" s="7" t="s">
        <v>156</v>
      </c>
      <c r="D149" s="7" t="s">
        <v>152</v>
      </c>
      <c r="E149" s="30" t="n">
        <v>18945</v>
      </c>
      <c r="F149" s="31" t="n">
        <v>0.11</v>
      </c>
      <c r="G149" s="7" t="s">
        <v>153</v>
      </c>
    </row>
    <row r="150" customFormat="false" ht="15" hidden="false" customHeight="false" outlineLevel="0" collapsed="false">
      <c r="A150" s="7" t="s">
        <v>316</v>
      </c>
      <c r="B150" s="29" t="n">
        <v>46166</v>
      </c>
      <c r="C150" s="7" t="s">
        <v>151</v>
      </c>
      <c r="D150" s="7" t="s">
        <v>152</v>
      </c>
      <c r="E150" s="30" t="n">
        <v>1788</v>
      </c>
      <c r="F150" s="31" t="n">
        <v>0.085</v>
      </c>
      <c r="G150" s="7" t="s">
        <v>153</v>
      </c>
    </row>
    <row r="151" customFormat="false" ht="15" hidden="false" customHeight="false" outlineLevel="0" collapsed="false">
      <c r="A151" s="7" t="s">
        <v>317</v>
      </c>
      <c r="B151" s="29" t="n">
        <v>46209</v>
      </c>
      <c r="C151" s="7" t="s">
        <v>151</v>
      </c>
      <c r="D151" s="7" t="s">
        <v>152</v>
      </c>
      <c r="E151" s="30" t="n">
        <v>37145</v>
      </c>
      <c r="F151" s="31" t="n">
        <v>0.14</v>
      </c>
      <c r="G151" s="7" t="s">
        <v>174</v>
      </c>
    </row>
    <row r="152" customFormat="false" ht="15" hidden="false" customHeight="false" outlineLevel="0" collapsed="false">
      <c r="A152" s="7" t="s">
        <v>318</v>
      </c>
      <c r="B152" s="29" t="n">
        <v>46175</v>
      </c>
      <c r="C152" s="7" t="s">
        <v>164</v>
      </c>
      <c r="D152" s="7" t="s">
        <v>152</v>
      </c>
      <c r="E152" s="30" t="n">
        <v>77416</v>
      </c>
      <c r="F152" s="31" t="n">
        <v>0</v>
      </c>
      <c r="G152" s="7" t="s">
        <v>161</v>
      </c>
    </row>
    <row r="153" customFormat="false" ht="15" hidden="false" customHeight="false" outlineLevel="0" collapsed="false">
      <c r="A153" s="7" t="s">
        <v>319</v>
      </c>
      <c r="B153" s="29" t="n">
        <v>46163</v>
      </c>
      <c r="C153" s="7" t="s">
        <v>156</v>
      </c>
      <c r="D153" s="7" t="s">
        <v>157</v>
      </c>
      <c r="E153" s="30" t="n">
        <v>68064</v>
      </c>
      <c r="F153" s="31" t="n">
        <v>0.11</v>
      </c>
      <c r="G153" s="7" t="s">
        <v>153</v>
      </c>
    </row>
    <row r="154" customFormat="false" ht="15" hidden="false" customHeight="false" outlineLevel="0" collapsed="false">
      <c r="A154" s="7" t="s">
        <v>320</v>
      </c>
      <c r="B154" s="29" t="n">
        <v>46226</v>
      </c>
      <c r="C154" s="7" t="s">
        <v>168</v>
      </c>
      <c r="D154" s="7" t="s">
        <v>157</v>
      </c>
      <c r="E154" s="30" t="n">
        <v>67063</v>
      </c>
      <c r="F154" s="31" t="n">
        <v>0.11</v>
      </c>
      <c r="G154" s="7" t="s">
        <v>153</v>
      </c>
    </row>
    <row r="155" customFormat="false" ht="15" hidden="false" customHeight="false" outlineLevel="0" collapsed="false">
      <c r="A155" s="7" t="s">
        <v>321</v>
      </c>
      <c r="B155" s="29" t="n">
        <v>46191</v>
      </c>
      <c r="C155" s="7" t="s">
        <v>151</v>
      </c>
      <c r="D155" s="7" t="s">
        <v>152</v>
      </c>
      <c r="E155" s="30" t="n">
        <v>89449</v>
      </c>
      <c r="F155" s="31" t="n">
        <v>0.085</v>
      </c>
      <c r="G155" s="7" t="s">
        <v>153</v>
      </c>
    </row>
    <row r="156" customFormat="false" ht="15" hidden="false" customHeight="false" outlineLevel="0" collapsed="false">
      <c r="A156" s="7" t="s">
        <v>322</v>
      </c>
      <c r="B156" s="29" t="n">
        <v>46218</v>
      </c>
      <c r="C156" s="7" t="s">
        <v>164</v>
      </c>
      <c r="D156" s="7" t="s">
        <v>152</v>
      </c>
      <c r="E156" s="30" t="n">
        <v>57620</v>
      </c>
      <c r="F156" s="31" t="n">
        <v>0.14</v>
      </c>
      <c r="G156" s="7" t="s">
        <v>161</v>
      </c>
    </row>
    <row r="157" customFormat="false" ht="15" hidden="false" customHeight="false" outlineLevel="0" collapsed="false">
      <c r="A157" s="7" t="s">
        <v>323</v>
      </c>
      <c r="B157" s="29" t="n">
        <v>46242</v>
      </c>
      <c r="C157" s="7" t="s">
        <v>156</v>
      </c>
      <c r="D157" s="7" t="s">
        <v>152</v>
      </c>
      <c r="E157" s="30" t="n">
        <v>80300</v>
      </c>
      <c r="F157" s="31" t="n">
        <v>0.14</v>
      </c>
      <c r="G157" s="7" t="s">
        <v>153</v>
      </c>
    </row>
    <row r="158" customFormat="false" ht="15" hidden="false" customHeight="false" outlineLevel="0" collapsed="false">
      <c r="A158" s="7" t="s">
        <v>324</v>
      </c>
      <c r="B158" s="29" t="n">
        <v>46169</v>
      </c>
      <c r="C158" s="7" t="s">
        <v>164</v>
      </c>
      <c r="D158" s="7" t="s">
        <v>157</v>
      </c>
      <c r="E158" s="30" t="n">
        <v>83828</v>
      </c>
      <c r="F158" s="31" t="n">
        <v>0.065</v>
      </c>
      <c r="G158" s="7" t="s">
        <v>161</v>
      </c>
    </row>
    <row r="159" customFormat="false" ht="15" hidden="false" customHeight="false" outlineLevel="0" collapsed="false">
      <c r="A159" s="7" t="s">
        <v>325</v>
      </c>
      <c r="B159" s="29" t="n">
        <v>46206</v>
      </c>
      <c r="C159" s="7" t="s">
        <v>168</v>
      </c>
      <c r="D159" s="7" t="s">
        <v>159</v>
      </c>
      <c r="E159" s="30" t="n">
        <v>16663</v>
      </c>
      <c r="F159" s="31" t="n">
        <v>0.085</v>
      </c>
      <c r="G159" s="7" t="s">
        <v>153</v>
      </c>
    </row>
    <row r="160" customFormat="false" ht="15" hidden="false" customHeight="false" outlineLevel="0" collapsed="false">
      <c r="A160" s="7" t="s">
        <v>326</v>
      </c>
      <c r="B160" s="29" t="n">
        <v>46204</v>
      </c>
      <c r="C160" s="7" t="s">
        <v>168</v>
      </c>
      <c r="D160" s="7" t="s">
        <v>173</v>
      </c>
      <c r="E160" s="30" t="n">
        <v>63794</v>
      </c>
      <c r="F160" s="31" t="n">
        <v>0</v>
      </c>
      <c r="G160" s="7" t="s">
        <v>153</v>
      </c>
    </row>
    <row r="161" customFormat="false" ht="15" hidden="false" customHeight="false" outlineLevel="0" collapsed="false">
      <c r="A161" s="7" t="s">
        <v>327</v>
      </c>
      <c r="B161" s="29" t="n">
        <v>46157</v>
      </c>
      <c r="C161" s="7" t="s">
        <v>156</v>
      </c>
      <c r="D161" s="7" t="s">
        <v>157</v>
      </c>
      <c r="E161" s="30" t="n">
        <v>26764</v>
      </c>
      <c r="F161" s="31" t="n">
        <v>0.065</v>
      </c>
      <c r="G161" s="7" t="s">
        <v>174</v>
      </c>
    </row>
    <row r="162" customFormat="false" ht="15" hidden="false" customHeight="false" outlineLevel="0" collapsed="false">
      <c r="A162" s="7" t="s">
        <v>328</v>
      </c>
      <c r="B162" s="29" t="n">
        <v>46153</v>
      </c>
      <c r="C162" s="7" t="s">
        <v>156</v>
      </c>
      <c r="D162" s="7" t="s">
        <v>159</v>
      </c>
      <c r="E162" s="30" t="n">
        <v>55443</v>
      </c>
      <c r="F162" s="31" t="n">
        <v>0.045</v>
      </c>
      <c r="G162" s="7" t="s">
        <v>153</v>
      </c>
    </row>
    <row r="163" customFormat="false" ht="15" hidden="false" customHeight="false" outlineLevel="0" collapsed="false">
      <c r="A163" s="7" t="s">
        <v>329</v>
      </c>
      <c r="B163" s="29" t="n">
        <v>46134</v>
      </c>
      <c r="C163" s="7" t="s">
        <v>168</v>
      </c>
      <c r="D163" s="7" t="s">
        <v>173</v>
      </c>
      <c r="E163" s="30" t="n">
        <v>68624</v>
      </c>
      <c r="F163" s="31" t="n">
        <v>0.02</v>
      </c>
      <c r="G163" s="7" t="s">
        <v>153</v>
      </c>
    </row>
    <row r="164" customFormat="false" ht="15" hidden="false" customHeight="false" outlineLevel="0" collapsed="false">
      <c r="A164" s="7" t="s">
        <v>330</v>
      </c>
      <c r="B164" s="29" t="n">
        <v>46230</v>
      </c>
      <c r="C164" s="7" t="s">
        <v>151</v>
      </c>
      <c r="D164" s="7" t="s">
        <v>173</v>
      </c>
      <c r="E164" s="30" t="n">
        <v>16243</v>
      </c>
      <c r="F164" s="31" t="n">
        <v>0.065</v>
      </c>
      <c r="G164" s="7" t="s">
        <v>153</v>
      </c>
    </row>
    <row r="165" customFormat="false" ht="15" hidden="false" customHeight="false" outlineLevel="0" collapsed="false">
      <c r="A165" s="7" t="s">
        <v>331</v>
      </c>
      <c r="B165" s="29" t="n">
        <v>46192</v>
      </c>
      <c r="C165" s="7" t="s">
        <v>168</v>
      </c>
      <c r="D165" s="7" t="s">
        <v>173</v>
      </c>
      <c r="E165" s="30" t="n">
        <v>69793</v>
      </c>
      <c r="F165" s="31" t="n">
        <v>0</v>
      </c>
      <c r="G165" s="7" t="s">
        <v>161</v>
      </c>
    </row>
    <row r="166" customFormat="false" ht="15" hidden="false" customHeight="false" outlineLevel="0" collapsed="false">
      <c r="A166" s="7" t="s">
        <v>332</v>
      </c>
      <c r="B166" s="29" t="n">
        <v>46151</v>
      </c>
      <c r="C166" s="7" t="s">
        <v>156</v>
      </c>
      <c r="D166" s="7" t="s">
        <v>157</v>
      </c>
      <c r="E166" s="30" t="n">
        <v>80622</v>
      </c>
      <c r="F166" s="31" t="n">
        <v>0</v>
      </c>
      <c r="G166" s="7" t="s">
        <v>161</v>
      </c>
    </row>
    <row r="167" customFormat="false" ht="15" hidden="false" customHeight="false" outlineLevel="0" collapsed="false">
      <c r="A167" s="7" t="s">
        <v>333</v>
      </c>
      <c r="B167" s="29" t="n">
        <v>46161</v>
      </c>
      <c r="C167" s="7" t="s">
        <v>168</v>
      </c>
      <c r="D167" s="7" t="s">
        <v>157</v>
      </c>
      <c r="E167" s="30" t="n">
        <v>59083</v>
      </c>
      <c r="F167" s="31" t="n">
        <v>0.045</v>
      </c>
      <c r="G167" s="7" t="s">
        <v>153</v>
      </c>
    </row>
    <row r="168" customFormat="false" ht="15" hidden="false" customHeight="false" outlineLevel="0" collapsed="false">
      <c r="A168" s="7" t="s">
        <v>334</v>
      </c>
      <c r="B168" s="29" t="n">
        <v>46144</v>
      </c>
      <c r="C168" s="7" t="s">
        <v>164</v>
      </c>
      <c r="D168" s="7" t="s">
        <v>159</v>
      </c>
      <c r="E168" s="30" t="n">
        <v>34534</v>
      </c>
      <c r="F168" s="31" t="n">
        <v>0.02</v>
      </c>
      <c r="G168" s="7" t="s">
        <v>153</v>
      </c>
    </row>
    <row r="169" customFormat="false" ht="15" hidden="false" customHeight="false" outlineLevel="0" collapsed="false">
      <c r="A169" s="7" t="s">
        <v>335</v>
      </c>
      <c r="B169" s="29" t="n">
        <v>46138</v>
      </c>
      <c r="C169" s="7" t="s">
        <v>168</v>
      </c>
      <c r="D169" s="7" t="s">
        <v>157</v>
      </c>
      <c r="E169" s="30" t="n">
        <v>10881</v>
      </c>
      <c r="F169" s="31" t="n">
        <v>0.14</v>
      </c>
      <c r="G169" s="7" t="s">
        <v>174</v>
      </c>
    </row>
    <row r="170" customFormat="false" ht="15" hidden="false" customHeight="false" outlineLevel="0" collapsed="false">
      <c r="A170" s="7" t="s">
        <v>336</v>
      </c>
      <c r="B170" s="29" t="n">
        <v>46136</v>
      </c>
      <c r="C170" s="7" t="s">
        <v>164</v>
      </c>
      <c r="D170" s="7" t="s">
        <v>157</v>
      </c>
      <c r="E170" s="30" t="n">
        <v>49108</v>
      </c>
      <c r="F170" s="31" t="n">
        <v>0.065</v>
      </c>
      <c r="G170" s="7" t="s">
        <v>181</v>
      </c>
    </row>
    <row r="171" customFormat="false" ht="15" hidden="false" customHeight="false" outlineLevel="0" collapsed="false">
      <c r="A171" s="7" t="s">
        <v>337</v>
      </c>
      <c r="B171" s="29" t="n">
        <v>46129</v>
      </c>
      <c r="C171" s="7" t="s">
        <v>156</v>
      </c>
      <c r="D171" s="7" t="s">
        <v>173</v>
      </c>
      <c r="E171" s="30" t="n">
        <v>77871</v>
      </c>
      <c r="F171" s="31" t="n">
        <v>0.065</v>
      </c>
      <c r="G171" s="7" t="s">
        <v>153</v>
      </c>
    </row>
    <row r="172" customFormat="false" ht="15" hidden="false" customHeight="false" outlineLevel="0" collapsed="false">
      <c r="A172" s="7" t="s">
        <v>338</v>
      </c>
      <c r="B172" s="29" t="n">
        <v>46138</v>
      </c>
      <c r="C172" s="7" t="s">
        <v>168</v>
      </c>
      <c r="D172" s="7" t="s">
        <v>157</v>
      </c>
      <c r="E172" s="30" t="n">
        <v>19561</v>
      </c>
      <c r="F172" s="31" t="n">
        <v>0.02</v>
      </c>
      <c r="G172" s="7" t="s">
        <v>153</v>
      </c>
    </row>
    <row r="173" customFormat="false" ht="15" hidden="false" customHeight="false" outlineLevel="0" collapsed="false">
      <c r="A173" s="7" t="s">
        <v>339</v>
      </c>
      <c r="B173" s="29" t="n">
        <v>46130</v>
      </c>
      <c r="C173" s="7" t="s">
        <v>164</v>
      </c>
      <c r="D173" s="7" t="s">
        <v>159</v>
      </c>
      <c r="E173" s="30" t="n">
        <v>16719</v>
      </c>
      <c r="F173" s="31" t="n">
        <v>0.065</v>
      </c>
      <c r="G173" s="7" t="s">
        <v>153</v>
      </c>
    </row>
    <row r="174" customFormat="false" ht="15" hidden="false" customHeight="false" outlineLevel="0" collapsed="false">
      <c r="A174" s="7" t="s">
        <v>340</v>
      </c>
      <c r="B174" s="29" t="n">
        <v>46156</v>
      </c>
      <c r="C174" s="7" t="s">
        <v>164</v>
      </c>
      <c r="D174" s="7" t="s">
        <v>159</v>
      </c>
      <c r="E174" s="30" t="n">
        <v>91045</v>
      </c>
      <c r="F174" s="31" t="n">
        <v>0.085</v>
      </c>
      <c r="G174" s="7" t="s">
        <v>161</v>
      </c>
    </row>
    <row r="175" customFormat="false" ht="15" hidden="false" customHeight="false" outlineLevel="0" collapsed="false">
      <c r="A175" s="7" t="s">
        <v>341</v>
      </c>
      <c r="B175" s="29" t="n">
        <v>46191</v>
      </c>
      <c r="C175" s="7" t="s">
        <v>164</v>
      </c>
      <c r="D175" s="7" t="s">
        <v>157</v>
      </c>
      <c r="E175" s="30" t="n">
        <v>90933</v>
      </c>
      <c r="F175" s="31" t="n">
        <v>0.14</v>
      </c>
      <c r="G175" s="7" t="s">
        <v>153</v>
      </c>
    </row>
    <row r="176" customFormat="false" ht="15" hidden="false" customHeight="false" outlineLevel="0" collapsed="false">
      <c r="A176" s="7" t="s">
        <v>342</v>
      </c>
      <c r="B176" s="29" t="n">
        <v>46170</v>
      </c>
      <c r="C176" s="7" t="s">
        <v>156</v>
      </c>
      <c r="D176" s="7" t="s">
        <v>173</v>
      </c>
      <c r="E176" s="30" t="n">
        <v>68407</v>
      </c>
      <c r="F176" s="31" t="n">
        <v>0.065</v>
      </c>
      <c r="G176" s="7" t="s">
        <v>181</v>
      </c>
    </row>
    <row r="177" customFormat="false" ht="15" hidden="false" customHeight="false" outlineLevel="0" collapsed="false">
      <c r="A177" s="7" t="s">
        <v>343</v>
      </c>
      <c r="B177" s="29" t="n">
        <v>46134</v>
      </c>
      <c r="C177" s="7" t="s">
        <v>151</v>
      </c>
      <c r="D177" s="7" t="s">
        <v>152</v>
      </c>
      <c r="E177" s="30" t="n">
        <v>36291</v>
      </c>
      <c r="F177" s="31" t="n">
        <v>0.045</v>
      </c>
      <c r="G177" s="7" t="s">
        <v>153</v>
      </c>
    </row>
    <row r="178" customFormat="false" ht="15" hidden="false" customHeight="false" outlineLevel="0" collapsed="false">
      <c r="A178" s="7" t="s">
        <v>344</v>
      </c>
      <c r="B178" s="29" t="n">
        <v>46261</v>
      </c>
      <c r="C178" s="7" t="s">
        <v>156</v>
      </c>
      <c r="D178" s="7" t="s">
        <v>159</v>
      </c>
      <c r="E178" s="30" t="n">
        <v>59426</v>
      </c>
      <c r="F178" s="31" t="n">
        <v>0.085</v>
      </c>
      <c r="G178" s="7" t="s">
        <v>153</v>
      </c>
    </row>
    <row r="179" customFormat="false" ht="15" hidden="false" customHeight="false" outlineLevel="0" collapsed="false">
      <c r="A179" s="7" t="s">
        <v>345</v>
      </c>
      <c r="B179" s="29" t="n">
        <v>46121</v>
      </c>
      <c r="C179" s="7" t="s">
        <v>151</v>
      </c>
      <c r="D179" s="7" t="s">
        <v>152</v>
      </c>
      <c r="E179" s="30" t="n">
        <v>48450</v>
      </c>
      <c r="F179" s="31" t="n">
        <v>0.085</v>
      </c>
      <c r="G179" s="7" t="s">
        <v>153</v>
      </c>
    </row>
    <row r="180" customFormat="false" ht="15" hidden="false" customHeight="false" outlineLevel="0" collapsed="false">
      <c r="A180" s="7" t="s">
        <v>346</v>
      </c>
      <c r="B180" s="29" t="n">
        <v>46218</v>
      </c>
      <c r="C180" s="7" t="s">
        <v>151</v>
      </c>
      <c r="D180" s="7" t="s">
        <v>152</v>
      </c>
      <c r="E180" s="30" t="n">
        <v>45972</v>
      </c>
      <c r="F180" s="31" t="n">
        <v>0.02</v>
      </c>
      <c r="G180" s="7" t="s">
        <v>161</v>
      </c>
    </row>
    <row r="181" customFormat="false" ht="15" hidden="false" customHeight="false" outlineLevel="0" collapsed="false">
      <c r="A181" s="7" t="s">
        <v>347</v>
      </c>
      <c r="B181" s="29" t="n">
        <v>46226</v>
      </c>
      <c r="C181" s="7" t="s">
        <v>164</v>
      </c>
      <c r="D181" s="7" t="s">
        <v>152</v>
      </c>
      <c r="E181" s="30" t="n">
        <v>93866</v>
      </c>
      <c r="F181" s="31" t="n">
        <v>0.045</v>
      </c>
      <c r="G181" s="7" t="s">
        <v>153</v>
      </c>
    </row>
    <row r="182" customFormat="false" ht="15" hidden="false" customHeight="false" outlineLevel="0" collapsed="false">
      <c r="A182" s="7" t="s">
        <v>348</v>
      </c>
      <c r="B182" s="29" t="n">
        <v>46176</v>
      </c>
      <c r="C182" s="7" t="s">
        <v>164</v>
      </c>
      <c r="D182" s="7" t="s">
        <v>159</v>
      </c>
      <c r="E182" s="30" t="n">
        <v>18231</v>
      </c>
      <c r="F182" s="31" t="n">
        <v>0.085</v>
      </c>
      <c r="G182" s="7" t="s">
        <v>153</v>
      </c>
    </row>
    <row r="183" customFormat="false" ht="15" hidden="false" customHeight="false" outlineLevel="0" collapsed="false">
      <c r="A183" s="7" t="s">
        <v>349</v>
      </c>
      <c r="B183" s="29" t="n">
        <v>46194</v>
      </c>
      <c r="C183" s="7" t="s">
        <v>151</v>
      </c>
      <c r="D183" s="7" t="s">
        <v>173</v>
      </c>
      <c r="E183" s="30" t="n">
        <v>60840</v>
      </c>
      <c r="F183" s="31" t="n">
        <v>0.11</v>
      </c>
      <c r="G183" s="7" t="s">
        <v>153</v>
      </c>
    </row>
    <row r="184" customFormat="false" ht="15" hidden="false" customHeight="false" outlineLevel="0" collapsed="false">
      <c r="A184" s="7" t="s">
        <v>350</v>
      </c>
      <c r="B184" s="29" t="n">
        <v>46221</v>
      </c>
      <c r="C184" s="7" t="s">
        <v>151</v>
      </c>
      <c r="D184" s="7" t="s">
        <v>157</v>
      </c>
      <c r="E184" s="30" t="n">
        <v>93740</v>
      </c>
      <c r="F184" s="31" t="n">
        <v>0.11</v>
      </c>
      <c r="G184" s="7" t="s">
        <v>153</v>
      </c>
    </row>
    <row r="185" customFormat="false" ht="15" hidden="false" customHeight="false" outlineLevel="0" collapsed="false">
      <c r="A185" s="7" t="s">
        <v>351</v>
      </c>
      <c r="B185" s="29" t="n">
        <v>46208</v>
      </c>
      <c r="C185" s="7" t="s">
        <v>168</v>
      </c>
      <c r="D185" s="7" t="s">
        <v>157</v>
      </c>
      <c r="E185" s="30" t="n">
        <v>23754</v>
      </c>
      <c r="F185" s="31" t="n">
        <v>0.14</v>
      </c>
      <c r="G185" s="7" t="s">
        <v>161</v>
      </c>
    </row>
    <row r="186" customFormat="false" ht="15" hidden="false" customHeight="false" outlineLevel="0" collapsed="false">
      <c r="A186" s="7" t="s">
        <v>352</v>
      </c>
      <c r="B186" s="29" t="n">
        <v>46262</v>
      </c>
      <c r="C186" s="7" t="s">
        <v>156</v>
      </c>
      <c r="D186" s="7" t="s">
        <v>157</v>
      </c>
      <c r="E186" s="30" t="n">
        <v>44320</v>
      </c>
      <c r="F186" s="31" t="n">
        <v>0.045</v>
      </c>
      <c r="G186" s="7" t="s">
        <v>153</v>
      </c>
    </row>
    <row r="187" customFormat="false" ht="15" hidden="false" customHeight="false" outlineLevel="0" collapsed="false">
      <c r="A187" s="7" t="s">
        <v>353</v>
      </c>
      <c r="B187" s="29" t="n">
        <v>46204</v>
      </c>
      <c r="C187" s="7" t="s">
        <v>156</v>
      </c>
      <c r="D187" s="7" t="s">
        <v>152</v>
      </c>
      <c r="E187" s="30" t="n">
        <v>2817</v>
      </c>
      <c r="F187" s="31" t="n">
        <v>0.14</v>
      </c>
      <c r="G187" s="7" t="s">
        <v>153</v>
      </c>
    </row>
    <row r="188" customFormat="false" ht="15" hidden="false" customHeight="false" outlineLevel="0" collapsed="false">
      <c r="A188" s="7" t="s">
        <v>354</v>
      </c>
      <c r="B188" s="29" t="n">
        <v>46235</v>
      </c>
      <c r="C188" s="7" t="s">
        <v>164</v>
      </c>
      <c r="D188" s="7" t="s">
        <v>157</v>
      </c>
      <c r="E188" s="30" t="n">
        <v>13366</v>
      </c>
      <c r="F188" s="31" t="n">
        <v>0.065</v>
      </c>
      <c r="G188" s="7" t="s">
        <v>153</v>
      </c>
    </row>
    <row r="189" customFormat="false" ht="15" hidden="false" customHeight="false" outlineLevel="0" collapsed="false">
      <c r="A189" s="7" t="s">
        <v>355</v>
      </c>
      <c r="B189" s="29" t="n">
        <v>46118</v>
      </c>
      <c r="C189" s="7" t="s">
        <v>168</v>
      </c>
      <c r="D189" s="7" t="s">
        <v>152</v>
      </c>
      <c r="E189" s="30" t="n">
        <v>45853</v>
      </c>
      <c r="F189" s="31" t="n">
        <v>0.085</v>
      </c>
      <c r="G189" s="7" t="s">
        <v>174</v>
      </c>
    </row>
    <row r="190" customFormat="false" ht="15" hidden="false" customHeight="false" outlineLevel="0" collapsed="false">
      <c r="A190" s="7" t="s">
        <v>356</v>
      </c>
      <c r="B190" s="29" t="n">
        <v>46126</v>
      </c>
      <c r="C190" s="7" t="s">
        <v>164</v>
      </c>
      <c r="D190" s="7" t="s">
        <v>152</v>
      </c>
      <c r="E190" s="30" t="n">
        <v>9621</v>
      </c>
      <c r="F190" s="31" t="n">
        <v>0.065</v>
      </c>
      <c r="G190" s="7" t="s">
        <v>153</v>
      </c>
    </row>
    <row r="191" customFormat="false" ht="15" hidden="false" customHeight="false" outlineLevel="0" collapsed="false">
      <c r="A191" s="7" t="s">
        <v>357</v>
      </c>
      <c r="B191" s="29" t="n">
        <v>46189</v>
      </c>
      <c r="C191" s="7" t="s">
        <v>168</v>
      </c>
      <c r="D191" s="7" t="s">
        <v>152</v>
      </c>
      <c r="E191" s="30" t="n">
        <v>7087</v>
      </c>
      <c r="F191" s="31" t="n">
        <v>0</v>
      </c>
      <c r="G191" s="7" t="s">
        <v>153</v>
      </c>
    </row>
    <row r="192" customFormat="false" ht="15" hidden="false" customHeight="false" outlineLevel="0" collapsed="false">
      <c r="A192" s="7" t="s">
        <v>358</v>
      </c>
      <c r="B192" s="29" t="n">
        <v>46127</v>
      </c>
      <c r="C192" s="7" t="s">
        <v>164</v>
      </c>
      <c r="D192" s="7" t="s">
        <v>159</v>
      </c>
      <c r="E192" s="30" t="n">
        <v>96820</v>
      </c>
      <c r="F192" s="31" t="n">
        <v>0</v>
      </c>
      <c r="G192" s="7" t="s">
        <v>161</v>
      </c>
    </row>
    <row r="193" customFormat="false" ht="15" hidden="false" customHeight="false" outlineLevel="0" collapsed="false">
      <c r="A193" s="7" t="s">
        <v>359</v>
      </c>
      <c r="B193" s="29" t="n">
        <v>46251</v>
      </c>
      <c r="C193" s="7" t="s">
        <v>156</v>
      </c>
      <c r="D193" s="7" t="s">
        <v>173</v>
      </c>
      <c r="E193" s="30" t="n">
        <v>40995</v>
      </c>
      <c r="F193" s="31" t="n">
        <v>0.045</v>
      </c>
      <c r="G193" s="7" t="s">
        <v>153</v>
      </c>
    </row>
    <row r="194" customFormat="false" ht="15" hidden="false" customHeight="false" outlineLevel="0" collapsed="false">
      <c r="A194" s="7" t="s">
        <v>360</v>
      </c>
      <c r="B194" s="29" t="n">
        <v>46220</v>
      </c>
      <c r="C194" s="7" t="s">
        <v>164</v>
      </c>
      <c r="D194" s="7" t="s">
        <v>173</v>
      </c>
      <c r="E194" s="30" t="n">
        <v>75316</v>
      </c>
      <c r="F194" s="31" t="n">
        <v>0</v>
      </c>
      <c r="G194" s="7" t="s">
        <v>161</v>
      </c>
    </row>
    <row r="195" customFormat="false" ht="15" hidden="false" customHeight="false" outlineLevel="0" collapsed="false">
      <c r="A195" s="7" t="s">
        <v>361</v>
      </c>
      <c r="B195" s="29" t="n">
        <v>46131</v>
      </c>
      <c r="C195" s="7" t="s">
        <v>168</v>
      </c>
      <c r="D195" s="7" t="s">
        <v>157</v>
      </c>
      <c r="E195" s="30" t="n">
        <v>41730</v>
      </c>
      <c r="F195" s="31" t="n">
        <v>0</v>
      </c>
      <c r="G195" s="7" t="s">
        <v>153</v>
      </c>
    </row>
    <row r="196" customFormat="false" ht="15" hidden="false" customHeight="false" outlineLevel="0" collapsed="false">
      <c r="A196" s="7" t="s">
        <v>362</v>
      </c>
      <c r="B196" s="29" t="n">
        <v>46256</v>
      </c>
      <c r="C196" s="7" t="s">
        <v>151</v>
      </c>
      <c r="D196" s="7" t="s">
        <v>152</v>
      </c>
      <c r="E196" s="30" t="n">
        <v>89456</v>
      </c>
      <c r="F196" s="31" t="n">
        <v>0.065</v>
      </c>
      <c r="G196" s="7" t="s">
        <v>174</v>
      </c>
    </row>
    <row r="197" customFormat="false" ht="15" hidden="false" customHeight="false" outlineLevel="0" collapsed="false">
      <c r="A197" s="7" t="s">
        <v>363</v>
      </c>
      <c r="B197" s="29" t="n">
        <v>46255</v>
      </c>
      <c r="C197" s="7" t="s">
        <v>151</v>
      </c>
      <c r="D197" s="7" t="s">
        <v>157</v>
      </c>
      <c r="E197" s="30" t="n">
        <v>4154</v>
      </c>
      <c r="F197" s="31" t="n">
        <v>0.02</v>
      </c>
      <c r="G197" s="7" t="s">
        <v>174</v>
      </c>
    </row>
    <row r="198" customFormat="false" ht="15" hidden="false" customHeight="false" outlineLevel="0" collapsed="false">
      <c r="A198" s="7" t="s">
        <v>364</v>
      </c>
      <c r="B198" s="29" t="n">
        <v>46219</v>
      </c>
      <c r="C198" s="7" t="s">
        <v>156</v>
      </c>
      <c r="D198" s="7" t="s">
        <v>152</v>
      </c>
      <c r="E198" s="30" t="n">
        <v>4133</v>
      </c>
      <c r="F198" s="31" t="n">
        <v>0.11</v>
      </c>
      <c r="G198" s="7" t="s">
        <v>174</v>
      </c>
    </row>
    <row r="199" customFormat="false" ht="15" hidden="false" customHeight="false" outlineLevel="0" collapsed="false">
      <c r="A199" s="7" t="s">
        <v>365</v>
      </c>
      <c r="B199" s="29" t="n">
        <v>46250</v>
      </c>
      <c r="C199" s="7" t="s">
        <v>164</v>
      </c>
      <c r="D199" s="7" t="s">
        <v>157</v>
      </c>
      <c r="E199" s="30" t="n">
        <v>59734</v>
      </c>
      <c r="F199" s="31" t="n">
        <v>0.11</v>
      </c>
      <c r="G199" s="7" t="s">
        <v>153</v>
      </c>
    </row>
    <row r="200" customFormat="false" ht="15" hidden="false" customHeight="false" outlineLevel="0" collapsed="false">
      <c r="A200" s="7" t="s">
        <v>366</v>
      </c>
      <c r="B200" s="29" t="n">
        <v>46229</v>
      </c>
      <c r="C200" s="7" t="s">
        <v>168</v>
      </c>
      <c r="D200" s="7" t="s">
        <v>157</v>
      </c>
      <c r="E200" s="30" t="n">
        <v>55793</v>
      </c>
      <c r="F200" s="31" t="n">
        <v>0.14</v>
      </c>
      <c r="G200" s="7" t="s">
        <v>153</v>
      </c>
    </row>
    <row r="201" customFormat="false" ht="15" hidden="false" customHeight="false" outlineLevel="0" collapsed="false">
      <c r="A201" s="7" t="s">
        <v>367</v>
      </c>
      <c r="B201" s="29" t="n">
        <v>46150</v>
      </c>
      <c r="C201" s="7" t="s">
        <v>168</v>
      </c>
      <c r="D201" s="7" t="s">
        <v>152</v>
      </c>
      <c r="E201" s="30" t="n">
        <v>38790</v>
      </c>
      <c r="F201" s="31" t="n">
        <v>0.14</v>
      </c>
      <c r="G201" s="7" t="s">
        <v>161</v>
      </c>
    </row>
    <row r="202" customFormat="false" ht="15" hidden="false" customHeight="false" outlineLevel="0" collapsed="false">
      <c r="A202" s="7" t="s">
        <v>368</v>
      </c>
      <c r="B202" s="29" t="n">
        <v>46145</v>
      </c>
      <c r="C202" s="7" t="s">
        <v>156</v>
      </c>
      <c r="D202" s="7" t="s">
        <v>152</v>
      </c>
      <c r="E202" s="30" t="n">
        <v>79502</v>
      </c>
      <c r="F202" s="31" t="n">
        <v>0.11</v>
      </c>
      <c r="G202" s="7" t="s">
        <v>153</v>
      </c>
    </row>
    <row r="203" customFormat="false" ht="15" hidden="false" customHeight="false" outlineLevel="0" collapsed="false">
      <c r="A203" s="7" t="s">
        <v>369</v>
      </c>
      <c r="B203" s="29" t="n">
        <v>46151</v>
      </c>
      <c r="C203" s="7" t="s">
        <v>164</v>
      </c>
      <c r="D203" s="7" t="s">
        <v>159</v>
      </c>
      <c r="E203" s="30" t="n">
        <v>36025</v>
      </c>
      <c r="F203" s="31" t="n">
        <v>0.14</v>
      </c>
      <c r="G203" s="7" t="s">
        <v>181</v>
      </c>
    </row>
    <row r="204" customFormat="false" ht="15" hidden="false" customHeight="false" outlineLevel="0" collapsed="false">
      <c r="A204" s="7" t="s">
        <v>370</v>
      </c>
      <c r="B204" s="29" t="n">
        <v>46188</v>
      </c>
      <c r="C204" s="7" t="s">
        <v>164</v>
      </c>
      <c r="D204" s="7" t="s">
        <v>173</v>
      </c>
      <c r="E204" s="30" t="n">
        <v>52825</v>
      </c>
      <c r="F204" s="31" t="n">
        <v>0.02</v>
      </c>
      <c r="G204" s="7" t="s">
        <v>153</v>
      </c>
    </row>
    <row r="205" customFormat="false" ht="15" hidden="false" customHeight="false" outlineLevel="0" collapsed="false">
      <c r="A205" s="7" t="s">
        <v>371</v>
      </c>
      <c r="B205" s="29" t="n">
        <v>46132</v>
      </c>
      <c r="C205" s="7" t="s">
        <v>156</v>
      </c>
      <c r="D205" s="7" t="s">
        <v>173</v>
      </c>
      <c r="E205" s="30" t="n">
        <v>38587</v>
      </c>
      <c r="F205" s="31" t="n">
        <v>0.14</v>
      </c>
      <c r="G205" s="7" t="s">
        <v>174</v>
      </c>
    </row>
    <row r="206" customFormat="false" ht="15" hidden="false" customHeight="false" outlineLevel="0" collapsed="false">
      <c r="A206" s="7" t="s">
        <v>372</v>
      </c>
      <c r="B206" s="29" t="n">
        <v>46206</v>
      </c>
      <c r="C206" s="7" t="s">
        <v>151</v>
      </c>
      <c r="D206" s="7" t="s">
        <v>173</v>
      </c>
      <c r="E206" s="30" t="n">
        <v>15116</v>
      </c>
      <c r="F206" s="31" t="n">
        <v>0.045</v>
      </c>
      <c r="G206" s="7" t="s">
        <v>153</v>
      </c>
    </row>
    <row r="207" customFormat="false" ht="15" hidden="false" customHeight="false" outlineLevel="0" collapsed="false">
      <c r="A207" s="7" t="s">
        <v>373</v>
      </c>
      <c r="B207" s="29" t="n">
        <v>46162</v>
      </c>
      <c r="C207" s="7" t="s">
        <v>156</v>
      </c>
      <c r="D207" s="7" t="s">
        <v>173</v>
      </c>
      <c r="E207" s="30" t="n">
        <v>58264</v>
      </c>
      <c r="F207" s="31" t="n">
        <v>0.045</v>
      </c>
      <c r="G207" s="7" t="s">
        <v>153</v>
      </c>
    </row>
    <row r="208" customFormat="false" ht="15" hidden="false" customHeight="false" outlineLevel="0" collapsed="false">
      <c r="A208" s="7" t="s">
        <v>374</v>
      </c>
      <c r="B208" s="29" t="n">
        <v>46141</v>
      </c>
      <c r="C208" s="7" t="s">
        <v>168</v>
      </c>
      <c r="D208" s="7" t="s">
        <v>173</v>
      </c>
      <c r="E208" s="30" t="n">
        <v>54708</v>
      </c>
      <c r="F208" s="31" t="n">
        <v>0.11</v>
      </c>
      <c r="G208" s="7" t="s">
        <v>153</v>
      </c>
    </row>
    <row r="209" customFormat="false" ht="15" hidden="false" customHeight="false" outlineLevel="0" collapsed="false">
      <c r="A209" s="7" t="s">
        <v>375</v>
      </c>
      <c r="B209" s="29" t="n">
        <v>46255</v>
      </c>
      <c r="C209" s="7" t="s">
        <v>156</v>
      </c>
      <c r="D209" s="7" t="s">
        <v>159</v>
      </c>
      <c r="E209" s="30" t="n">
        <v>66755</v>
      </c>
      <c r="F209" s="31" t="n">
        <v>0.02</v>
      </c>
      <c r="G209" s="7" t="s">
        <v>153</v>
      </c>
    </row>
    <row r="210" customFormat="false" ht="15" hidden="false" customHeight="false" outlineLevel="0" collapsed="false">
      <c r="A210" s="7" t="s">
        <v>376</v>
      </c>
      <c r="B210" s="29" t="n">
        <v>46254</v>
      </c>
      <c r="C210" s="7" t="s">
        <v>164</v>
      </c>
      <c r="D210" s="7" t="s">
        <v>173</v>
      </c>
      <c r="E210" s="30" t="n">
        <v>72145</v>
      </c>
      <c r="F210" s="31" t="n">
        <v>0.065</v>
      </c>
      <c r="G210" s="7" t="s">
        <v>153</v>
      </c>
    </row>
    <row r="211" customFormat="false" ht="15" hidden="false" customHeight="false" outlineLevel="0" collapsed="false">
      <c r="A211" s="7" t="s">
        <v>377</v>
      </c>
      <c r="B211" s="29" t="n">
        <v>46233</v>
      </c>
      <c r="C211" s="7" t="s">
        <v>156</v>
      </c>
      <c r="D211" s="7" t="s">
        <v>159</v>
      </c>
      <c r="E211" s="30" t="n">
        <v>93516</v>
      </c>
      <c r="F211" s="31" t="n">
        <v>0.14</v>
      </c>
      <c r="G211" s="7" t="s">
        <v>153</v>
      </c>
    </row>
    <row r="212" customFormat="false" ht="15" hidden="false" customHeight="false" outlineLevel="0" collapsed="false">
      <c r="A212" s="7" t="s">
        <v>378</v>
      </c>
      <c r="B212" s="29" t="n">
        <v>46205</v>
      </c>
      <c r="C212" s="7" t="s">
        <v>156</v>
      </c>
      <c r="D212" s="7" t="s">
        <v>159</v>
      </c>
      <c r="E212" s="30" t="n">
        <v>20779</v>
      </c>
      <c r="F212" s="31" t="n">
        <v>0.085</v>
      </c>
      <c r="G212" s="7" t="s">
        <v>174</v>
      </c>
    </row>
    <row r="213" customFormat="false" ht="15" hidden="false" customHeight="false" outlineLevel="0" collapsed="false">
      <c r="A213" s="7" t="s">
        <v>379</v>
      </c>
      <c r="B213" s="29" t="n">
        <v>46249</v>
      </c>
      <c r="C213" s="7" t="s">
        <v>164</v>
      </c>
      <c r="D213" s="7" t="s">
        <v>152</v>
      </c>
      <c r="E213" s="30" t="n">
        <v>18847</v>
      </c>
      <c r="F213" s="31" t="n">
        <v>0.14</v>
      </c>
      <c r="G213" s="7" t="s">
        <v>174</v>
      </c>
    </row>
    <row r="214" customFormat="false" ht="15" hidden="false" customHeight="false" outlineLevel="0" collapsed="false">
      <c r="A214" s="7" t="s">
        <v>380</v>
      </c>
      <c r="B214" s="29" t="n">
        <v>46183</v>
      </c>
      <c r="C214" s="7" t="s">
        <v>156</v>
      </c>
      <c r="D214" s="7" t="s">
        <v>173</v>
      </c>
      <c r="E214" s="30" t="n">
        <v>69009</v>
      </c>
      <c r="F214" s="31" t="n">
        <v>0.045</v>
      </c>
      <c r="G214" s="7" t="s">
        <v>153</v>
      </c>
    </row>
    <row r="215" customFormat="false" ht="15" hidden="false" customHeight="false" outlineLevel="0" collapsed="false">
      <c r="A215" s="7" t="s">
        <v>381</v>
      </c>
      <c r="B215" s="29" t="n">
        <v>46229</v>
      </c>
      <c r="C215" s="7" t="s">
        <v>156</v>
      </c>
      <c r="D215" s="7" t="s">
        <v>173</v>
      </c>
      <c r="E215" s="30" t="n">
        <v>60791</v>
      </c>
      <c r="F215" s="31" t="n">
        <v>0.02</v>
      </c>
      <c r="G215" s="7" t="s">
        <v>153</v>
      </c>
    </row>
    <row r="216" customFormat="false" ht="15" hidden="false" customHeight="false" outlineLevel="0" collapsed="false">
      <c r="A216" s="7" t="s">
        <v>382</v>
      </c>
      <c r="B216" s="29" t="n">
        <v>46179</v>
      </c>
      <c r="C216" s="7" t="s">
        <v>168</v>
      </c>
      <c r="D216" s="7" t="s">
        <v>157</v>
      </c>
      <c r="E216" s="30" t="n">
        <v>24937</v>
      </c>
      <c r="F216" s="31" t="n">
        <v>0</v>
      </c>
      <c r="G216" s="7" t="s">
        <v>153</v>
      </c>
    </row>
    <row r="217" customFormat="false" ht="15" hidden="false" customHeight="false" outlineLevel="0" collapsed="false">
      <c r="A217" s="7" t="s">
        <v>383</v>
      </c>
      <c r="B217" s="29" t="n">
        <v>46185</v>
      </c>
      <c r="C217" s="7" t="s">
        <v>156</v>
      </c>
      <c r="D217" s="7" t="s">
        <v>173</v>
      </c>
      <c r="E217" s="30" t="n">
        <v>50928</v>
      </c>
      <c r="F217" s="31" t="n">
        <v>0</v>
      </c>
      <c r="G217" s="7" t="s">
        <v>153</v>
      </c>
    </row>
    <row r="218" customFormat="false" ht="15" hidden="false" customHeight="false" outlineLevel="0" collapsed="false">
      <c r="A218" s="7" t="s">
        <v>384</v>
      </c>
      <c r="B218" s="29" t="n">
        <v>46224</v>
      </c>
      <c r="C218" s="7" t="s">
        <v>164</v>
      </c>
      <c r="D218" s="7" t="s">
        <v>159</v>
      </c>
      <c r="E218" s="30" t="n">
        <v>72684</v>
      </c>
      <c r="F218" s="31" t="n">
        <v>0.11</v>
      </c>
      <c r="G218" s="7" t="s">
        <v>153</v>
      </c>
    </row>
    <row r="219" customFormat="false" ht="15" hidden="false" customHeight="false" outlineLevel="0" collapsed="false">
      <c r="A219" s="7" t="s">
        <v>385</v>
      </c>
      <c r="B219" s="29" t="n">
        <v>46251</v>
      </c>
      <c r="C219" s="7" t="s">
        <v>164</v>
      </c>
      <c r="D219" s="7" t="s">
        <v>152</v>
      </c>
      <c r="E219" s="30" t="n">
        <v>39777</v>
      </c>
      <c r="F219" s="31" t="n">
        <v>0.02</v>
      </c>
      <c r="G219" s="7" t="s">
        <v>153</v>
      </c>
    </row>
    <row r="220" customFormat="false" ht="15" hidden="false" customHeight="false" outlineLevel="0" collapsed="false">
      <c r="A220" s="7" t="s">
        <v>386</v>
      </c>
      <c r="B220" s="29" t="n">
        <v>46194</v>
      </c>
      <c r="C220" s="7" t="s">
        <v>164</v>
      </c>
      <c r="D220" s="7" t="s">
        <v>157</v>
      </c>
      <c r="E220" s="30" t="n">
        <v>53819</v>
      </c>
      <c r="F220" s="31" t="n">
        <v>0.085</v>
      </c>
      <c r="G220" s="7" t="s">
        <v>181</v>
      </c>
    </row>
    <row r="221" customFormat="false" ht="15" hidden="false" customHeight="false" outlineLevel="0" collapsed="false">
      <c r="A221" s="7" t="s">
        <v>387</v>
      </c>
      <c r="B221" s="29" t="n">
        <v>46198</v>
      </c>
      <c r="C221" s="7" t="s">
        <v>151</v>
      </c>
      <c r="D221" s="7" t="s">
        <v>159</v>
      </c>
      <c r="E221" s="30" t="n">
        <v>69807</v>
      </c>
      <c r="F221" s="31" t="n">
        <v>0</v>
      </c>
      <c r="G221" s="7" t="s">
        <v>153</v>
      </c>
    </row>
    <row r="222" customFormat="false" ht="15" hidden="false" customHeight="false" outlineLevel="0" collapsed="false">
      <c r="A222" s="7" t="s">
        <v>388</v>
      </c>
      <c r="B222" s="29" t="n">
        <v>46260</v>
      </c>
      <c r="C222" s="7" t="s">
        <v>151</v>
      </c>
      <c r="D222" s="7" t="s">
        <v>157</v>
      </c>
      <c r="E222" s="30" t="n">
        <v>27954</v>
      </c>
      <c r="F222" s="31" t="n">
        <v>0.11</v>
      </c>
      <c r="G222" s="7" t="s">
        <v>153</v>
      </c>
    </row>
    <row r="223" customFormat="false" ht="15" hidden="false" customHeight="false" outlineLevel="0" collapsed="false">
      <c r="A223" s="7" t="s">
        <v>389</v>
      </c>
      <c r="B223" s="29" t="n">
        <v>46200</v>
      </c>
      <c r="C223" s="7" t="s">
        <v>168</v>
      </c>
      <c r="D223" s="7" t="s">
        <v>159</v>
      </c>
      <c r="E223" s="30" t="n">
        <v>79012</v>
      </c>
      <c r="F223" s="31" t="n">
        <v>0.085</v>
      </c>
      <c r="G223" s="7" t="s">
        <v>174</v>
      </c>
    </row>
    <row r="224" customFormat="false" ht="15" hidden="false" customHeight="false" outlineLevel="0" collapsed="false">
      <c r="A224" s="7" t="s">
        <v>390</v>
      </c>
      <c r="B224" s="29" t="n">
        <v>46255</v>
      </c>
      <c r="C224" s="7" t="s">
        <v>151</v>
      </c>
      <c r="D224" s="7" t="s">
        <v>152</v>
      </c>
      <c r="E224" s="30" t="n">
        <v>82729</v>
      </c>
      <c r="F224" s="31" t="n">
        <v>0.14</v>
      </c>
      <c r="G224" s="7" t="s">
        <v>153</v>
      </c>
    </row>
    <row r="225" customFormat="false" ht="15" hidden="false" customHeight="false" outlineLevel="0" collapsed="false">
      <c r="A225" s="7" t="s">
        <v>391</v>
      </c>
      <c r="B225" s="29" t="n">
        <v>46133</v>
      </c>
      <c r="C225" s="7" t="s">
        <v>151</v>
      </c>
      <c r="D225" s="7" t="s">
        <v>173</v>
      </c>
      <c r="E225" s="30" t="n">
        <v>9166</v>
      </c>
      <c r="F225" s="31" t="n">
        <v>0.065</v>
      </c>
      <c r="G225" s="7" t="s">
        <v>153</v>
      </c>
    </row>
    <row r="226" customFormat="false" ht="15" hidden="false" customHeight="false" outlineLevel="0" collapsed="false">
      <c r="A226" s="7" t="s">
        <v>392</v>
      </c>
      <c r="B226" s="29" t="n">
        <v>46126</v>
      </c>
      <c r="C226" s="7" t="s">
        <v>151</v>
      </c>
      <c r="D226" s="7" t="s">
        <v>173</v>
      </c>
      <c r="E226" s="30" t="n">
        <v>63969</v>
      </c>
      <c r="F226" s="31" t="n">
        <v>0.065</v>
      </c>
      <c r="G226" s="7" t="s">
        <v>153</v>
      </c>
    </row>
    <row r="227" customFormat="false" ht="15" hidden="false" customHeight="false" outlineLevel="0" collapsed="false">
      <c r="A227" s="7" t="s">
        <v>393</v>
      </c>
      <c r="B227" s="29" t="n">
        <v>46234</v>
      </c>
      <c r="C227" s="7" t="s">
        <v>156</v>
      </c>
      <c r="D227" s="7" t="s">
        <v>152</v>
      </c>
      <c r="E227" s="30" t="n">
        <v>46973</v>
      </c>
      <c r="F227" s="31" t="n">
        <v>0</v>
      </c>
      <c r="G227" s="7" t="s">
        <v>153</v>
      </c>
    </row>
    <row r="228" customFormat="false" ht="15" hidden="false" customHeight="false" outlineLevel="0" collapsed="false">
      <c r="A228" s="7" t="s">
        <v>394</v>
      </c>
      <c r="B228" s="29" t="n">
        <v>46175</v>
      </c>
      <c r="C228" s="7" t="s">
        <v>156</v>
      </c>
      <c r="D228" s="7" t="s">
        <v>159</v>
      </c>
      <c r="E228" s="30" t="n">
        <v>5113</v>
      </c>
      <c r="F228" s="31" t="n">
        <v>0.045</v>
      </c>
      <c r="G228" s="7" t="s">
        <v>174</v>
      </c>
    </row>
    <row r="229" customFormat="false" ht="15" hidden="false" customHeight="false" outlineLevel="0" collapsed="false">
      <c r="A229" s="7" t="s">
        <v>395</v>
      </c>
      <c r="B229" s="29" t="n">
        <v>46230</v>
      </c>
      <c r="C229" s="7" t="s">
        <v>168</v>
      </c>
      <c r="D229" s="7" t="s">
        <v>173</v>
      </c>
      <c r="E229" s="30" t="n">
        <v>23614</v>
      </c>
      <c r="F229" s="31" t="n">
        <v>0</v>
      </c>
      <c r="G229" s="7" t="s">
        <v>153</v>
      </c>
    </row>
    <row r="230" customFormat="false" ht="15" hidden="false" customHeight="false" outlineLevel="0" collapsed="false">
      <c r="A230" s="7" t="s">
        <v>396</v>
      </c>
      <c r="B230" s="29" t="n">
        <v>46248</v>
      </c>
      <c r="C230" s="7" t="s">
        <v>156</v>
      </c>
      <c r="D230" s="7" t="s">
        <v>159</v>
      </c>
      <c r="E230" s="30" t="n">
        <v>75428</v>
      </c>
      <c r="F230" s="31" t="n">
        <v>0.065</v>
      </c>
      <c r="G230" s="7" t="s">
        <v>181</v>
      </c>
    </row>
    <row r="231" customFormat="false" ht="15" hidden="false" customHeight="false" outlineLevel="0" collapsed="false">
      <c r="A231" s="7" t="s">
        <v>397</v>
      </c>
      <c r="B231" s="29" t="n">
        <v>46146</v>
      </c>
      <c r="C231" s="7" t="s">
        <v>168</v>
      </c>
      <c r="D231" s="7" t="s">
        <v>152</v>
      </c>
      <c r="E231" s="30" t="n">
        <v>21080</v>
      </c>
      <c r="F231" s="31" t="n">
        <v>0.02</v>
      </c>
      <c r="G231" s="7" t="s">
        <v>153</v>
      </c>
    </row>
    <row r="232" customFormat="false" ht="15" hidden="false" customHeight="false" outlineLevel="0" collapsed="false">
      <c r="A232" s="7" t="s">
        <v>398</v>
      </c>
      <c r="B232" s="29" t="n">
        <v>46223</v>
      </c>
      <c r="C232" s="7" t="s">
        <v>156</v>
      </c>
      <c r="D232" s="7" t="s">
        <v>157</v>
      </c>
      <c r="E232" s="30" t="n">
        <v>6387</v>
      </c>
      <c r="F232" s="31" t="n">
        <v>0.085</v>
      </c>
      <c r="G232" s="7" t="s">
        <v>153</v>
      </c>
    </row>
    <row r="233" customFormat="false" ht="15" hidden="false" customHeight="false" outlineLevel="0" collapsed="false">
      <c r="A233" s="7" t="s">
        <v>399</v>
      </c>
      <c r="B233" s="29" t="n">
        <v>46135</v>
      </c>
      <c r="C233" s="7" t="s">
        <v>156</v>
      </c>
      <c r="D233" s="7" t="s">
        <v>152</v>
      </c>
      <c r="E233" s="30" t="n">
        <v>75540</v>
      </c>
      <c r="F233" s="31" t="n">
        <v>0.14</v>
      </c>
      <c r="G233" s="7" t="s">
        <v>153</v>
      </c>
    </row>
    <row r="234" customFormat="false" ht="15" hidden="false" customHeight="false" outlineLevel="0" collapsed="false">
      <c r="A234" s="7" t="s">
        <v>400</v>
      </c>
      <c r="B234" s="29" t="n">
        <v>46252</v>
      </c>
      <c r="C234" s="7" t="s">
        <v>151</v>
      </c>
      <c r="D234" s="7" t="s">
        <v>157</v>
      </c>
      <c r="E234" s="30" t="n">
        <v>63675</v>
      </c>
      <c r="F234" s="31" t="n">
        <v>0.045</v>
      </c>
      <c r="G234" s="7" t="s">
        <v>161</v>
      </c>
    </row>
    <row r="235" customFormat="false" ht="15" hidden="false" customHeight="false" outlineLevel="0" collapsed="false">
      <c r="A235" s="7" t="s">
        <v>401</v>
      </c>
      <c r="B235" s="29" t="n">
        <v>46174</v>
      </c>
      <c r="C235" s="7" t="s">
        <v>151</v>
      </c>
      <c r="D235" s="7" t="s">
        <v>152</v>
      </c>
      <c r="E235" s="30" t="n">
        <v>97415</v>
      </c>
      <c r="F235" s="31" t="n">
        <v>0.085</v>
      </c>
      <c r="G235" s="7" t="s">
        <v>153</v>
      </c>
    </row>
    <row r="236" customFormat="false" ht="15" hidden="false" customHeight="false" outlineLevel="0" collapsed="false">
      <c r="A236" s="7" t="s">
        <v>402</v>
      </c>
      <c r="B236" s="29" t="n">
        <v>46162</v>
      </c>
      <c r="C236" s="7" t="s">
        <v>151</v>
      </c>
      <c r="D236" s="7" t="s">
        <v>159</v>
      </c>
      <c r="E236" s="30" t="n">
        <v>6723</v>
      </c>
      <c r="F236" s="31" t="n">
        <v>0</v>
      </c>
      <c r="G236" s="7" t="s">
        <v>153</v>
      </c>
    </row>
    <row r="237" customFormat="false" ht="15" hidden="false" customHeight="false" outlineLevel="0" collapsed="false">
      <c r="A237" s="7" t="s">
        <v>403</v>
      </c>
      <c r="B237" s="29" t="n">
        <v>46169</v>
      </c>
      <c r="C237" s="7" t="s">
        <v>151</v>
      </c>
      <c r="D237" s="7" t="s">
        <v>159</v>
      </c>
      <c r="E237" s="30" t="n">
        <v>53014</v>
      </c>
      <c r="F237" s="31" t="n">
        <v>0.045</v>
      </c>
      <c r="G237" s="7" t="s">
        <v>161</v>
      </c>
    </row>
    <row r="238" customFormat="false" ht="15" hidden="false" customHeight="false" outlineLevel="0" collapsed="false">
      <c r="A238" s="7" t="s">
        <v>404</v>
      </c>
      <c r="B238" s="29" t="n">
        <v>46232</v>
      </c>
      <c r="C238" s="7" t="s">
        <v>168</v>
      </c>
      <c r="D238" s="7" t="s">
        <v>173</v>
      </c>
      <c r="E238" s="30" t="n">
        <v>87755</v>
      </c>
      <c r="F238" s="31" t="n">
        <v>0.045</v>
      </c>
      <c r="G238" s="7" t="s">
        <v>181</v>
      </c>
    </row>
    <row r="239" customFormat="false" ht="15" hidden="false" customHeight="false" outlineLevel="0" collapsed="false">
      <c r="A239" s="7" t="s">
        <v>405</v>
      </c>
      <c r="B239" s="29" t="n">
        <v>46187</v>
      </c>
      <c r="C239" s="7" t="s">
        <v>151</v>
      </c>
      <c r="D239" s="7" t="s">
        <v>173</v>
      </c>
      <c r="E239" s="30" t="n">
        <v>74693</v>
      </c>
      <c r="F239" s="31" t="n">
        <v>0.045</v>
      </c>
      <c r="G239" s="7" t="s">
        <v>181</v>
      </c>
    </row>
    <row r="240" customFormat="false" ht="15" hidden="false" customHeight="false" outlineLevel="0" collapsed="false">
      <c r="A240" s="7" t="s">
        <v>406</v>
      </c>
      <c r="B240" s="29" t="n">
        <v>46231</v>
      </c>
      <c r="C240" s="7" t="s">
        <v>156</v>
      </c>
      <c r="D240" s="7" t="s">
        <v>173</v>
      </c>
      <c r="E240" s="30" t="n">
        <v>22816</v>
      </c>
      <c r="F240" s="31" t="n">
        <v>0.14</v>
      </c>
      <c r="G240" s="7" t="s">
        <v>153</v>
      </c>
    </row>
    <row r="241" customFormat="false" ht="15" hidden="false" customHeight="false" outlineLevel="0" collapsed="false">
      <c r="A241" s="7" t="s">
        <v>407</v>
      </c>
      <c r="B241" s="29" t="n">
        <v>46247</v>
      </c>
      <c r="C241" s="7" t="s">
        <v>151</v>
      </c>
      <c r="D241" s="7" t="s">
        <v>152</v>
      </c>
      <c r="E241" s="30" t="n">
        <v>56689</v>
      </c>
      <c r="F241" s="31" t="n">
        <v>0.065</v>
      </c>
      <c r="G241" s="7" t="s">
        <v>153</v>
      </c>
    </row>
    <row r="242" customFormat="false" ht="15" hidden="false" customHeight="false" outlineLevel="0" collapsed="false">
      <c r="A242" s="7" t="s">
        <v>408</v>
      </c>
      <c r="B242" s="29" t="n">
        <v>46184</v>
      </c>
      <c r="C242" s="7" t="s">
        <v>164</v>
      </c>
      <c r="D242" s="7" t="s">
        <v>173</v>
      </c>
      <c r="E242" s="30" t="n">
        <v>82736</v>
      </c>
      <c r="F242" s="31" t="n">
        <v>0.085</v>
      </c>
      <c r="G242" s="7" t="s">
        <v>181</v>
      </c>
    </row>
    <row r="243" customFormat="false" ht="15" hidden="false" customHeight="false" outlineLevel="0" collapsed="false">
      <c r="A243" s="7" t="s">
        <v>409</v>
      </c>
      <c r="B243" s="29" t="n">
        <v>46176</v>
      </c>
      <c r="C243" s="7" t="s">
        <v>168</v>
      </c>
      <c r="D243" s="7" t="s">
        <v>152</v>
      </c>
      <c r="E243" s="30" t="n">
        <v>79026</v>
      </c>
      <c r="F243" s="31" t="n">
        <v>0.02</v>
      </c>
      <c r="G243" s="7" t="s">
        <v>153</v>
      </c>
    </row>
    <row r="244" customFormat="false" ht="15" hidden="false" customHeight="false" outlineLevel="0" collapsed="false">
      <c r="A244" s="7" t="s">
        <v>410</v>
      </c>
      <c r="B244" s="29" t="n">
        <v>46182</v>
      </c>
      <c r="C244" s="7" t="s">
        <v>164</v>
      </c>
      <c r="D244" s="7" t="s">
        <v>152</v>
      </c>
      <c r="E244" s="30" t="n">
        <v>3545</v>
      </c>
      <c r="F244" s="31" t="n">
        <v>0.02</v>
      </c>
      <c r="G244" s="7" t="s">
        <v>153</v>
      </c>
    </row>
    <row r="245" customFormat="false" ht="15" hidden="false" customHeight="false" outlineLevel="0" collapsed="false">
      <c r="A245" s="7" t="s">
        <v>411</v>
      </c>
      <c r="B245" s="29" t="n">
        <v>46183</v>
      </c>
      <c r="C245" s="7" t="s">
        <v>168</v>
      </c>
      <c r="D245" s="7" t="s">
        <v>152</v>
      </c>
      <c r="E245" s="30" t="n">
        <v>16005</v>
      </c>
      <c r="F245" s="31" t="n">
        <v>0.065</v>
      </c>
      <c r="G245" s="7" t="s">
        <v>174</v>
      </c>
    </row>
    <row r="246" customFormat="false" ht="15" hidden="false" customHeight="false" outlineLevel="0" collapsed="false">
      <c r="A246" s="7" t="s">
        <v>412</v>
      </c>
      <c r="B246" s="29" t="n">
        <v>46132</v>
      </c>
      <c r="C246" s="7" t="s">
        <v>168</v>
      </c>
      <c r="D246" s="7" t="s">
        <v>159</v>
      </c>
      <c r="E246" s="30" t="n">
        <v>75246</v>
      </c>
      <c r="F246" s="31" t="n">
        <v>0.045</v>
      </c>
      <c r="G246" s="7" t="s">
        <v>181</v>
      </c>
    </row>
    <row r="247" customFormat="false" ht="15" hidden="false" customHeight="false" outlineLevel="0" collapsed="false">
      <c r="A247" s="7" t="s">
        <v>413</v>
      </c>
      <c r="B247" s="29" t="n">
        <v>46214</v>
      </c>
      <c r="C247" s="7" t="s">
        <v>164</v>
      </c>
      <c r="D247" s="7" t="s">
        <v>157</v>
      </c>
      <c r="E247" s="30" t="n">
        <v>61974</v>
      </c>
      <c r="F247" s="31" t="n">
        <v>0</v>
      </c>
      <c r="G247" s="7" t="s">
        <v>161</v>
      </c>
    </row>
    <row r="248" customFormat="false" ht="15" hidden="false" customHeight="false" outlineLevel="0" collapsed="false">
      <c r="A248" s="7" t="s">
        <v>414</v>
      </c>
      <c r="B248" s="29" t="n">
        <v>46216</v>
      </c>
      <c r="C248" s="7" t="s">
        <v>168</v>
      </c>
      <c r="D248" s="7" t="s">
        <v>173</v>
      </c>
      <c r="E248" s="30" t="n">
        <v>26281</v>
      </c>
      <c r="F248" s="31" t="n">
        <v>0.11</v>
      </c>
      <c r="G248" s="7" t="s">
        <v>153</v>
      </c>
    </row>
    <row r="249" customFormat="false" ht="15" hidden="false" customHeight="false" outlineLevel="0" collapsed="false">
      <c r="A249" s="7" t="s">
        <v>415</v>
      </c>
      <c r="B249" s="29" t="n">
        <v>46130</v>
      </c>
      <c r="C249" s="7" t="s">
        <v>164</v>
      </c>
      <c r="D249" s="7" t="s">
        <v>173</v>
      </c>
      <c r="E249" s="30" t="n">
        <v>91276</v>
      </c>
      <c r="F249" s="31" t="n">
        <v>0.11</v>
      </c>
      <c r="G249" s="7" t="s">
        <v>153</v>
      </c>
    </row>
    <row r="250" customFormat="false" ht="15" hidden="false" customHeight="false" outlineLevel="0" collapsed="false">
      <c r="A250" s="7" t="s">
        <v>416</v>
      </c>
      <c r="B250" s="29" t="n">
        <v>46193</v>
      </c>
      <c r="C250" s="7" t="s">
        <v>151</v>
      </c>
      <c r="D250" s="7" t="s">
        <v>173</v>
      </c>
      <c r="E250" s="30" t="n">
        <v>60476</v>
      </c>
      <c r="F250" s="31" t="n">
        <v>0</v>
      </c>
      <c r="G250" s="7" t="s">
        <v>153</v>
      </c>
    </row>
    <row r="251" customFormat="false" ht="15" hidden="false" customHeight="false" outlineLevel="0" collapsed="false">
      <c r="A251" s="7" t="s">
        <v>417</v>
      </c>
      <c r="B251" s="29" t="n">
        <v>46117</v>
      </c>
      <c r="C251" s="7" t="s">
        <v>151</v>
      </c>
      <c r="D251" s="7" t="s">
        <v>173</v>
      </c>
      <c r="E251" s="30" t="n">
        <v>16992</v>
      </c>
      <c r="F251" s="31" t="n">
        <v>0.065</v>
      </c>
      <c r="G251" s="7" t="s">
        <v>161</v>
      </c>
    </row>
    <row r="252" customFormat="false" ht="15" hidden="false" customHeight="false" outlineLevel="0" collapsed="false">
      <c r="A252" s="7" t="s">
        <v>418</v>
      </c>
      <c r="B252" s="29" t="n">
        <v>46163</v>
      </c>
      <c r="C252" s="7" t="s">
        <v>168</v>
      </c>
      <c r="D252" s="7" t="s">
        <v>159</v>
      </c>
      <c r="E252" s="30" t="n">
        <v>19589</v>
      </c>
      <c r="F252" s="31" t="n">
        <v>0.065</v>
      </c>
      <c r="G252" s="7" t="s">
        <v>153</v>
      </c>
    </row>
    <row r="253" customFormat="false" ht="15" hidden="false" customHeight="false" outlineLevel="0" collapsed="false">
      <c r="A253" s="7" t="s">
        <v>419</v>
      </c>
      <c r="B253" s="29" t="n">
        <v>46169</v>
      </c>
      <c r="C253" s="7" t="s">
        <v>164</v>
      </c>
      <c r="D253" s="7" t="s">
        <v>157</v>
      </c>
      <c r="E253" s="30" t="n">
        <v>77031</v>
      </c>
      <c r="F253" s="31" t="n">
        <v>0</v>
      </c>
      <c r="G253" s="7" t="s">
        <v>153</v>
      </c>
    </row>
    <row r="254" customFormat="false" ht="15" hidden="false" customHeight="false" outlineLevel="0" collapsed="false">
      <c r="A254" s="7" t="s">
        <v>420</v>
      </c>
      <c r="B254" s="29" t="n">
        <v>46192</v>
      </c>
      <c r="C254" s="7" t="s">
        <v>151</v>
      </c>
      <c r="D254" s="7" t="s">
        <v>157</v>
      </c>
      <c r="E254" s="30" t="n">
        <v>22529</v>
      </c>
      <c r="F254" s="31" t="n">
        <v>0.065</v>
      </c>
      <c r="G254" s="7" t="s">
        <v>161</v>
      </c>
    </row>
    <row r="255" customFormat="false" ht="15" hidden="false" customHeight="false" outlineLevel="0" collapsed="false">
      <c r="A255" s="7" t="s">
        <v>421</v>
      </c>
      <c r="B255" s="29" t="n">
        <v>46137</v>
      </c>
      <c r="C255" s="7" t="s">
        <v>168</v>
      </c>
      <c r="D255" s="7" t="s">
        <v>157</v>
      </c>
      <c r="E255" s="30" t="n">
        <v>45923</v>
      </c>
      <c r="F255" s="31" t="n">
        <v>0.14</v>
      </c>
      <c r="G255" s="7" t="s">
        <v>153</v>
      </c>
    </row>
    <row r="256" customFormat="false" ht="15" hidden="false" customHeight="false" outlineLevel="0" collapsed="false">
      <c r="A256" s="7" t="s">
        <v>422</v>
      </c>
      <c r="B256" s="29" t="n">
        <v>46139</v>
      </c>
      <c r="C256" s="7" t="s">
        <v>156</v>
      </c>
      <c r="D256" s="7" t="s">
        <v>159</v>
      </c>
      <c r="E256" s="30" t="n">
        <v>32483</v>
      </c>
      <c r="F256" s="31" t="n">
        <v>0.045</v>
      </c>
      <c r="G256" s="7" t="s">
        <v>153</v>
      </c>
    </row>
    <row r="257" customFormat="false" ht="15" hidden="false" customHeight="false" outlineLevel="0" collapsed="false">
      <c r="A257" s="7" t="s">
        <v>423</v>
      </c>
      <c r="B257" s="29" t="n">
        <v>46114</v>
      </c>
      <c r="C257" s="7" t="s">
        <v>164</v>
      </c>
      <c r="D257" s="7" t="s">
        <v>159</v>
      </c>
      <c r="E257" s="30" t="n">
        <v>49983</v>
      </c>
      <c r="F257" s="31" t="n">
        <v>0.085</v>
      </c>
      <c r="G257" s="7" t="s">
        <v>153</v>
      </c>
    </row>
    <row r="258" customFormat="false" ht="15" hidden="false" customHeight="false" outlineLevel="0" collapsed="false">
      <c r="A258" s="7" t="s">
        <v>424</v>
      </c>
      <c r="B258" s="29" t="n">
        <v>46122</v>
      </c>
      <c r="C258" s="7" t="s">
        <v>164</v>
      </c>
      <c r="D258" s="7" t="s">
        <v>152</v>
      </c>
      <c r="E258" s="30" t="n">
        <v>62324</v>
      </c>
      <c r="F258" s="31" t="n">
        <v>0</v>
      </c>
      <c r="G258" s="7" t="s">
        <v>161</v>
      </c>
    </row>
    <row r="259" customFormat="false" ht="15" hidden="false" customHeight="false" outlineLevel="0" collapsed="false">
      <c r="A259" s="7" t="s">
        <v>425</v>
      </c>
      <c r="B259" s="29" t="n">
        <v>46113</v>
      </c>
      <c r="C259" s="7" t="s">
        <v>168</v>
      </c>
      <c r="D259" s="7" t="s">
        <v>152</v>
      </c>
      <c r="E259" s="30" t="n">
        <v>48688</v>
      </c>
      <c r="F259" s="31" t="n">
        <v>0.02</v>
      </c>
      <c r="G259" s="7" t="s">
        <v>153</v>
      </c>
    </row>
    <row r="260" customFormat="false" ht="15" hidden="false" customHeight="false" outlineLevel="0" collapsed="false">
      <c r="A260" s="7" t="s">
        <v>426</v>
      </c>
      <c r="B260" s="29" t="n">
        <v>46226</v>
      </c>
      <c r="C260" s="7" t="s">
        <v>168</v>
      </c>
      <c r="D260" s="7" t="s">
        <v>157</v>
      </c>
      <c r="E260" s="30" t="n">
        <v>10216</v>
      </c>
      <c r="F260" s="31" t="n">
        <v>0.065</v>
      </c>
      <c r="G260" s="7" t="s">
        <v>153</v>
      </c>
    </row>
    <row r="261" customFormat="false" ht="15" hidden="false" customHeight="false" outlineLevel="0" collapsed="false">
      <c r="A261" s="7" t="s">
        <v>427</v>
      </c>
      <c r="B261" s="29" t="n">
        <v>46202</v>
      </c>
      <c r="C261" s="7" t="s">
        <v>164</v>
      </c>
      <c r="D261" s="7" t="s">
        <v>159</v>
      </c>
      <c r="E261" s="30" t="n">
        <v>45146</v>
      </c>
      <c r="F261" s="31" t="n">
        <v>0</v>
      </c>
      <c r="G261" s="7" t="s">
        <v>153</v>
      </c>
    </row>
    <row r="262" customFormat="false" ht="15" hidden="false" customHeight="false" outlineLevel="0" collapsed="false">
      <c r="A262" s="7" t="s">
        <v>428</v>
      </c>
      <c r="B262" s="29" t="n">
        <v>46148</v>
      </c>
      <c r="C262" s="7" t="s">
        <v>156</v>
      </c>
      <c r="D262" s="7" t="s">
        <v>173</v>
      </c>
      <c r="E262" s="30" t="n">
        <v>36165</v>
      </c>
      <c r="F262" s="31" t="n">
        <v>0.085</v>
      </c>
      <c r="G262" s="7" t="s">
        <v>161</v>
      </c>
    </row>
    <row r="263" customFormat="false" ht="15" hidden="false" customHeight="false" outlineLevel="0" collapsed="false">
      <c r="A263" s="7" t="s">
        <v>429</v>
      </c>
      <c r="B263" s="29" t="n">
        <v>46151</v>
      </c>
      <c r="C263" s="7" t="s">
        <v>168</v>
      </c>
      <c r="D263" s="7" t="s">
        <v>157</v>
      </c>
      <c r="E263" s="30" t="n">
        <v>22669</v>
      </c>
      <c r="F263" s="31" t="n">
        <v>0.065</v>
      </c>
      <c r="G263" s="7" t="s">
        <v>153</v>
      </c>
    </row>
    <row r="264" customFormat="false" ht="15" hidden="false" customHeight="false" outlineLevel="0" collapsed="false">
      <c r="A264" s="7" t="s">
        <v>430</v>
      </c>
      <c r="B264" s="29" t="n">
        <v>46199</v>
      </c>
      <c r="C264" s="7" t="s">
        <v>168</v>
      </c>
      <c r="D264" s="7" t="s">
        <v>159</v>
      </c>
      <c r="E264" s="30" t="n">
        <v>40659</v>
      </c>
      <c r="F264" s="31" t="n">
        <v>0.085</v>
      </c>
      <c r="G264" s="7" t="s">
        <v>161</v>
      </c>
    </row>
    <row r="265" customFormat="false" ht="15" hidden="false" customHeight="false" outlineLevel="0" collapsed="false">
      <c r="A265" s="7" t="s">
        <v>431</v>
      </c>
      <c r="B265" s="29" t="n">
        <v>46156</v>
      </c>
      <c r="C265" s="7" t="s">
        <v>164</v>
      </c>
      <c r="D265" s="7" t="s">
        <v>173</v>
      </c>
      <c r="E265" s="30" t="n">
        <v>21234</v>
      </c>
      <c r="F265" s="31" t="n">
        <v>0.11</v>
      </c>
      <c r="G265" s="7" t="s">
        <v>181</v>
      </c>
    </row>
    <row r="266" customFormat="false" ht="15" hidden="false" customHeight="false" outlineLevel="0" collapsed="false">
      <c r="A266" s="7" t="s">
        <v>432</v>
      </c>
      <c r="B266" s="29" t="n">
        <v>46161</v>
      </c>
      <c r="C266" s="7" t="s">
        <v>164</v>
      </c>
      <c r="D266" s="7" t="s">
        <v>173</v>
      </c>
      <c r="E266" s="30" t="n">
        <v>31412</v>
      </c>
      <c r="F266" s="31" t="n">
        <v>0.14</v>
      </c>
      <c r="G266" s="7" t="s">
        <v>153</v>
      </c>
    </row>
    <row r="267" customFormat="false" ht="15" hidden="false" customHeight="false" outlineLevel="0" collapsed="false">
      <c r="A267" s="7" t="s">
        <v>433</v>
      </c>
      <c r="B267" s="29" t="n">
        <v>46237</v>
      </c>
      <c r="C267" s="7" t="s">
        <v>151</v>
      </c>
      <c r="D267" s="7" t="s">
        <v>173</v>
      </c>
      <c r="E267" s="30" t="n">
        <v>54400</v>
      </c>
      <c r="F267" s="31" t="n">
        <v>0.085</v>
      </c>
      <c r="G267" s="7" t="s">
        <v>153</v>
      </c>
    </row>
    <row r="268" customFormat="false" ht="15" hidden="false" customHeight="false" outlineLevel="0" collapsed="false">
      <c r="A268" s="7" t="s">
        <v>434</v>
      </c>
      <c r="B268" s="29" t="n">
        <v>46207</v>
      </c>
      <c r="C268" s="7" t="s">
        <v>151</v>
      </c>
      <c r="D268" s="7" t="s">
        <v>173</v>
      </c>
      <c r="E268" s="30" t="n">
        <v>90681</v>
      </c>
      <c r="F268" s="31" t="n">
        <v>0.02</v>
      </c>
      <c r="G268" s="7" t="s">
        <v>181</v>
      </c>
    </row>
    <row r="269" customFormat="false" ht="15" hidden="false" customHeight="false" outlineLevel="0" collapsed="false">
      <c r="A269" s="7" t="s">
        <v>435</v>
      </c>
      <c r="B269" s="29" t="n">
        <v>46140</v>
      </c>
      <c r="C269" s="7" t="s">
        <v>168</v>
      </c>
      <c r="D269" s="7" t="s">
        <v>157</v>
      </c>
      <c r="E269" s="30" t="n">
        <v>94664</v>
      </c>
      <c r="F269" s="31" t="n">
        <v>0</v>
      </c>
      <c r="G269" s="7" t="s">
        <v>161</v>
      </c>
    </row>
    <row r="270" customFormat="false" ht="15" hidden="false" customHeight="false" outlineLevel="0" collapsed="false">
      <c r="A270" s="7" t="s">
        <v>436</v>
      </c>
      <c r="B270" s="29" t="n">
        <v>46233</v>
      </c>
      <c r="C270" s="7" t="s">
        <v>168</v>
      </c>
      <c r="D270" s="7" t="s">
        <v>152</v>
      </c>
      <c r="E270" s="30" t="n">
        <v>48877</v>
      </c>
      <c r="F270" s="31" t="n">
        <v>0.045</v>
      </c>
      <c r="G270" s="7" t="s">
        <v>153</v>
      </c>
    </row>
    <row r="271" customFormat="false" ht="15" hidden="false" customHeight="false" outlineLevel="0" collapsed="false">
      <c r="A271" s="7" t="s">
        <v>437</v>
      </c>
      <c r="B271" s="29" t="n">
        <v>46193</v>
      </c>
      <c r="C271" s="7" t="s">
        <v>164</v>
      </c>
      <c r="D271" s="7" t="s">
        <v>157</v>
      </c>
      <c r="E271" s="30" t="n">
        <v>34191</v>
      </c>
      <c r="F271" s="31" t="n">
        <v>0.02</v>
      </c>
      <c r="G271" s="7" t="s">
        <v>181</v>
      </c>
    </row>
    <row r="272" customFormat="false" ht="15" hidden="false" customHeight="false" outlineLevel="0" collapsed="false">
      <c r="A272" s="7" t="s">
        <v>438</v>
      </c>
      <c r="B272" s="29" t="n">
        <v>46137</v>
      </c>
      <c r="C272" s="7" t="s">
        <v>156</v>
      </c>
      <c r="D272" s="7" t="s">
        <v>157</v>
      </c>
      <c r="E272" s="30" t="n">
        <v>54834</v>
      </c>
      <c r="F272" s="31" t="n">
        <v>0.14</v>
      </c>
      <c r="G272" s="7" t="s">
        <v>181</v>
      </c>
    </row>
    <row r="273" customFormat="false" ht="15" hidden="false" customHeight="false" outlineLevel="0" collapsed="false">
      <c r="A273" s="7" t="s">
        <v>439</v>
      </c>
      <c r="B273" s="29" t="n">
        <v>46150</v>
      </c>
      <c r="C273" s="7" t="s">
        <v>168</v>
      </c>
      <c r="D273" s="7" t="s">
        <v>152</v>
      </c>
      <c r="E273" s="30" t="n">
        <v>21493</v>
      </c>
      <c r="F273" s="31" t="n">
        <v>0.085</v>
      </c>
      <c r="G273" s="7" t="s">
        <v>153</v>
      </c>
    </row>
    <row r="274" customFormat="false" ht="15" hidden="false" customHeight="false" outlineLevel="0" collapsed="false">
      <c r="A274" s="7" t="s">
        <v>440</v>
      </c>
      <c r="B274" s="29" t="n">
        <v>46178</v>
      </c>
      <c r="C274" s="7" t="s">
        <v>151</v>
      </c>
      <c r="D274" s="7" t="s">
        <v>173</v>
      </c>
      <c r="E274" s="30" t="n">
        <v>38559</v>
      </c>
      <c r="F274" s="31" t="n">
        <v>0.02</v>
      </c>
      <c r="G274" s="7" t="s">
        <v>153</v>
      </c>
    </row>
    <row r="275" customFormat="false" ht="15" hidden="false" customHeight="false" outlineLevel="0" collapsed="false">
      <c r="A275" s="7" t="s">
        <v>441</v>
      </c>
      <c r="B275" s="29" t="n">
        <v>46229</v>
      </c>
      <c r="C275" s="7" t="s">
        <v>168</v>
      </c>
      <c r="D275" s="7" t="s">
        <v>159</v>
      </c>
      <c r="E275" s="30" t="n">
        <v>60756</v>
      </c>
      <c r="F275" s="31" t="n">
        <v>0.065</v>
      </c>
      <c r="G275" s="7" t="s">
        <v>153</v>
      </c>
    </row>
    <row r="276" customFormat="false" ht="15" hidden="false" customHeight="false" outlineLevel="0" collapsed="false">
      <c r="A276" s="7" t="s">
        <v>442</v>
      </c>
      <c r="B276" s="29" t="n">
        <v>46217</v>
      </c>
      <c r="C276" s="7" t="s">
        <v>156</v>
      </c>
      <c r="D276" s="7" t="s">
        <v>159</v>
      </c>
      <c r="E276" s="30" t="n">
        <v>56479</v>
      </c>
      <c r="F276" s="31" t="n">
        <v>0.085</v>
      </c>
      <c r="G276" s="7" t="s">
        <v>181</v>
      </c>
    </row>
    <row r="277" customFormat="false" ht="15" hidden="false" customHeight="false" outlineLevel="0" collapsed="false">
      <c r="A277" s="7" t="s">
        <v>443</v>
      </c>
      <c r="B277" s="29" t="n">
        <v>46259</v>
      </c>
      <c r="C277" s="7" t="s">
        <v>164</v>
      </c>
      <c r="D277" s="7" t="s">
        <v>159</v>
      </c>
      <c r="E277" s="30" t="n">
        <v>52188</v>
      </c>
      <c r="F277" s="31" t="n">
        <v>0</v>
      </c>
      <c r="G277" s="7" t="s">
        <v>153</v>
      </c>
    </row>
    <row r="278" customFormat="false" ht="15" hidden="false" customHeight="false" outlineLevel="0" collapsed="false">
      <c r="A278" s="7" t="s">
        <v>444</v>
      </c>
      <c r="B278" s="29" t="n">
        <v>46147</v>
      </c>
      <c r="C278" s="7" t="s">
        <v>151</v>
      </c>
      <c r="D278" s="7" t="s">
        <v>152</v>
      </c>
      <c r="E278" s="30" t="n">
        <v>14969</v>
      </c>
      <c r="F278" s="31" t="n">
        <v>0.02</v>
      </c>
      <c r="G278" s="7" t="s">
        <v>161</v>
      </c>
    </row>
    <row r="279" customFormat="false" ht="15" hidden="false" customHeight="false" outlineLevel="0" collapsed="false">
      <c r="A279" s="7" t="s">
        <v>445</v>
      </c>
      <c r="B279" s="29" t="n">
        <v>46119</v>
      </c>
      <c r="C279" s="7" t="s">
        <v>168</v>
      </c>
      <c r="D279" s="7" t="s">
        <v>159</v>
      </c>
      <c r="E279" s="30" t="n">
        <v>61666</v>
      </c>
      <c r="F279" s="31" t="n">
        <v>0.065</v>
      </c>
      <c r="G279" s="7" t="s">
        <v>153</v>
      </c>
    </row>
    <row r="280" customFormat="false" ht="15" hidden="false" customHeight="false" outlineLevel="0" collapsed="false">
      <c r="A280" s="7" t="s">
        <v>446</v>
      </c>
      <c r="B280" s="29" t="n">
        <v>46170</v>
      </c>
      <c r="C280" s="7" t="s">
        <v>168</v>
      </c>
      <c r="D280" s="7" t="s">
        <v>173</v>
      </c>
      <c r="E280" s="30" t="n">
        <v>92557</v>
      </c>
      <c r="F280" s="31" t="n">
        <v>0.14</v>
      </c>
      <c r="G280" s="7" t="s">
        <v>181</v>
      </c>
    </row>
    <row r="281" customFormat="false" ht="15" hidden="false" customHeight="false" outlineLevel="0" collapsed="false">
      <c r="A281" s="7" t="s">
        <v>447</v>
      </c>
      <c r="B281" s="29" t="n">
        <v>46206</v>
      </c>
      <c r="C281" s="7" t="s">
        <v>164</v>
      </c>
      <c r="D281" s="7" t="s">
        <v>173</v>
      </c>
      <c r="E281" s="30" t="n">
        <v>61372</v>
      </c>
      <c r="F281" s="31" t="n">
        <v>0.11</v>
      </c>
      <c r="G281" s="7" t="s">
        <v>153</v>
      </c>
    </row>
    <row r="282" customFormat="false" ht="15" hidden="false" customHeight="false" outlineLevel="0" collapsed="false">
      <c r="A282" s="7" t="s">
        <v>448</v>
      </c>
      <c r="B282" s="29" t="n">
        <v>46246</v>
      </c>
      <c r="C282" s="7" t="s">
        <v>151</v>
      </c>
      <c r="D282" s="7" t="s">
        <v>157</v>
      </c>
      <c r="E282" s="30" t="n">
        <v>92571</v>
      </c>
      <c r="F282" s="31" t="n">
        <v>0</v>
      </c>
      <c r="G282" s="7" t="s">
        <v>153</v>
      </c>
    </row>
    <row r="283" customFormat="false" ht="15" hidden="false" customHeight="false" outlineLevel="0" collapsed="false">
      <c r="A283" s="7" t="s">
        <v>449</v>
      </c>
      <c r="B283" s="29" t="n">
        <v>46193</v>
      </c>
      <c r="C283" s="7" t="s">
        <v>164</v>
      </c>
      <c r="D283" s="7" t="s">
        <v>173</v>
      </c>
      <c r="E283" s="30" t="n">
        <v>32602</v>
      </c>
      <c r="F283" s="31" t="n">
        <v>0.14</v>
      </c>
      <c r="G283" s="7" t="s">
        <v>153</v>
      </c>
    </row>
    <row r="284" customFormat="false" ht="15" hidden="false" customHeight="false" outlineLevel="0" collapsed="false">
      <c r="A284" s="7" t="s">
        <v>450</v>
      </c>
      <c r="B284" s="29" t="n">
        <v>46172</v>
      </c>
      <c r="C284" s="7" t="s">
        <v>168</v>
      </c>
      <c r="D284" s="7" t="s">
        <v>159</v>
      </c>
      <c r="E284" s="30" t="n">
        <v>94797</v>
      </c>
      <c r="F284" s="31" t="n">
        <v>0.045</v>
      </c>
      <c r="G284" s="7" t="s">
        <v>181</v>
      </c>
    </row>
    <row r="285" customFormat="false" ht="15" hidden="false" customHeight="false" outlineLevel="0" collapsed="false">
      <c r="A285" s="7" t="s">
        <v>451</v>
      </c>
      <c r="B285" s="29" t="n">
        <v>46211</v>
      </c>
      <c r="C285" s="7" t="s">
        <v>151</v>
      </c>
      <c r="D285" s="7" t="s">
        <v>157</v>
      </c>
      <c r="E285" s="30" t="n">
        <v>12043</v>
      </c>
      <c r="F285" s="31" t="n">
        <v>0.11</v>
      </c>
      <c r="G285" s="7" t="s">
        <v>174</v>
      </c>
    </row>
    <row r="286" customFormat="false" ht="15" hidden="false" customHeight="false" outlineLevel="0" collapsed="false">
      <c r="A286" s="7" t="s">
        <v>452</v>
      </c>
      <c r="B286" s="29" t="n">
        <v>46233</v>
      </c>
      <c r="C286" s="7" t="s">
        <v>151</v>
      </c>
      <c r="D286" s="7" t="s">
        <v>159</v>
      </c>
      <c r="E286" s="30" t="n">
        <v>25777</v>
      </c>
      <c r="F286" s="31" t="n">
        <v>0.065</v>
      </c>
      <c r="G286" s="7" t="s">
        <v>153</v>
      </c>
    </row>
    <row r="287" customFormat="false" ht="15" hidden="false" customHeight="false" outlineLevel="0" collapsed="false">
      <c r="A287" s="7" t="s">
        <v>453</v>
      </c>
      <c r="B287" s="29" t="n">
        <v>46121</v>
      </c>
      <c r="C287" s="7" t="s">
        <v>151</v>
      </c>
      <c r="D287" s="7" t="s">
        <v>159</v>
      </c>
      <c r="E287" s="30" t="n">
        <v>27730</v>
      </c>
      <c r="F287" s="31" t="n">
        <v>0</v>
      </c>
      <c r="G287" s="7" t="s">
        <v>161</v>
      </c>
    </row>
    <row r="288" customFormat="false" ht="15" hidden="false" customHeight="false" outlineLevel="0" collapsed="false">
      <c r="A288" s="7" t="s">
        <v>454</v>
      </c>
      <c r="B288" s="29" t="n">
        <v>46263</v>
      </c>
      <c r="C288" s="7" t="s">
        <v>156</v>
      </c>
      <c r="D288" s="7" t="s">
        <v>173</v>
      </c>
      <c r="E288" s="30" t="n">
        <v>1760</v>
      </c>
      <c r="F288" s="31" t="n">
        <v>0.02</v>
      </c>
      <c r="G288" s="7" t="s">
        <v>153</v>
      </c>
    </row>
    <row r="289" customFormat="false" ht="15" hidden="false" customHeight="false" outlineLevel="0" collapsed="false">
      <c r="A289" s="7" t="s">
        <v>455</v>
      </c>
      <c r="B289" s="29" t="n">
        <v>46248</v>
      </c>
      <c r="C289" s="7" t="s">
        <v>168</v>
      </c>
      <c r="D289" s="7" t="s">
        <v>157</v>
      </c>
      <c r="E289" s="30" t="n">
        <v>11875</v>
      </c>
      <c r="F289" s="31" t="n">
        <v>0</v>
      </c>
      <c r="G289" s="7" t="s">
        <v>153</v>
      </c>
    </row>
    <row r="290" customFormat="false" ht="15" hidden="false" customHeight="false" outlineLevel="0" collapsed="false">
      <c r="A290" s="7" t="s">
        <v>456</v>
      </c>
      <c r="B290" s="29" t="n">
        <v>46118</v>
      </c>
      <c r="C290" s="7" t="s">
        <v>164</v>
      </c>
      <c r="D290" s="7" t="s">
        <v>159</v>
      </c>
      <c r="E290" s="30" t="n">
        <v>53280</v>
      </c>
      <c r="F290" s="31" t="n">
        <v>0.085</v>
      </c>
      <c r="G290" s="7" t="s">
        <v>153</v>
      </c>
    </row>
    <row r="291" customFormat="false" ht="15" hidden="false" customHeight="false" outlineLevel="0" collapsed="false">
      <c r="A291" s="7" t="s">
        <v>457</v>
      </c>
      <c r="B291" s="29" t="n">
        <v>46261</v>
      </c>
      <c r="C291" s="7" t="s">
        <v>156</v>
      </c>
      <c r="D291" s="7" t="s">
        <v>152</v>
      </c>
      <c r="E291" s="30" t="n">
        <v>39091</v>
      </c>
      <c r="F291" s="31" t="n">
        <v>0.02</v>
      </c>
      <c r="G291" s="7" t="s">
        <v>153</v>
      </c>
    </row>
    <row r="292" customFormat="false" ht="15" hidden="false" customHeight="false" outlineLevel="0" collapsed="false">
      <c r="A292" s="7" t="s">
        <v>458</v>
      </c>
      <c r="B292" s="29" t="n">
        <v>46145</v>
      </c>
      <c r="C292" s="7" t="s">
        <v>156</v>
      </c>
      <c r="D292" s="7" t="s">
        <v>157</v>
      </c>
      <c r="E292" s="30" t="n">
        <v>47988</v>
      </c>
      <c r="F292" s="31" t="n">
        <v>0.14</v>
      </c>
      <c r="G292" s="7" t="s">
        <v>153</v>
      </c>
    </row>
    <row r="293" customFormat="false" ht="15" hidden="false" customHeight="false" outlineLevel="0" collapsed="false">
      <c r="A293" s="7" t="s">
        <v>459</v>
      </c>
      <c r="B293" s="29" t="n">
        <v>46195</v>
      </c>
      <c r="C293" s="7" t="s">
        <v>164</v>
      </c>
      <c r="D293" s="7" t="s">
        <v>159</v>
      </c>
      <c r="E293" s="30" t="n">
        <v>63710</v>
      </c>
      <c r="F293" s="31" t="n">
        <v>0.14</v>
      </c>
      <c r="G293" s="7" t="s">
        <v>174</v>
      </c>
    </row>
    <row r="294" customFormat="false" ht="15" hidden="false" customHeight="false" outlineLevel="0" collapsed="false">
      <c r="A294" s="7" t="s">
        <v>460</v>
      </c>
      <c r="B294" s="29" t="n">
        <v>46205</v>
      </c>
      <c r="C294" s="7" t="s">
        <v>164</v>
      </c>
      <c r="D294" s="7" t="s">
        <v>173</v>
      </c>
      <c r="E294" s="30" t="n">
        <v>91031</v>
      </c>
      <c r="F294" s="31" t="n">
        <v>0.065</v>
      </c>
      <c r="G294" s="7" t="s">
        <v>153</v>
      </c>
    </row>
    <row r="295" customFormat="false" ht="15" hidden="false" customHeight="false" outlineLevel="0" collapsed="false">
      <c r="A295" s="7" t="s">
        <v>461</v>
      </c>
      <c r="B295" s="29" t="n">
        <v>46237</v>
      </c>
      <c r="C295" s="7" t="s">
        <v>168</v>
      </c>
      <c r="D295" s="7" t="s">
        <v>157</v>
      </c>
      <c r="E295" s="30" t="n">
        <v>96792</v>
      </c>
      <c r="F295" s="31" t="n">
        <v>0</v>
      </c>
      <c r="G295" s="7" t="s">
        <v>174</v>
      </c>
    </row>
    <row r="296" customFormat="false" ht="15" hidden="false" customHeight="false" outlineLevel="0" collapsed="false">
      <c r="A296" s="7" t="s">
        <v>462</v>
      </c>
      <c r="B296" s="29" t="n">
        <v>46144</v>
      </c>
      <c r="C296" s="7" t="s">
        <v>164</v>
      </c>
      <c r="D296" s="7" t="s">
        <v>152</v>
      </c>
      <c r="E296" s="30" t="n">
        <v>78081</v>
      </c>
      <c r="F296" s="31" t="n">
        <v>0.02</v>
      </c>
      <c r="G296" s="7" t="s">
        <v>153</v>
      </c>
    </row>
    <row r="297" customFormat="false" ht="15" hidden="false" customHeight="false" outlineLevel="0" collapsed="false">
      <c r="A297" s="7" t="s">
        <v>463</v>
      </c>
      <c r="B297" s="29" t="n">
        <v>46206</v>
      </c>
      <c r="C297" s="7" t="s">
        <v>164</v>
      </c>
      <c r="D297" s="7" t="s">
        <v>152</v>
      </c>
      <c r="E297" s="30" t="n">
        <v>22123</v>
      </c>
      <c r="F297" s="31" t="n">
        <v>0.085</v>
      </c>
      <c r="G297" s="7" t="s">
        <v>153</v>
      </c>
    </row>
    <row r="298" customFormat="false" ht="15" hidden="false" customHeight="false" outlineLevel="0" collapsed="false">
      <c r="A298" s="7" t="s">
        <v>464</v>
      </c>
      <c r="B298" s="29" t="n">
        <v>46255</v>
      </c>
      <c r="C298" s="7" t="s">
        <v>151</v>
      </c>
      <c r="D298" s="7" t="s">
        <v>173</v>
      </c>
      <c r="E298" s="30" t="n">
        <v>4315</v>
      </c>
      <c r="F298" s="31" t="n">
        <v>0.14</v>
      </c>
      <c r="G298" s="7" t="s">
        <v>153</v>
      </c>
    </row>
    <row r="299" customFormat="false" ht="15" hidden="false" customHeight="false" outlineLevel="0" collapsed="false">
      <c r="A299" s="7" t="s">
        <v>465</v>
      </c>
      <c r="B299" s="29" t="n">
        <v>46177</v>
      </c>
      <c r="C299" s="7" t="s">
        <v>164</v>
      </c>
      <c r="D299" s="7" t="s">
        <v>157</v>
      </c>
      <c r="E299" s="30" t="n">
        <v>41562</v>
      </c>
      <c r="F299" s="31" t="n">
        <v>0</v>
      </c>
      <c r="G299" s="7" t="s">
        <v>153</v>
      </c>
    </row>
    <row r="300" customFormat="false" ht="15" hidden="false" customHeight="false" outlineLevel="0" collapsed="false">
      <c r="A300" s="7" t="s">
        <v>466</v>
      </c>
      <c r="B300" s="29" t="n">
        <v>46119</v>
      </c>
      <c r="C300" s="7" t="s">
        <v>164</v>
      </c>
      <c r="D300" s="7" t="s">
        <v>152</v>
      </c>
      <c r="E300" s="30" t="n">
        <v>19176</v>
      </c>
      <c r="F300" s="31" t="n">
        <v>0</v>
      </c>
      <c r="G300" s="7" t="s">
        <v>153</v>
      </c>
    </row>
    <row r="301" customFormat="false" ht="15" hidden="false" customHeight="false" outlineLevel="0" collapsed="false">
      <c r="A301" s="7" t="s">
        <v>467</v>
      </c>
      <c r="B301" s="29" t="n">
        <v>46203</v>
      </c>
      <c r="C301" s="7" t="s">
        <v>168</v>
      </c>
      <c r="D301" s="7" t="s">
        <v>173</v>
      </c>
      <c r="E301" s="30" t="n">
        <v>41534</v>
      </c>
      <c r="F301" s="31" t="n">
        <v>0.045</v>
      </c>
      <c r="G301" s="7" t="s">
        <v>174</v>
      </c>
    </row>
    <row r="302" customFormat="false" ht="15" hidden="false" customHeight="false" outlineLevel="0" collapsed="false">
      <c r="A302" s="7" t="s">
        <v>468</v>
      </c>
      <c r="B302" s="29" t="n">
        <v>46143</v>
      </c>
      <c r="C302" s="7" t="s">
        <v>164</v>
      </c>
      <c r="D302" s="7" t="s">
        <v>159</v>
      </c>
      <c r="E302" s="30" t="n">
        <v>65649</v>
      </c>
      <c r="F302" s="31" t="n">
        <v>0.085</v>
      </c>
      <c r="G302" s="7" t="s">
        <v>161</v>
      </c>
    </row>
    <row r="303" customFormat="false" ht="15" hidden="false" customHeight="false" outlineLevel="0" collapsed="false">
      <c r="A303" s="7" t="s">
        <v>469</v>
      </c>
      <c r="B303" s="29" t="n">
        <v>46142</v>
      </c>
      <c r="C303" s="7" t="s">
        <v>168</v>
      </c>
      <c r="D303" s="7" t="s">
        <v>159</v>
      </c>
      <c r="E303" s="30" t="n">
        <v>80006</v>
      </c>
      <c r="F303" s="31" t="n">
        <v>0.045</v>
      </c>
      <c r="G303" s="7" t="s">
        <v>153</v>
      </c>
    </row>
    <row r="304" customFormat="false" ht="15" hidden="false" customHeight="false" outlineLevel="0" collapsed="false">
      <c r="A304" s="7" t="s">
        <v>470</v>
      </c>
      <c r="B304" s="29" t="n">
        <v>46117</v>
      </c>
      <c r="C304" s="7" t="s">
        <v>168</v>
      </c>
      <c r="D304" s="7" t="s">
        <v>159</v>
      </c>
      <c r="E304" s="30" t="n">
        <v>66839</v>
      </c>
      <c r="F304" s="31" t="n">
        <v>0.14</v>
      </c>
      <c r="G304" s="7" t="s">
        <v>153</v>
      </c>
    </row>
    <row r="305" customFormat="false" ht="15" hidden="false" customHeight="false" outlineLevel="0" collapsed="false">
      <c r="A305" s="7" t="s">
        <v>471</v>
      </c>
      <c r="B305" s="29" t="n">
        <v>46243</v>
      </c>
      <c r="C305" s="7" t="s">
        <v>156</v>
      </c>
      <c r="D305" s="7" t="s">
        <v>173</v>
      </c>
      <c r="E305" s="30" t="n">
        <v>92004</v>
      </c>
      <c r="F305" s="31" t="n">
        <v>0.14</v>
      </c>
      <c r="G305" s="7" t="s">
        <v>153</v>
      </c>
    </row>
    <row r="306" customFormat="false" ht="15" hidden="false" customHeight="false" outlineLevel="0" collapsed="false">
      <c r="A306" s="7" t="s">
        <v>472</v>
      </c>
      <c r="B306" s="29" t="n">
        <v>46146</v>
      </c>
      <c r="C306" s="7" t="s">
        <v>151</v>
      </c>
      <c r="D306" s="7" t="s">
        <v>159</v>
      </c>
      <c r="E306" s="30" t="n">
        <v>62940</v>
      </c>
      <c r="F306" s="31" t="n">
        <v>0.02</v>
      </c>
      <c r="G306" s="7" t="s">
        <v>153</v>
      </c>
    </row>
    <row r="307" customFormat="false" ht="15" hidden="false" customHeight="false" outlineLevel="0" collapsed="false">
      <c r="A307" s="7" t="s">
        <v>473</v>
      </c>
      <c r="B307" s="29" t="n">
        <v>46168</v>
      </c>
      <c r="C307" s="7" t="s">
        <v>151</v>
      </c>
      <c r="D307" s="7" t="s">
        <v>157</v>
      </c>
      <c r="E307" s="30" t="n">
        <v>26029</v>
      </c>
      <c r="F307" s="31" t="n">
        <v>0.02</v>
      </c>
      <c r="G307" s="7" t="s">
        <v>153</v>
      </c>
    </row>
    <row r="308" customFormat="false" ht="15" hidden="false" customHeight="false" outlineLevel="0" collapsed="false">
      <c r="A308" s="7" t="s">
        <v>474</v>
      </c>
      <c r="B308" s="29" t="n">
        <v>46249</v>
      </c>
      <c r="C308" s="7" t="s">
        <v>156</v>
      </c>
      <c r="D308" s="7" t="s">
        <v>157</v>
      </c>
      <c r="E308" s="30" t="n">
        <v>13779</v>
      </c>
      <c r="F308" s="31" t="n">
        <v>0</v>
      </c>
      <c r="G308" s="7" t="s">
        <v>153</v>
      </c>
    </row>
    <row r="309" customFormat="false" ht="15" hidden="false" customHeight="false" outlineLevel="0" collapsed="false">
      <c r="A309" s="7" t="s">
        <v>475</v>
      </c>
      <c r="B309" s="29" t="n">
        <v>46116</v>
      </c>
      <c r="C309" s="7" t="s">
        <v>156</v>
      </c>
      <c r="D309" s="7" t="s">
        <v>159</v>
      </c>
      <c r="E309" s="30" t="n">
        <v>72390</v>
      </c>
      <c r="F309" s="31" t="n">
        <v>0.045</v>
      </c>
      <c r="G309" s="7" t="s">
        <v>181</v>
      </c>
    </row>
    <row r="310" customFormat="false" ht="15" hidden="false" customHeight="false" outlineLevel="0" collapsed="false">
      <c r="A310" s="7" t="s">
        <v>476</v>
      </c>
      <c r="B310" s="29" t="n">
        <v>46246</v>
      </c>
      <c r="C310" s="7" t="s">
        <v>151</v>
      </c>
      <c r="D310" s="7" t="s">
        <v>152</v>
      </c>
      <c r="E310" s="30" t="n">
        <v>83317</v>
      </c>
      <c r="F310" s="31" t="n">
        <v>0.11</v>
      </c>
      <c r="G310" s="7" t="s">
        <v>153</v>
      </c>
    </row>
    <row r="311" customFormat="false" ht="15" hidden="false" customHeight="false" outlineLevel="0" collapsed="false">
      <c r="A311" s="7" t="s">
        <v>477</v>
      </c>
      <c r="B311" s="29" t="n">
        <v>46148</v>
      </c>
      <c r="C311" s="7" t="s">
        <v>168</v>
      </c>
      <c r="D311" s="7" t="s">
        <v>157</v>
      </c>
      <c r="E311" s="30" t="n">
        <v>33365</v>
      </c>
      <c r="F311" s="31" t="n">
        <v>0.045</v>
      </c>
      <c r="G311" s="7" t="s">
        <v>181</v>
      </c>
    </row>
    <row r="312" customFormat="false" ht="15" hidden="false" customHeight="false" outlineLevel="0" collapsed="false">
      <c r="A312" s="7" t="s">
        <v>478</v>
      </c>
      <c r="B312" s="29" t="n">
        <v>46131</v>
      </c>
      <c r="C312" s="7" t="s">
        <v>151</v>
      </c>
      <c r="D312" s="7" t="s">
        <v>159</v>
      </c>
      <c r="E312" s="30" t="n">
        <v>64942</v>
      </c>
      <c r="F312" s="31" t="n">
        <v>0.085</v>
      </c>
      <c r="G312" s="7" t="s">
        <v>181</v>
      </c>
    </row>
    <row r="313" customFormat="false" ht="15" hidden="false" customHeight="false" outlineLevel="0" collapsed="false">
      <c r="A313" s="7" t="s">
        <v>479</v>
      </c>
      <c r="B313" s="29" t="n">
        <v>46238</v>
      </c>
      <c r="C313" s="7" t="s">
        <v>156</v>
      </c>
      <c r="D313" s="7" t="s">
        <v>157</v>
      </c>
      <c r="E313" s="30" t="n">
        <v>87356</v>
      </c>
      <c r="F313" s="31" t="n">
        <v>0.065</v>
      </c>
      <c r="G313" s="7" t="s">
        <v>153</v>
      </c>
    </row>
    <row r="314" customFormat="false" ht="15" hidden="false" customHeight="false" outlineLevel="0" collapsed="false">
      <c r="A314" s="7" t="s">
        <v>480</v>
      </c>
      <c r="B314" s="29" t="n">
        <v>46183</v>
      </c>
      <c r="C314" s="7" t="s">
        <v>168</v>
      </c>
      <c r="D314" s="7" t="s">
        <v>157</v>
      </c>
      <c r="E314" s="30" t="n">
        <v>66342</v>
      </c>
      <c r="F314" s="31" t="n">
        <v>0</v>
      </c>
      <c r="G314" s="7" t="s">
        <v>153</v>
      </c>
    </row>
    <row r="315" customFormat="false" ht="15" hidden="false" customHeight="false" outlineLevel="0" collapsed="false">
      <c r="A315" s="7" t="s">
        <v>481</v>
      </c>
      <c r="B315" s="29" t="n">
        <v>46171</v>
      </c>
      <c r="C315" s="7" t="s">
        <v>156</v>
      </c>
      <c r="D315" s="7" t="s">
        <v>173</v>
      </c>
      <c r="E315" s="30" t="n">
        <v>85032</v>
      </c>
      <c r="F315" s="31" t="n">
        <v>0.11</v>
      </c>
      <c r="G315" s="7" t="s">
        <v>153</v>
      </c>
    </row>
    <row r="316" customFormat="false" ht="15" hidden="false" customHeight="false" outlineLevel="0" collapsed="false">
      <c r="A316" s="7" t="s">
        <v>482</v>
      </c>
      <c r="B316" s="29" t="n">
        <v>46118</v>
      </c>
      <c r="C316" s="7" t="s">
        <v>156</v>
      </c>
      <c r="D316" s="7" t="s">
        <v>157</v>
      </c>
      <c r="E316" s="30" t="n">
        <v>25791</v>
      </c>
      <c r="F316" s="31" t="n">
        <v>0.045</v>
      </c>
      <c r="G316" s="7" t="s">
        <v>174</v>
      </c>
    </row>
    <row r="317" customFormat="false" ht="15" hidden="false" customHeight="false" outlineLevel="0" collapsed="false">
      <c r="A317" s="7" t="s">
        <v>483</v>
      </c>
      <c r="B317" s="29" t="n">
        <v>46115</v>
      </c>
      <c r="C317" s="7" t="s">
        <v>151</v>
      </c>
      <c r="D317" s="7" t="s">
        <v>173</v>
      </c>
      <c r="E317" s="30" t="n">
        <v>66552</v>
      </c>
      <c r="F317" s="31" t="n">
        <v>0.045</v>
      </c>
      <c r="G317" s="7" t="s">
        <v>153</v>
      </c>
    </row>
    <row r="318" customFormat="false" ht="15" hidden="false" customHeight="false" outlineLevel="0" collapsed="false">
      <c r="A318" s="7" t="s">
        <v>484</v>
      </c>
      <c r="B318" s="29" t="n">
        <v>46169</v>
      </c>
      <c r="C318" s="7" t="s">
        <v>164</v>
      </c>
      <c r="D318" s="7" t="s">
        <v>157</v>
      </c>
      <c r="E318" s="30" t="n">
        <v>34996</v>
      </c>
      <c r="F318" s="31" t="n">
        <v>0.14</v>
      </c>
      <c r="G318" s="7" t="s">
        <v>181</v>
      </c>
    </row>
    <row r="319" customFormat="false" ht="15" hidden="false" customHeight="false" outlineLevel="0" collapsed="false">
      <c r="A319" s="7" t="s">
        <v>485</v>
      </c>
      <c r="B319" s="29" t="n">
        <v>46155</v>
      </c>
      <c r="C319" s="7" t="s">
        <v>156</v>
      </c>
      <c r="D319" s="7" t="s">
        <v>157</v>
      </c>
      <c r="E319" s="30" t="n">
        <v>65747</v>
      </c>
      <c r="F319" s="31" t="n">
        <v>0.065</v>
      </c>
      <c r="G319" s="7" t="s">
        <v>153</v>
      </c>
    </row>
    <row r="320" customFormat="false" ht="15" hidden="false" customHeight="false" outlineLevel="0" collapsed="false">
      <c r="A320" s="7" t="s">
        <v>486</v>
      </c>
      <c r="B320" s="29" t="n">
        <v>46215</v>
      </c>
      <c r="C320" s="7" t="s">
        <v>156</v>
      </c>
      <c r="D320" s="7" t="s">
        <v>152</v>
      </c>
      <c r="E320" s="30" t="n">
        <v>31944</v>
      </c>
      <c r="F320" s="31" t="n">
        <v>0.065</v>
      </c>
      <c r="G320" s="7" t="s">
        <v>181</v>
      </c>
    </row>
    <row r="321" customFormat="false" ht="15" hidden="false" customHeight="false" outlineLevel="0" collapsed="false">
      <c r="A321" s="7" t="s">
        <v>487</v>
      </c>
      <c r="B321" s="29" t="n">
        <v>46191</v>
      </c>
      <c r="C321" s="7" t="s">
        <v>168</v>
      </c>
      <c r="D321" s="7" t="s">
        <v>173</v>
      </c>
      <c r="E321" s="30" t="n">
        <v>78074</v>
      </c>
      <c r="F321" s="31" t="n">
        <v>0.02</v>
      </c>
      <c r="G321" s="7" t="s">
        <v>153</v>
      </c>
    </row>
    <row r="322" customFormat="false" ht="15" hidden="false" customHeight="false" outlineLevel="0" collapsed="false">
      <c r="A322" s="7" t="s">
        <v>488</v>
      </c>
      <c r="B322" s="29" t="n">
        <v>46119</v>
      </c>
      <c r="C322" s="7" t="s">
        <v>156</v>
      </c>
      <c r="D322" s="7" t="s">
        <v>159</v>
      </c>
      <c r="E322" s="30" t="n">
        <v>64935</v>
      </c>
      <c r="F322" s="31" t="n">
        <v>0.14</v>
      </c>
      <c r="G322" s="7" t="s">
        <v>181</v>
      </c>
    </row>
    <row r="323" customFormat="false" ht="15" hidden="false" customHeight="false" outlineLevel="0" collapsed="false">
      <c r="A323" s="7" t="s">
        <v>489</v>
      </c>
      <c r="B323" s="29" t="n">
        <v>46145</v>
      </c>
      <c r="C323" s="7" t="s">
        <v>168</v>
      </c>
      <c r="D323" s="7" t="s">
        <v>157</v>
      </c>
      <c r="E323" s="30" t="n">
        <v>16404</v>
      </c>
      <c r="F323" s="31" t="n">
        <v>0.11</v>
      </c>
      <c r="G323" s="7" t="s">
        <v>181</v>
      </c>
    </row>
    <row r="324" customFormat="false" ht="15" hidden="false" customHeight="false" outlineLevel="0" collapsed="false">
      <c r="A324" s="7" t="s">
        <v>490</v>
      </c>
      <c r="B324" s="29" t="n">
        <v>46235</v>
      </c>
      <c r="C324" s="7" t="s">
        <v>156</v>
      </c>
      <c r="D324" s="7" t="s">
        <v>157</v>
      </c>
      <c r="E324" s="30" t="n">
        <v>12834</v>
      </c>
      <c r="F324" s="31" t="n">
        <v>0.045</v>
      </c>
      <c r="G324" s="7" t="s">
        <v>153</v>
      </c>
    </row>
    <row r="325" customFormat="false" ht="15" hidden="false" customHeight="false" outlineLevel="0" collapsed="false">
      <c r="A325" s="7" t="s">
        <v>491</v>
      </c>
      <c r="B325" s="29" t="n">
        <v>46190</v>
      </c>
      <c r="C325" s="7" t="s">
        <v>151</v>
      </c>
      <c r="D325" s="7" t="s">
        <v>157</v>
      </c>
      <c r="E325" s="30" t="n">
        <v>90828</v>
      </c>
      <c r="F325" s="31" t="n">
        <v>0.085</v>
      </c>
      <c r="G325" s="7" t="s">
        <v>153</v>
      </c>
    </row>
    <row r="326" customFormat="false" ht="15" hidden="false" customHeight="false" outlineLevel="0" collapsed="false">
      <c r="A326" s="7" t="s">
        <v>492</v>
      </c>
      <c r="B326" s="29" t="n">
        <v>46124</v>
      </c>
      <c r="C326" s="7" t="s">
        <v>151</v>
      </c>
      <c r="D326" s="7" t="s">
        <v>159</v>
      </c>
      <c r="E326" s="30" t="n">
        <v>31440</v>
      </c>
      <c r="F326" s="31" t="n">
        <v>0.085</v>
      </c>
      <c r="G326" s="7" t="s">
        <v>153</v>
      </c>
    </row>
    <row r="327" customFormat="false" ht="15" hidden="false" customHeight="false" outlineLevel="0" collapsed="false">
      <c r="A327" s="7" t="s">
        <v>493</v>
      </c>
      <c r="B327" s="29" t="n">
        <v>46159</v>
      </c>
      <c r="C327" s="7" t="s">
        <v>164</v>
      </c>
      <c r="D327" s="7" t="s">
        <v>157</v>
      </c>
      <c r="E327" s="30" t="n">
        <v>12253</v>
      </c>
      <c r="F327" s="31" t="n">
        <v>0.065</v>
      </c>
      <c r="G327" s="7" t="s">
        <v>153</v>
      </c>
    </row>
    <row r="328" customFormat="false" ht="15" hidden="false" customHeight="false" outlineLevel="0" collapsed="false">
      <c r="A328" s="7" t="s">
        <v>494</v>
      </c>
      <c r="B328" s="29" t="n">
        <v>46176</v>
      </c>
      <c r="C328" s="7" t="s">
        <v>151</v>
      </c>
      <c r="D328" s="7" t="s">
        <v>157</v>
      </c>
      <c r="E328" s="30" t="n">
        <v>51208</v>
      </c>
      <c r="F328" s="31" t="n">
        <v>0</v>
      </c>
      <c r="G328" s="7" t="s">
        <v>153</v>
      </c>
    </row>
    <row r="329" customFormat="false" ht="15" hidden="false" customHeight="false" outlineLevel="0" collapsed="false">
      <c r="A329" s="7" t="s">
        <v>495</v>
      </c>
      <c r="B329" s="29" t="n">
        <v>46119</v>
      </c>
      <c r="C329" s="7" t="s">
        <v>168</v>
      </c>
      <c r="D329" s="7" t="s">
        <v>157</v>
      </c>
      <c r="E329" s="30" t="n">
        <v>20842</v>
      </c>
      <c r="F329" s="31" t="n">
        <v>0.065</v>
      </c>
      <c r="G329" s="7" t="s">
        <v>161</v>
      </c>
    </row>
    <row r="330" customFormat="false" ht="15" hidden="false" customHeight="false" outlineLevel="0" collapsed="false">
      <c r="A330" s="7" t="s">
        <v>496</v>
      </c>
      <c r="B330" s="29" t="n">
        <v>46120</v>
      </c>
      <c r="C330" s="7" t="s">
        <v>164</v>
      </c>
      <c r="D330" s="7" t="s">
        <v>159</v>
      </c>
      <c r="E330" s="30" t="n">
        <v>13359</v>
      </c>
      <c r="F330" s="31" t="n">
        <v>0.02</v>
      </c>
      <c r="G330" s="7" t="s">
        <v>181</v>
      </c>
    </row>
    <row r="331" customFormat="false" ht="15" hidden="false" customHeight="false" outlineLevel="0" collapsed="false">
      <c r="A331" s="7" t="s">
        <v>497</v>
      </c>
      <c r="B331" s="29" t="n">
        <v>46239</v>
      </c>
      <c r="C331" s="7" t="s">
        <v>164</v>
      </c>
      <c r="D331" s="7" t="s">
        <v>173</v>
      </c>
      <c r="E331" s="30" t="n">
        <v>79705</v>
      </c>
      <c r="F331" s="31" t="n">
        <v>0.11</v>
      </c>
      <c r="G331" s="7" t="s">
        <v>174</v>
      </c>
    </row>
    <row r="332" customFormat="false" ht="15" hidden="false" customHeight="false" outlineLevel="0" collapsed="false">
      <c r="A332" s="7" t="s">
        <v>498</v>
      </c>
      <c r="B332" s="29" t="n">
        <v>46221</v>
      </c>
      <c r="C332" s="7" t="s">
        <v>168</v>
      </c>
      <c r="D332" s="7" t="s">
        <v>159</v>
      </c>
      <c r="E332" s="30" t="n">
        <v>8130</v>
      </c>
      <c r="F332" s="31" t="n">
        <v>0.085</v>
      </c>
      <c r="G332" s="7" t="s">
        <v>153</v>
      </c>
    </row>
    <row r="333" customFormat="false" ht="15" hidden="false" customHeight="false" outlineLevel="0" collapsed="false">
      <c r="A333" s="7" t="s">
        <v>499</v>
      </c>
      <c r="B333" s="29" t="n">
        <v>46192</v>
      </c>
      <c r="C333" s="7" t="s">
        <v>164</v>
      </c>
      <c r="D333" s="7" t="s">
        <v>157</v>
      </c>
      <c r="E333" s="30" t="n">
        <v>88259</v>
      </c>
      <c r="F333" s="31" t="n">
        <v>0.085</v>
      </c>
      <c r="G333" s="7" t="s">
        <v>153</v>
      </c>
    </row>
    <row r="334" customFormat="false" ht="15" hidden="false" customHeight="false" outlineLevel="0" collapsed="false">
      <c r="A334" s="7" t="s">
        <v>500</v>
      </c>
      <c r="B334" s="29" t="n">
        <v>46210</v>
      </c>
      <c r="C334" s="7" t="s">
        <v>151</v>
      </c>
      <c r="D334" s="7" t="s">
        <v>159</v>
      </c>
      <c r="E334" s="30" t="n">
        <v>42052</v>
      </c>
      <c r="F334" s="31" t="n">
        <v>0.045</v>
      </c>
      <c r="G334" s="7" t="s">
        <v>181</v>
      </c>
    </row>
    <row r="335" customFormat="false" ht="15" hidden="false" customHeight="false" outlineLevel="0" collapsed="false">
      <c r="A335" s="7" t="s">
        <v>501</v>
      </c>
      <c r="B335" s="29" t="n">
        <v>46168</v>
      </c>
      <c r="C335" s="7" t="s">
        <v>164</v>
      </c>
      <c r="D335" s="7" t="s">
        <v>157</v>
      </c>
      <c r="E335" s="30" t="n">
        <v>84045</v>
      </c>
      <c r="F335" s="31" t="n">
        <v>0.14</v>
      </c>
      <c r="G335" s="7" t="s">
        <v>153</v>
      </c>
    </row>
    <row r="336" customFormat="false" ht="15" hidden="false" customHeight="false" outlineLevel="0" collapsed="false">
      <c r="A336" s="7" t="s">
        <v>502</v>
      </c>
      <c r="B336" s="29" t="n">
        <v>46221</v>
      </c>
      <c r="C336" s="7" t="s">
        <v>168</v>
      </c>
      <c r="D336" s="7" t="s">
        <v>157</v>
      </c>
      <c r="E336" s="30" t="n">
        <v>93215</v>
      </c>
      <c r="F336" s="31" t="n">
        <v>0.045</v>
      </c>
      <c r="G336" s="7" t="s">
        <v>153</v>
      </c>
    </row>
    <row r="337" customFormat="false" ht="15" hidden="false" customHeight="false" outlineLevel="0" collapsed="false">
      <c r="A337" s="7" t="s">
        <v>503</v>
      </c>
      <c r="B337" s="29" t="n">
        <v>46166</v>
      </c>
      <c r="C337" s="7" t="s">
        <v>164</v>
      </c>
      <c r="D337" s="7" t="s">
        <v>157</v>
      </c>
      <c r="E337" s="30" t="n">
        <v>22473</v>
      </c>
      <c r="F337" s="31" t="n">
        <v>0.065</v>
      </c>
      <c r="G337" s="7" t="s">
        <v>153</v>
      </c>
    </row>
    <row r="338" customFormat="false" ht="15" hidden="false" customHeight="false" outlineLevel="0" collapsed="false">
      <c r="A338" s="7" t="s">
        <v>504</v>
      </c>
      <c r="B338" s="29" t="n">
        <v>46153</v>
      </c>
      <c r="C338" s="7" t="s">
        <v>164</v>
      </c>
      <c r="D338" s="7" t="s">
        <v>173</v>
      </c>
      <c r="E338" s="30" t="n">
        <v>75281</v>
      </c>
      <c r="F338" s="31" t="n">
        <v>0.11</v>
      </c>
      <c r="G338" s="7" t="s">
        <v>153</v>
      </c>
    </row>
    <row r="339" customFormat="false" ht="15" hidden="false" customHeight="false" outlineLevel="0" collapsed="false">
      <c r="A339" s="7" t="s">
        <v>505</v>
      </c>
      <c r="B339" s="29" t="n">
        <v>46168</v>
      </c>
      <c r="C339" s="7" t="s">
        <v>168</v>
      </c>
      <c r="D339" s="7" t="s">
        <v>152</v>
      </c>
      <c r="E339" s="30" t="n">
        <v>73461</v>
      </c>
      <c r="F339" s="31" t="n">
        <v>0.045</v>
      </c>
      <c r="G339" s="7" t="s">
        <v>153</v>
      </c>
    </row>
    <row r="340" customFormat="false" ht="15" hidden="false" customHeight="false" outlineLevel="0" collapsed="false">
      <c r="A340" s="7" t="s">
        <v>506</v>
      </c>
      <c r="B340" s="29" t="n">
        <v>46213</v>
      </c>
      <c r="C340" s="7" t="s">
        <v>156</v>
      </c>
      <c r="D340" s="7" t="s">
        <v>152</v>
      </c>
      <c r="E340" s="30" t="n">
        <v>13387</v>
      </c>
      <c r="F340" s="31" t="n">
        <v>0.14</v>
      </c>
      <c r="G340" s="7" t="s">
        <v>153</v>
      </c>
    </row>
    <row r="341" customFormat="false" ht="15" hidden="false" customHeight="false" outlineLevel="0" collapsed="false">
      <c r="A341" s="7" t="s">
        <v>507</v>
      </c>
      <c r="B341" s="29" t="n">
        <v>46249</v>
      </c>
      <c r="C341" s="7" t="s">
        <v>168</v>
      </c>
      <c r="D341" s="7" t="s">
        <v>173</v>
      </c>
      <c r="E341" s="30" t="n">
        <v>59300</v>
      </c>
      <c r="F341" s="31" t="n">
        <v>0.14</v>
      </c>
      <c r="G341" s="7" t="s">
        <v>153</v>
      </c>
    </row>
    <row r="342" customFormat="false" ht="15" hidden="false" customHeight="false" outlineLevel="0" collapsed="false">
      <c r="A342" s="7" t="s">
        <v>508</v>
      </c>
      <c r="B342" s="29" t="n">
        <v>46156</v>
      </c>
      <c r="C342" s="7" t="s">
        <v>164</v>
      </c>
      <c r="D342" s="7" t="s">
        <v>157</v>
      </c>
      <c r="E342" s="30" t="n">
        <v>37159</v>
      </c>
      <c r="F342" s="31" t="n">
        <v>0.11</v>
      </c>
      <c r="G342" s="7" t="s">
        <v>153</v>
      </c>
    </row>
    <row r="343" customFormat="false" ht="15" hidden="false" customHeight="false" outlineLevel="0" collapsed="false">
      <c r="A343" s="7" t="s">
        <v>509</v>
      </c>
      <c r="B343" s="29" t="n">
        <v>46219</v>
      </c>
      <c r="C343" s="7" t="s">
        <v>168</v>
      </c>
      <c r="D343" s="7" t="s">
        <v>159</v>
      </c>
      <c r="E343" s="30" t="n">
        <v>32938</v>
      </c>
      <c r="F343" s="31" t="n">
        <v>0.02</v>
      </c>
      <c r="G343" s="7" t="s">
        <v>153</v>
      </c>
    </row>
    <row r="344" customFormat="false" ht="15" hidden="false" customHeight="false" outlineLevel="0" collapsed="false">
      <c r="A344" s="7" t="s">
        <v>510</v>
      </c>
      <c r="B344" s="29" t="n">
        <v>46135</v>
      </c>
      <c r="C344" s="7" t="s">
        <v>164</v>
      </c>
      <c r="D344" s="7" t="s">
        <v>159</v>
      </c>
      <c r="E344" s="30" t="n">
        <v>68645</v>
      </c>
      <c r="F344" s="31" t="n">
        <v>0.14</v>
      </c>
      <c r="G344" s="7" t="s">
        <v>153</v>
      </c>
    </row>
    <row r="345" customFormat="false" ht="15" hidden="false" customHeight="false" outlineLevel="0" collapsed="false">
      <c r="A345" s="7" t="s">
        <v>511</v>
      </c>
      <c r="B345" s="29" t="n">
        <v>46257</v>
      </c>
      <c r="C345" s="7" t="s">
        <v>156</v>
      </c>
      <c r="D345" s="7" t="s">
        <v>157</v>
      </c>
      <c r="E345" s="30" t="n">
        <v>97233</v>
      </c>
      <c r="F345" s="31" t="n">
        <v>0</v>
      </c>
      <c r="G345" s="7" t="s">
        <v>153</v>
      </c>
    </row>
    <row r="346" customFormat="false" ht="15" hidden="false" customHeight="false" outlineLevel="0" collapsed="false">
      <c r="A346" s="7" t="s">
        <v>512</v>
      </c>
      <c r="B346" s="29" t="n">
        <v>46120</v>
      </c>
      <c r="C346" s="7" t="s">
        <v>168</v>
      </c>
      <c r="D346" s="7" t="s">
        <v>159</v>
      </c>
      <c r="E346" s="30" t="n">
        <v>8529</v>
      </c>
      <c r="F346" s="31" t="n">
        <v>0.11</v>
      </c>
      <c r="G346" s="7" t="s">
        <v>161</v>
      </c>
    </row>
    <row r="347" customFormat="false" ht="15" hidden="false" customHeight="false" outlineLevel="0" collapsed="false">
      <c r="A347" s="7" t="s">
        <v>513</v>
      </c>
      <c r="B347" s="29" t="n">
        <v>46208</v>
      </c>
      <c r="C347" s="7" t="s">
        <v>164</v>
      </c>
      <c r="D347" s="7" t="s">
        <v>159</v>
      </c>
      <c r="E347" s="30" t="n">
        <v>34576</v>
      </c>
      <c r="F347" s="31" t="n">
        <v>0</v>
      </c>
      <c r="G347" s="7" t="s">
        <v>153</v>
      </c>
    </row>
    <row r="348" customFormat="false" ht="15" hidden="false" customHeight="false" outlineLevel="0" collapsed="false">
      <c r="A348" s="7" t="s">
        <v>514</v>
      </c>
      <c r="B348" s="29" t="n">
        <v>46156</v>
      </c>
      <c r="C348" s="7" t="s">
        <v>156</v>
      </c>
      <c r="D348" s="7" t="s">
        <v>152</v>
      </c>
      <c r="E348" s="30" t="n">
        <v>37278</v>
      </c>
      <c r="F348" s="31" t="n">
        <v>0.065</v>
      </c>
      <c r="G348" s="7" t="s">
        <v>153</v>
      </c>
    </row>
    <row r="349" customFormat="false" ht="15" hidden="false" customHeight="false" outlineLevel="0" collapsed="false">
      <c r="A349" s="7" t="s">
        <v>515</v>
      </c>
      <c r="B349" s="29" t="n">
        <v>46161</v>
      </c>
      <c r="C349" s="7" t="s">
        <v>156</v>
      </c>
      <c r="D349" s="7" t="s">
        <v>157</v>
      </c>
      <c r="E349" s="30" t="n">
        <v>19708</v>
      </c>
      <c r="F349" s="31" t="n">
        <v>0.11</v>
      </c>
      <c r="G349" s="7" t="s">
        <v>153</v>
      </c>
    </row>
    <row r="350" customFormat="false" ht="15" hidden="false" customHeight="false" outlineLevel="0" collapsed="false">
      <c r="A350" s="7" t="s">
        <v>516</v>
      </c>
      <c r="B350" s="29" t="n">
        <v>46188</v>
      </c>
      <c r="C350" s="7" t="s">
        <v>156</v>
      </c>
      <c r="D350" s="7" t="s">
        <v>157</v>
      </c>
      <c r="E350" s="30" t="n">
        <v>31111</v>
      </c>
      <c r="F350" s="31" t="n">
        <v>0.14</v>
      </c>
      <c r="G350" s="7" t="s">
        <v>161</v>
      </c>
    </row>
    <row r="351" customFormat="false" ht="15" hidden="false" customHeight="false" outlineLevel="0" collapsed="false">
      <c r="A351" s="7" t="s">
        <v>517</v>
      </c>
      <c r="B351" s="29" t="n">
        <v>46222</v>
      </c>
      <c r="C351" s="7" t="s">
        <v>168</v>
      </c>
      <c r="D351" s="7" t="s">
        <v>152</v>
      </c>
      <c r="E351" s="30" t="n">
        <v>30572</v>
      </c>
      <c r="F351" s="31" t="n">
        <v>0.045</v>
      </c>
      <c r="G351" s="7" t="s">
        <v>153</v>
      </c>
    </row>
    <row r="352" customFormat="false" ht="15" hidden="false" customHeight="false" outlineLevel="0" collapsed="false">
      <c r="A352" s="7" t="s">
        <v>518</v>
      </c>
      <c r="B352" s="29" t="n">
        <v>46131</v>
      </c>
      <c r="C352" s="7" t="s">
        <v>164</v>
      </c>
      <c r="D352" s="7" t="s">
        <v>152</v>
      </c>
      <c r="E352" s="30" t="n">
        <v>8410</v>
      </c>
      <c r="F352" s="31" t="n">
        <v>0.085</v>
      </c>
      <c r="G352" s="7" t="s">
        <v>174</v>
      </c>
    </row>
    <row r="353" customFormat="false" ht="15" hidden="false" customHeight="false" outlineLevel="0" collapsed="false">
      <c r="A353" s="7" t="s">
        <v>519</v>
      </c>
      <c r="B353" s="29" t="n">
        <v>46186</v>
      </c>
      <c r="C353" s="7" t="s">
        <v>156</v>
      </c>
      <c r="D353" s="7" t="s">
        <v>157</v>
      </c>
      <c r="E353" s="30" t="n">
        <v>2789</v>
      </c>
      <c r="F353" s="31" t="n">
        <v>0.045</v>
      </c>
      <c r="G353" s="7" t="s">
        <v>181</v>
      </c>
    </row>
    <row r="354" customFormat="false" ht="15" hidden="false" customHeight="false" outlineLevel="0" collapsed="false">
      <c r="A354" s="7" t="s">
        <v>520</v>
      </c>
      <c r="B354" s="29" t="n">
        <v>46249</v>
      </c>
      <c r="C354" s="7" t="s">
        <v>156</v>
      </c>
      <c r="D354" s="7" t="s">
        <v>173</v>
      </c>
      <c r="E354" s="30" t="n">
        <v>48408</v>
      </c>
      <c r="F354" s="31" t="n">
        <v>0</v>
      </c>
      <c r="G354" s="7" t="s">
        <v>153</v>
      </c>
    </row>
    <row r="355" customFormat="false" ht="15" hidden="false" customHeight="false" outlineLevel="0" collapsed="false">
      <c r="A355" s="7" t="s">
        <v>521</v>
      </c>
      <c r="B355" s="29" t="n">
        <v>46181</v>
      </c>
      <c r="C355" s="7" t="s">
        <v>151</v>
      </c>
      <c r="D355" s="7" t="s">
        <v>152</v>
      </c>
      <c r="E355" s="30" t="n">
        <v>90282</v>
      </c>
      <c r="F355" s="31" t="n">
        <v>0</v>
      </c>
      <c r="G355" s="7" t="s">
        <v>181</v>
      </c>
    </row>
    <row r="356" customFormat="false" ht="15" hidden="false" customHeight="false" outlineLevel="0" collapsed="false">
      <c r="A356" s="7" t="s">
        <v>522</v>
      </c>
      <c r="B356" s="29" t="n">
        <v>46252</v>
      </c>
      <c r="C356" s="7" t="s">
        <v>164</v>
      </c>
      <c r="D356" s="7" t="s">
        <v>173</v>
      </c>
      <c r="E356" s="30" t="n">
        <v>30677</v>
      </c>
      <c r="F356" s="31" t="n">
        <v>0</v>
      </c>
      <c r="G356" s="7" t="s">
        <v>153</v>
      </c>
    </row>
    <row r="357" customFormat="false" ht="15" hidden="false" customHeight="false" outlineLevel="0" collapsed="false">
      <c r="A357" s="7" t="s">
        <v>523</v>
      </c>
      <c r="B357" s="29" t="n">
        <v>46173</v>
      </c>
      <c r="C357" s="7" t="s">
        <v>164</v>
      </c>
      <c r="D357" s="7" t="s">
        <v>152</v>
      </c>
      <c r="E357" s="30" t="n">
        <v>48737</v>
      </c>
      <c r="F357" s="31" t="n">
        <v>0.065</v>
      </c>
      <c r="G357" s="7" t="s">
        <v>153</v>
      </c>
    </row>
    <row r="358" customFormat="false" ht="15" hidden="false" customHeight="false" outlineLevel="0" collapsed="false">
      <c r="A358" s="7" t="s">
        <v>524</v>
      </c>
      <c r="B358" s="29" t="n">
        <v>46120</v>
      </c>
      <c r="C358" s="7" t="s">
        <v>151</v>
      </c>
      <c r="D358" s="7" t="s">
        <v>159</v>
      </c>
      <c r="E358" s="30" t="n">
        <v>2964</v>
      </c>
      <c r="F358" s="31" t="n">
        <v>0.065</v>
      </c>
      <c r="G358" s="7" t="s">
        <v>153</v>
      </c>
    </row>
    <row r="359" customFormat="false" ht="15" hidden="false" customHeight="false" outlineLevel="0" collapsed="false">
      <c r="A359" s="7" t="s">
        <v>525</v>
      </c>
      <c r="B359" s="29" t="n">
        <v>46131</v>
      </c>
      <c r="C359" s="7" t="s">
        <v>151</v>
      </c>
      <c r="D359" s="7" t="s">
        <v>157</v>
      </c>
      <c r="E359" s="30" t="n">
        <v>7766</v>
      </c>
      <c r="F359" s="31" t="n">
        <v>0</v>
      </c>
      <c r="G359" s="7" t="s">
        <v>181</v>
      </c>
    </row>
    <row r="360" customFormat="false" ht="15" hidden="false" customHeight="false" outlineLevel="0" collapsed="false">
      <c r="A360" s="7" t="s">
        <v>526</v>
      </c>
      <c r="B360" s="29" t="n">
        <v>46116</v>
      </c>
      <c r="C360" s="7" t="s">
        <v>164</v>
      </c>
      <c r="D360" s="7" t="s">
        <v>173</v>
      </c>
      <c r="E360" s="30" t="n">
        <v>12260</v>
      </c>
      <c r="F360" s="31" t="n">
        <v>0.085</v>
      </c>
      <c r="G360" s="7" t="s">
        <v>161</v>
      </c>
    </row>
    <row r="361" customFormat="false" ht="15" hidden="false" customHeight="false" outlineLevel="0" collapsed="false">
      <c r="A361" s="7" t="s">
        <v>527</v>
      </c>
      <c r="B361" s="29" t="n">
        <v>46199</v>
      </c>
      <c r="C361" s="7" t="s">
        <v>151</v>
      </c>
      <c r="D361" s="7" t="s">
        <v>152</v>
      </c>
      <c r="E361" s="30" t="n">
        <v>28171</v>
      </c>
      <c r="F361" s="31" t="n">
        <v>0.045</v>
      </c>
      <c r="G361" s="7" t="s">
        <v>153</v>
      </c>
    </row>
    <row r="362" customFormat="false" ht="15" hidden="false" customHeight="false" outlineLevel="0" collapsed="false">
      <c r="A362" s="7" t="s">
        <v>528</v>
      </c>
      <c r="B362" s="29" t="n">
        <v>46129</v>
      </c>
      <c r="C362" s="7" t="s">
        <v>156</v>
      </c>
      <c r="D362" s="7" t="s">
        <v>152</v>
      </c>
      <c r="E362" s="30" t="n">
        <v>3832</v>
      </c>
      <c r="F362" s="31" t="n">
        <v>0.065</v>
      </c>
      <c r="G362" s="7" t="s">
        <v>153</v>
      </c>
    </row>
    <row r="363" customFormat="false" ht="15" hidden="false" customHeight="false" outlineLevel="0" collapsed="false">
      <c r="A363" s="7" t="s">
        <v>529</v>
      </c>
      <c r="B363" s="29" t="n">
        <v>46176</v>
      </c>
      <c r="C363" s="7" t="s">
        <v>151</v>
      </c>
      <c r="D363" s="7" t="s">
        <v>159</v>
      </c>
      <c r="E363" s="30" t="n">
        <v>36739</v>
      </c>
      <c r="F363" s="31" t="n">
        <v>0.14</v>
      </c>
      <c r="G363" s="7" t="s">
        <v>153</v>
      </c>
    </row>
    <row r="364" customFormat="false" ht="15" hidden="false" customHeight="false" outlineLevel="0" collapsed="false">
      <c r="A364" s="7" t="s">
        <v>530</v>
      </c>
      <c r="B364" s="29" t="n">
        <v>46156</v>
      </c>
      <c r="C364" s="7" t="s">
        <v>156</v>
      </c>
      <c r="D364" s="7" t="s">
        <v>173</v>
      </c>
      <c r="E364" s="30" t="n">
        <v>15305</v>
      </c>
      <c r="F364" s="31" t="n">
        <v>0.14</v>
      </c>
      <c r="G364" s="7" t="s">
        <v>161</v>
      </c>
    </row>
    <row r="365" customFormat="false" ht="15" hidden="false" customHeight="false" outlineLevel="0" collapsed="false">
      <c r="A365" s="7" t="s">
        <v>531</v>
      </c>
      <c r="B365" s="29" t="n">
        <v>46155</v>
      </c>
      <c r="C365" s="7" t="s">
        <v>168</v>
      </c>
      <c r="D365" s="7" t="s">
        <v>173</v>
      </c>
      <c r="E365" s="30" t="n">
        <v>11959</v>
      </c>
      <c r="F365" s="31" t="n">
        <v>0.085</v>
      </c>
      <c r="G365" s="7" t="s">
        <v>161</v>
      </c>
    </row>
    <row r="366" customFormat="false" ht="15" hidden="false" customHeight="false" outlineLevel="0" collapsed="false">
      <c r="A366" s="7" t="s">
        <v>532</v>
      </c>
      <c r="B366" s="29" t="n">
        <v>46128</v>
      </c>
      <c r="C366" s="7" t="s">
        <v>156</v>
      </c>
      <c r="D366" s="7" t="s">
        <v>152</v>
      </c>
      <c r="E366" s="30" t="n">
        <v>79852</v>
      </c>
      <c r="F366" s="31" t="n">
        <v>0.02</v>
      </c>
      <c r="G366" s="7" t="s">
        <v>181</v>
      </c>
    </row>
    <row r="367" customFormat="false" ht="15" hidden="false" customHeight="false" outlineLevel="0" collapsed="false">
      <c r="A367" s="7" t="s">
        <v>533</v>
      </c>
      <c r="B367" s="29" t="n">
        <v>46189</v>
      </c>
      <c r="C367" s="7" t="s">
        <v>164</v>
      </c>
      <c r="D367" s="7" t="s">
        <v>157</v>
      </c>
      <c r="E367" s="30" t="n">
        <v>65558</v>
      </c>
      <c r="F367" s="31" t="n">
        <v>0.11</v>
      </c>
      <c r="G367" s="7" t="s">
        <v>153</v>
      </c>
    </row>
    <row r="368" customFormat="false" ht="15" hidden="false" customHeight="false" outlineLevel="0" collapsed="false">
      <c r="A368" s="7" t="s">
        <v>534</v>
      </c>
      <c r="B368" s="29" t="n">
        <v>46210</v>
      </c>
      <c r="C368" s="7" t="s">
        <v>151</v>
      </c>
      <c r="D368" s="7" t="s">
        <v>157</v>
      </c>
      <c r="E368" s="30" t="n">
        <v>67315</v>
      </c>
      <c r="F368" s="31" t="n">
        <v>0.085</v>
      </c>
      <c r="G368" s="7" t="s">
        <v>153</v>
      </c>
    </row>
    <row r="369" customFormat="false" ht="15" hidden="false" customHeight="false" outlineLevel="0" collapsed="false">
      <c r="A369" s="7" t="s">
        <v>535</v>
      </c>
      <c r="B369" s="29" t="n">
        <v>46137</v>
      </c>
      <c r="C369" s="7" t="s">
        <v>156</v>
      </c>
      <c r="D369" s="7" t="s">
        <v>152</v>
      </c>
      <c r="E369" s="30" t="n">
        <v>41373</v>
      </c>
      <c r="F369" s="31" t="n">
        <v>0.045</v>
      </c>
      <c r="G369" s="7" t="s">
        <v>153</v>
      </c>
    </row>
    <row r="370" customFormat="false" ht="15" hidden="false" customHeight="false" outlineLevel="0" collapsed="false">
      <c r="A370" s="7" t="s">
        <v>536</v>
      </c>
      <c r="B370" s="29" t="n">
        <v>46231</v>
      </c>
      <c r="C370" s="7" t="s">
        <v>156</v>
      </c>
      <c r="D370" s="7" t="s">
        <v>173</v>
      </c>
      <c r="E370" s="30" t="n">
        <v>37320</v>
      </c>
      <c r="F370" s="31" t="n">
        <v>0.045</v>
      </c>
      <c r="G370" s="7" t="s">
        <v>153</v>
      </c>
    </row>
    <row r="371" customFormat="false" ht="15" hidden="false" customHeight="false" outlineLevel="0" collapsed="false">
      <c r="A371" s="7" t="s">
        <v>537</v>
      </c>
      <c r="B371" s="29" t="n">
        <v>46241</v>
      </c>
      <c r="C371" s="7" t="s">
        <v>164</v>
      </c>
      <c r="D371" s="7" t="s">
        <v>157</v>
      </c>
      <c r="E371" s="30" t="n">
        <v>90625</v>
      </c>
      <c r="F371" s="31" t="n">
        <v>0.045</v>
      </c>
      <c r="G371" s="7" t="s">
        <v>153</v>
      </c>
    </row>
    <row r="372" customFormat="false" ht="15" hidden="false" customHeight="false" outlineLevel="0" collapsed="false">
      <c r="A372" s="7" t="s">
        <v>538</v>
      </c>
      <c r="B372" s="29" t="n">
        <v>46203</v>
      </c>
      <c r="C372" s="7" t="s">
        <v>168</v>
      </c>
      <c r="D372" s="7" t="s">
        <v>159</v>
      </c>
      <c r="E372" s="30" t="n">
        <v>53497</v>
      </c>
      <c r="F372" s="31" t="n">
        <v>0.14</v>
      </c>
      <c r="G372" s="7" t="s">
        <v>153</v>
      </c>
    </row>
    <row r="373" customFormat="false" ht="15" hidden="false" customHeight="false" outlineLevel="0" collapsed="false">
      <c r="A373" s="7" t="s">
        <v>539</v>
      </c>
      <c r="B373" s="29" t="n">
        <v>46249</v>
      </c>
      <c r="C373" s="7" t="s">
        <v>156</v>
      </c>
      <c r="D373" s="7" t="s">
        <v>157</v>
      </c>
      <c r="E373" s="30" t="n">
        <v>70843</v>
      </c>
      <c r="F373" s="31" t="n">
        <v>0</v>
      </c>
      <c r="G373" s="7" t="s">
        <v>174</v>
      </c>
    </row>
    <row r="374" customFormat="false" ht="15" hidden="false" customHeight="false" outlineLevel="0" collapsed="false">
      <c r="A374" s="7" t="s">
        <v>540</v>
      </c>
      <c r="B374" s="29" t="n">
        <v>46220</v>
      </c>
      <c r="C374" s="7" t="s">
        <v>151</v>
      </c>
      <c r="D374" s="7" t="s">
        <v>152</v>
      </c>
      <c r="E374" s="30" t="n">
        <v>72957</v>
      </c>
      <c r="F374" s="31" t="n">
        <v>0</v>
      </c>
      <c r="G374" s="7" t="s">
        <v>161</v>
      </c>
    </row>
    <row r="375" customFormat="false" ht="15" hidden="false" customHeight="false" outlineLevel="0" collapsed="false">
      <c r="A375" s="7" t="s">
        <v>541</v>
      </c>
      <c r="B375" s="29" t="n">
        <v>46215</v>
      </c>
      <c r="C375" s="7" t="s">
        <v>164</v>
      </c>
      <c r="D375" s="7" t="s">
        <v>152</v>
      </c>
      <c r="E375" s="30" t="n">
        <v>76282</v>
      </c>
      <c r="F375" s="31" t="n">
        <v>0.065</v>
      </c>
      <c r="G375" s="7" t="s">
        <v>161</v>
      </c>
    </row>
    <row r="376" customFormat="false" ht="15" hidden="false" customHeight="false" outlineLevel="0" collapsed="false">
      <c r="A376" s="7" t="s">
        <v>542</v>
      </c>
      <c r="B376" s="29" t="n">
        <v>46118</v>
      </c>
      <c r="C376" s="7" t="s">
        <v>156</v>
      </c>
      <c r="D376" s="7" t="s">
        <v>152</v>
      </c>
      <c r="E376" s="30" t="n">
        <v>83107</v>
      </c>
      <c r="F376" s="31" t="n">
        <v>0.02</v>
      </c>
      <c r="G376" s="7" t="s">
        <v>153</v>
      </c>
    </row>
    <row r="377" customFormat="false" ht="15" hidden="false" customHeight="false" outlineLevel="0" collapsed="false">
      <c r="A377" s="7" t="s">
        <v>543</v>
      </c>
      <c r="B377" s="29" t="n">
        <v>46211</v>
      </c>
      <c r="C377" s="7" t="s">
        <v>151</v>
      </c>
      <c r="D377" s="7" t="s">
        <v>173</v>
      </c>
      <c r="E377" s="30" t="n">
        <v>71746</v>
      </c>
      <c r="F377" s="31" t="n">
        <v>0.11</v>
      </c>
      <c r="G377" s="7" t="s">
        <v>153</v>
      </c>
    </row>
    <row r="378" customFormat="false" ht="15" hidden="false" customHeight="false" outlineLevel="0" collapsed="false">
      <c r="A378" s="7" t="s">
        <v>544</v>
      </c>
      <c r="B378" s="29" t="n">
        <v>46166</v>
      </c>
      <c r="C378" s="7" t="s">
        <v>164</v>
      </c>
      <c r="D378" s="7" t="s">
        <v>157</v>
      </c>
      <c r="E378" s="30" t="n">
        <v>5554</v>
      </c>
      <c r="F378" s="31" t="n">
        <v>0.085</v>
      </c>
      <c r="G378" s="7" t="s">
        <v>174</v>
      </c>
    </row>
    <row r="379" customFormat="false" ht="15" hidden="false" customHeight="false" outlineLevel="0" collapsed="false">
      <c r="A379" s="7" t="s">
        <v>545</v>
      </c>
      <c r="B379" s="29" t="n">
        <v>46133</v>
      </c>
      <c r="C379" s="7" t="s">
        <v>168</v>
      </c>
      <c r="D379" s="7" t="s">
        <v>159</v>
      </c>
      <c r="E379" s="30" t="n">
        <v>47554</v>
      </c>
      <c r="F379" s="31" t="n">
        <v>0.11</v>
      </c>
      <c r="G379" s="7" t="s">
        <v>153</v>
      </c>
    </row>
    <row r="380" customFormat="false" ht="15" hidden="false" customHeight="false" outlineLevel="0" collapsed="false">
      <c r="A380" s="7" t="s">
        <v>546</v>
      </c>
      <c r="B380" s="29" t="n">
        <v>46183</v>
      </c>
      <c r="C380" s="7" t="s">
        <v>156</v>
      </c>
      <c r="D380" s="7" t="s">
        <v>157</v>
      </c>
      <c r="E380" s="30" t="n">
        <v>37446</v>
      </c>
      <c r="F380" s="31" t="n">
        <v>0.065</v>
      </c>
      <c r="G380" s="7" t="s">
        <v>153</v>
      </c>
    </row>
    <row r="381" customFormat="false" ht="15" hidden="false" customHeight="false" outlineLevel="0" collapsed="false">
      <c r="A381" s="7" t="s">
        <v>547</v>
      </c>
      <c r="B381" s="29" t="n">
        <v>46255</v>
      </c>
      <c r="C381" s="7" t="s">
        <v>151</v>
      </c>
      <c r="D381" s="7" t="s">
        <v>157</v>
      </c>
      <c r="E381" s="30" t="n">
        <v>70899</v>
      </c>
      <c r="F381" s="31" t="n">
        <v>0.11</v>
      </c>
      <c r="G381" s="7" t="s">
        <v>153</v>
      </c>
    </row>
    <row r="382" customFormat="false" ht="15" hidden="false" customHeight="false" outlineLevel="0" collapsed="false">
      <c r="A382" s="7" t="s">
        <v>548</v>
      </c>
      <c r="B382" s="29" t="n">
        <v>46250</v>
      </c>
      <c r="C382" s="7" t="s">
        <v>164</v>
      </c>
      <c r="D382" s="7" t="s">
        <v>152</v>
      </c>
      <c r="E382" s="30" t="n">
        <v>25924</v>
      </c>
      <c r="F382" s="31" t="n">
        <v>0</v>
      </c>
      <c r="G382" s="7" t="s">
        <v>153</v>
      </c>
    </row>
    <row r="383" customFormat="false" ht="15" hidden="false" customHeight="false" outlineLevel="0" collapsed="false">
      <c r="A383" s="7" t="s">
        <v>549</v>
      </c>
      <c r="B383" s="29" t="n">
        <v>46130</v>
      </c>
      <c r="C383" s="7" t="s">
        <v>168</v>
      </c>
      <c r="D383" s="7" t="s">
        <v>159</v>
      </c>
      <c r="E383" s="30" t="n">
        <v>69331</v>
      </c>
      <c r="F383" s="31" t="n">
        <v>0.11</v>
      </c>
      <c r="G383" s="7" t="s">
        <v>174</v>
      </c>
    </row>
    <row r="384" customFormat="false" ht="15" hidden="false" customHeight="false" outlineLevel="0" collapsed="false">
      <c r="A384" s="7" t="s">
        <v>550</v>
      </c>
      <c r="B384" s="29" t="n">
        <v>46177</v>
      </c>
      <c r="C384" s="7" t="s">
        <v>164</v>
      </c>
      <c r="D384" s="7" t="s">
        <v>157</v>
      </c>
      <c r="E384" s="30" t="n">
        <v>54260</v>
      </c>
      <c r="F384" s="31" t="n">
        <v>0.085</v>
      </c>
      <c r="G384" s="7" t="s">
        <v>161</v>
      </c>
    </row>
    <row r="385" customFormat="false" ht="15" hidden="false" customHeight="false" outlineLevel="0" collapsed="false">
      <c r="A385" s="7" t="s">
        <v>551</v>
      </c>
      <c r="B385" s="29" t="n">
        <v>46221</v>
      </c>
      <c r="C385" s="7" t="s">
        <v>168</v>
      </c>
      <c r="D385" s="7" t="s">
        <v>173</v>
      </c>
      <c r="E385" s="30" t="n">
        <v>50067</v>
      </c>
      <c r="F385" s="31" t="n">
        <v>0.045</v>
      </c>
      <c r="G385" s="7" t="s">
        <v>153</v>
      </c>
    </row>
    <row r="386" customFormat="false" ht="15" hidden="false" customHeight="false" outlineLevel="0" collapsed="false">
      <c r="A386" s="7" t="s">
        <v>552</v>
      </c>
      <c r="B386" s="29" t="n">
        <v>46262</v>
      </c>
      <c r="C386" s="7" t="s">
        <v>151</v>
      </c>
      <c r="D386" s="7" t="s">
        <v>152</v>
      </c>
      <c r="E386" s="30" t="n">
        <v>78718</v>
      </c>
      <c r="F386" s="31" t="n">
        <v>0.045</v>
      </c>
      <c r="G386" s="7" t="s">
        <v>161</v>
      </c>
    </row>
    <row r="387" customFormat="false" ht="15" hidden="false" customHeight="false" outlineLevel="0" collapsed="false">
      <c r="A387" s="7" t="s">
        <v>553</v>
      </c>
      <c r="B387" s="29" t="n">
        <v>46141</v>
      </c>
      <c r="C387" s="7" t="s">
        <v>151</v>
      </c>
      <c r="D387" s="7" t="s">
        <v>157</v>
      </c>
      <c r="E387" s="30" t="n">
        <v>14892</v>
      </c>
      <c r="F387" s="31" t="n">
        <v>0.14</v>
      </c>
      <c r="G387" s="7" t="s">
        <v>153</v>
      </c>
    </row>
    <row r="388" customFormat="false" ht="15" hidden="false" customHeight="false" outlineLevel="0" collapsed="false">
      <c r="A388" s="7" t="s">
        <v>554</v>
      </c>
      <c r="B388" s="29" t="n">
        <v>46225</v>
      </c>
      <c r="C388" s="7" t="s">
        <v>151</v>
      </c>
      <c r="D388" s="7" t="s">
        <v>157</v>
      </c>
      <c r="E388" s="30" t="n">
        <v>79929</v>
      </c>
      <c r="F388" s="31" t="n">
        <v>0.02</v>
      </c>
      <c r="G388" s="7" t="s">
        <v>174</v>
      </c>
    </row>
    <row r="389" customFormat="false" ht="15" hidden="false" customHeight="false" outlineLevel="0" collapsed="false">
      <c r="A389" s="7" t="s">
        <v>555</v>
      </c>
      <c r="B389" s="29" t="n">
        <v>46184</v>
      </c>
      <c r="C389" s="7" t="s">
        <v>151</v>
      </c>
      <c r="D389" s="7" t="s">
        <v>157</v>
      </c>
      <c r="E389" s="30" t="n">
        <v>44110</v>
      </c>
      <c r="F389" s="31" t="n">
        <v>0.045</v>
      </c>
      <c r="G389" s="7" t="s">
        <v>153</v>
      </c>
    </row>
    <row r="390" customFormat="false" ht="15" hidden="false" customHeight="false" outlineLevel="0" collapsed="false">
      <c r="A390" s="7" t="s">
        <v>556</v>
      </c>
      <c r="B390" s="29" t="n">
        <v>46150</v>
      </c>
      <c r="C390" s="7" t="s">
        <v>168</v>
      </c>
      <c r="D390" s="7" t="s">
        <v>173</v>
      </c>
      <c r="E390" s="30" t="n">
        <v>58684</v>
      </c>
      <c r="F390" s="31" t="n">
        <v>0.02</v>
      </c>
      <c r="G390" s="7" t="s">
        <v>153</v>
      </c>
    </row>
    <row r="391" customFormat="false" ht="15" hidden="false" customHeight="false" outlineLevel="0" collapsed="false">
      <c r="A391" s="7" t="s">
        <v>557</v>
      </c>
      <c r="B391" s="29" t="n">
        <v>46181</v>
      </c>
      <c r="C391" s="7" t="s">
        <v>151</v>
      </c>
      <c r="D391" s="7" t="s">
        <v>159</v>
      </c>
      <c r="E391" s="30" t="n">
        <v>79348</v>
      </c>
      <c r="F391" s="31" t="n">
        <v>0.11</v>
      </c>
      <c r="G391" s="7" t="s">
        <v>174</v>
      </c>
    </row>
    <row r="392" customFormat="false" ht="15" hidden="false" customHeight="false" outlineLevel="0" collapsed="false">
      <c r="A392" s="7" t="s">
        <v>558</v>
      </c>
      <c r="B392" s="29" t="n">
        <v>46254</v>
      </c>
      <c r="C392" s="7" t="s">
        <v>164</v>
      </c>
      <c r="D392" s="7" t="s">
        <v>159</v>
      </c>
      <c r="E392" s="30" t="n">
        <v>30047</v>
      </c>
      <c r="F392" s="31" t="n">
        <v>0.11</v>
      </c>
      <c r="G392" s="7" t="s">
        <v>153</v>
      </c>
    </row>
    <row r="393" customFormat="false" ht="15" hidden="false" customHeight="false" outlineLevel="0" collapsed="false">
      <c r="A393" s="7" t="s">
        <v>559</v>
      </c>
      <c r="B393" s="29" t="n">
        <v>46232</v>
      </c>
      <c r="C393" s="7" t="s">
        <v>168</v>
      </c>
      <c r="D393" s="7" t="s">
        <v>157</v>
      </c>
      <c r="E393" s="30" t="n">
        <v>45818</v>
      </c>
      <c r="F393" s="31" t="n">
        <v>0.085</v>
      </c>
      <c r="G393" s="7" t="s">
        <v>153</v>
      </c>
    </row>
    <row r="394" customFormat="false" ht="15" hidden="false" customHeight="false" outlineLevel="0" collapsed="false">
      <c r="A394" s="7" t="s">
        <v>560</v>
      </c>
      <c r="B394" s="29" t="n">
        <v>46237</v>
      </c>
      <c r="C394" s="7" t="s">
        <v>156</v>
      </c>
      <c r="D394" s="7" t="s">
        <v>157</v>
      </c>
      <c r="E394" s="30" t="n">
        <v>34674</v>
      </c>
      <c r="F394" s="31" t="n">
        <v>0.085</v>
      </c>
      <c r="G394" s="7" t="s">
        <v>153</v>
      </c>
    </row>
    <row r="395" customFormat="false" ht="15" hidden="false" customHeight="false" outlineLevel="0" collapsed="false">
      <c r="A395" s="7" t="s">
        <v>561</v>
      </c>
      <c r="B395" s="29" t="n">
        <v>46260</v>
      </c>
      <c r="C395" s="7" t="s">
        <v>151</v>
      </c>
      <c r="D395" s="7" t="s">
        <v>157</v>
      </c>
      <c r="E395" s="30" t="n">
        <v>94874</v>
      </c>
      <c r="F395" s="31" t="n">
        <v>0.14</v>
      </c>
      <c r="G395" s="7" t="s">
        <v>161</v>
      </c>
    </row>
    <row r="396" customFormat="false" ht="15" hidden="false" customHeight="false" outlineLevel="0" collapsed="false">
      <c r="A396" s="7" t="s">
        <v>562</v>
      </c>
      <c r="B396" s="29" t="n">
        <v>46238</v>
      </c>
      <c r="C396" s="7" t="s">
        <v>151</v>
      </c>
      <c r="D396" s="7" t="s">
        <v>152</v>
      </c>
      <c r="E396" s="30" t="n">
        <v>42059</v>
      </c>
      <c r="F396" s="31" t="n">
        <v>0.045</v>
      </c>
      <c r="G396" s="7" t="s">
        <v>153</v>
      </c>
    </row>
    <row r="397" customFormat="false" ht="15" hidden="false" customHeight="false" outlineLevel="0" collapsed="false">
      <c r="A397" s="7" t="s">
        <v>563</v>
      </c>
      <c r="B397" s="29" t="n">
        <v>46218</v>
      </c>
      <c r="C397" s="7" t="s">
        <v>156</v>
      </c>
      <c r="D397" s="7" t="s">
        <v>152</v>
      </c>
      <c r="E397" s="30" t="n">
        <v>7808</v>
      </c>
      <c r="F397" s="31" t="n">
        <v>0.045</v>
      </c>
      <c r="G397" s="7" t="s">
        <v>174</v>
      </c>
    </row>
    <row r="398" customFormat="false" ht="15" hidden="false" customHeight="false" outlineLevel="0" collapsed="false">
      <c r="A398" s="7" t="s">
        <v>564</v>
      </c>
      <c r="B398" s="29" t="n">
        <v>46187</v>
      </c>
      <c r="C398" s="7" t="s">
        <v>151</v>
      </c>
      <c r="D398" s="7" t="s">
        <v>159</v>
      </c>
      <c r="E398" s="30" t="n">
        <v>85536</v>
      </c>
      <c r="F398" s="31" t="n">
        <v>0.14</v>
      </c>
      <c r="G398" s="7" t="s">
        <v>161</v>
      </c>
    </row>
    <row r="399" customFormat="false" ht="15" hidden="false" customHeight="false" outlineLevel="0" collapsed="false">
      <c r="A399" s="7" t="s">
        <v>565</v>
      </c>
      <c r="B399" s="29" t="n">
        <v>46218</v>
      </c>
      <c r="C399" s="7" t="s">
        <v>156</v>
      </c>
      <c r="D399" s="7" t="s">
        <v>157</v>
      </c>
      <c r="E399" s="30" t="n">
        <v>83219</v>
      </c>
      <c r="F399" s="31" t="n">
        <v>0.085</v>
      </c>
      <c r="G399" s="7" t="s">
        <v>153</v>
      </c>
    </row>
    <row r="400" customFormat="false" ht="15" hidden="false" customHeight="false" outlineLevel="0" collapsed="false">
      <c r="A400" s="7" t="s">
        <v>566</v>
      </c>
      <c r="B400" s="29" t="n">
        <v>46130</v>
      </c>
      <c r="C400" s="7" t="s">
        <v>156</v>
      </c>
      <c r="D400" s="7" t="s">
        <v>159</v>
      </c>
      <c r="E400" s="30" t="n">
        <v>51285</v>
      </c>
      <c r="F400" s="31" t="n">
        <v>0.045</v>
      </c>
      <c r="G400" s="7" t="s">
        <v>161</v>
      </c>
    </row>
    <row r="401" customFormat="false" ht="15" hidden="false" customHeight="false" outlineLevel="0" collapsed="false">
      <c r="A401" s="7" t="s">
        <v>567</v>
      </c>
      <c r="B401" s="29" t="n">
        <v>46245</v>
      </c>
      <c r="C401" s="7" t="s">
        <v>156</v>
      </c>
      <c r="D401" s="7" t="s">
        <v>157</v>
      </c>
      <c r="E401" s="30" t="n">
        <v>3909</v>
      </c>
      <c r="F401" s="31" t="n">
        <v>0.065</v>
      </c>
      <c r="G401" s="7" t="s">
        <v>153</v>
      </c>
    </row>
    <row r="402" customFormat="false" ht="15" hidden="false" customHeight="false" outlineLevel="0" collapsed="false">
      <c r="A402" s="7" t="s">
        <v>568</v>
      </c>
      <c r="B402" s="29" t="n">
        <v>46164</v>
      </c>
      <c r="C402" s="7" t="s">
        <v>156</v>
      </c>
      <c r="D402" s="7" t="s">
        <v>152</v>
      </c>
      <c r="E402" s="30" t="n">
        <v>33470</v>
      </c>
      <c r="F402" s="31" t="n">
        <v>0</v>
      </c>
      <c r="G402" s="7" t="s">
        <v>181</v>
      </c>
    </row>
    <row r="403" customFormat="false" ht="15" hidden="false" customHeight="false" outlineLevel="0" collapsed="false">
      <c r="A403" s="7" t="s">
        <v>569</v>
      </c>
      <c r="B403" s="29" t="n">
        <v>46148</v>
      </c>
      <c r="C403" s="7" t="s">
        <v>164</v>
      </c>
      <c r="D403" s="7" t="s">
        <v>173</v>
      </c>
      <c r="E403" s="30" t="n">
        <v>80937</v>
      </c>
      <c r="F403" s="31" t="n">
        <v>0.065</v>
      </c>
      <c r="G403" s="7" t="s">
        <v>153</v>
      </c>
    </row>
    <row r="404" customFormat="false" ht="15" hidden="false" customHeight="false" outlineLevel="0" collapsed="false">
      <c r="A404" s="7" t="s">
        <v>570</v>
      </c>
      <c r="B404" s="29" t="n">
        <v>46148</v>
      </c>
      <c r="C404" s="7" t="s">
        <v>151</v>
      </c>
      <c r="D404" s="7" t="s">
        <v>159</v>
      </c>
      <c r="E404" s="30" t="n">
        <v>39105</v>
      </c>
      <c r="F404" s="31" t="n">
        <v>0.14</v>
      </c>
      <c r="G404" s="7" t="s">
        <v>153</v>
      </c>
    </row>
    <row r="405" customFormat="false" ht="15" hidden="false" customHeight="false" outlineLevel="0" collapsed="false">
      <c r="A405" s="7" t="s">
        <v>571</v>
      </c>
      <c r="B405" s="29" t="n">
        <v>46200</v>
      </c>
      <c r="C405" s="7" t="s">
        <v>164</v>
      </c>
      <c r="D405" s="7" t="s">
        <v>173</v>
      </c>
      <c r="E405" s="30" t="n">
        <v>34408</v>
      </c>
      <c r="F405" s="31" t="n">
        <v>0.065</v>
      </c>
      <c r="G405" s="7" t="s">
        <v>181</v>
      </c>
    </row>
    <row r="406" customFormat="false" ht="15" hidden="false" customHeight="false" outlineLevel="0" collapsed="false">
      <c r="A406" s="7" t="s">
        <v>572</v>
      </c>
      <c r="B406" s="29" t="n">
        <v>46232</v>
      </c>
      <c r="C406" s="7" t="s">
        <v>156</v>
      </c>
      <c r="D406" s="7" t="s">
        <v>152</v>
      </c>
      <c r="E406" s="30" t="n">
        <v>84591</v>
      </c>
      <c r="F406" s="31" t="n">
        <v>0.11</v>
      </c>
      <c r="G406" s="7" t="s">
        <v>153</v>
      </c>
    </row>
    <row r="407" customFormat="false" ht="15" hidden="false" customHeight="false" outlineLevel="0" collapsed="false">
      <c r="A407" s="7" t="s">
        <v>573</v>
      </c>
      <c r="B407" s="29" t="n">
        <v>46234</v>
      </c>
      <c r="C407" s="7" t="s">
        <v>151</v>
      </c>
      <c r="D407" s="7" t="s">
        <v>173</v>
      </c>
      <c r="E407" s="30" t="n">
        <v>89407</v>
      </c>
      <c r="F407" s="31" t="n">
        <v>0</v>
      </c>
      <c r="G407" s="7" t="s">
        <v>174</v>
      </c>
    </row>
    <row r="408" customFormat="false" ht="15" hidden="false" customHeight="false" outlineLevel="0" collapsed="false">
      <c r="A408" s="7" t="s">
        <v>574</v>
      </c>
      <c r="B408" s="29" t="n">
        <v>46211</v>
      </c>
      <c r="C408" s="7" t="s">
        <v>151</v>
      </c>
      <c r="D408" s="7" t="s">
        <v>159</v>
      </c>
      <c r="E408" s="30" t="n">
        <v>92928</v>
      </c>
      <c r="F408" s="31" t="n">
        <v>0.085</v>
      </c>
      <c r="G408" s="7" t="s">
        <v>153</v>
      </c>
    </row>
    <row r="409" customFormat="false" ht="15" hidden="false" customHeight="false" outlineLevel="0" collapsed="false">
      <c r="A409" s="7" t="s">
        <v>575</v>
      </c>
      <c r="B409" s="29" t="n">
        <v>46248</v>
      </c>
      <c r="C409" s="7" t="s">
        <v>164</v>
      </c>
      <c r="D409" s="7" t="s">
        <v>157</v>
      </c>
      <c r="E409" s="30" t="n">
        <v>15228</v>
      </c>
      <c r="F409" s="31" t="n">
        <v>0</v>
      </c>
      <c r="G409" s="7" t="s">
        <v>174</v>
      </c>
    </row>
    <row r="410" customFormat="false" ht="15" hidden="false" customHeight="false" outlineLevel="0" collapsed="false">
      <c r="A410" s="7" t="s">
        <v>576</v>
      </c>
      <c r="B410" s="29" t="n">
        <v>46184</v>
      </c>
      <c r="C410" s="7" t="s">
        <v>156</v>
      </c>
      <c r="D410" s="7" t="s">
        <v>173</v>
      </c>
      <c r="E410" s="30" t="n">
        <v>35255</v>
      </c>
      <c r="F410" s="31" t="n">
        <v>0.11</v>
      </c>
      <c r="G410" s="7" t="s">
        <v>153</v>
      </c>
    </row>
    <row r="411" customFormat="false" ht="15" hidden="false" customHeight="false" outlineLevel="0" collapsed="false">
      <c r="A411" s="7" t="s">
        <v>577</v>
      </c>
      <c r="B411" s="29" t="n">
        <v>46194</v>
      </c>
      <c r="C411" s="7" t="s">
        <v>168</v>
      </c>
      <c r="D411" s="7" t="s">
        <v>173</v>
      </c>
      <c r="E411" s="30" t="n">
        <v>89267</v>
      </c>
      <c r="F411" s="31" t="n">
        <v>0.045</v>
      </c>
      <c r="G411" s="7" t="s">
        <v>153</v>
      </c>
    </row>
    <row r="412" customFormat="false" ht="15" hidden="false" customHeight="false" outlineLevel="0" collapsed="false">
      <c r="A412" s="7" t="s">
        <v>578</v>
      </c>
      <c r="B412" s="29" t="n">
        <v>46240</v>
      </c>
      <c r="C412" s="7" t="s">
        <v>151</v>
      </c>
      <c r="D412" s="7" t="s">
        <v>157</v>
      </c>
      <c r="E412" s="30" t="n">
        <v>48982</v>
      </c>
      <c r="F412" s="31" t="n">
        <v>0.02</v>
      </c>
      <c r="G412" s="7" t="s">
        <v>153</v>
      </c>
    </row>
    <row r="413" customFormat="false" ht="15" hidden="false" customHeight="false" outlineLevel="0" collapsed="false">
      <c r="A413" s="7" t="s">
        <v>579</v>
      </c>
      <c r="B413" s="29" t="n">
        <v>46236</v>
      </c>
      <c r="C413" s="7" t="s">
        <v>168</v>
      </c>
      <c r="D413" s="7" t="s">
        <v>152</v>
      </c>
      <c r="E413" s="30" t="n">
        <v>37768</v>
      </c>
      <c r="F413" s="31" t="n">
        <v>0.065</v>
      </c>
      <c r="G413" s="7" t="s">
        <v>153</v>
      </c>
    </row>
    <row r="414" customFormat="false" ht="15" hidden="false" customHeight="false" outlineLevel="0" collapsed="false">
      <c r="A414" s="7" t="s">
        <v>580</v>
      </c>
      <c r="B414" s="29" t="n">
        <v>46232</v>
      </c>
      <c r="C414" s="7" t="s">
        <v>164</v>
      </c>
      <c r="D414" s="7" t="s">
        <v>159</v>
      </c>
      <c r="E414" s="30" t="n">
        <v>68358</v>
      </c>
      <c r="F414" s="31" t="n">
        <v>0</v>
      </c>
      <c r="G414" s="7" t="s">
        <v>153</v>
      </c>
    </row>
    <row r="415" customFormat="false" ht="15" hidden="false" customHeight="false" outlineLevel="0" collapsed="false">
      <c r="A415" s="7" t="s">
        <v>581</v>
      </c>
      <c r="B415" s="29" t="n">
        <v>46182</v>
      </c>
      <c r="C415" s="7" t="s">
        <v>156</v>
      </c>
      <c r="D415" s="7" t="s">
        <v>157</v>
      </c>
      <c r="E415" s="30" t="n">
        <v>3524</v>
      </c>
      <c r="F415" s="31" t="n">
        <v>0.065</v>
      </c>
      <c r="G415" s="7" t="s">
        <v>153</v>
      </c>
    </row>
    <row r="416" customFormat="false" ht="15" hidden="false" customHeight="false" outlineLevel="0" collapsed="false">
      <c r="A416" s="7" t="s">
        <v>582</v>
      </c>
      <c r="B416" s="29" t="n">
        <v>46157</v>
      </c>
      <c r="C416" s="7" t="s">
        <v>151</v>
      </c>
      <c r="D416" s="7" t="s">
        <v>152</v>
      </c>
      <c r="E416" s="30" t="n">
        <v>63374</v>
      </c>
      <c r="F416" s="31" t="n">
        <v>0.045</v>
      </c>
      <c r="G416" s="7" t="s">
        <v>181</v>
      </c>
    </row>
    <row r="417" customFormat="false" ht="15" hidden="false" customHeight="false" outlineLevel="0" collapsed="false">
      <c r="A417" s="7" t="s">
        <v>583</v>
      </c>
      <c r="B417" s="29" t="n">
        <v>46116</v>
      </c>
      <c r="C417" s="7" t="s">
        <v>156</v>
      </c>
      <c r="D417" s="7" t="s">
        <v>173</v>
      </c>
      <c r="E417" s="30" t="n">
        <v>40477</v>
      </c>
      <c r="F417" s="31" t="n">
        <v>0.085</v>
      </c>
      <c r="G417" s="7" t="s">
        <v>161</v>
      </c>
    </row>
    <row r="418" customFormat="false" ht="15" hidden="false" customHeight="false" outlineLevel="0" collapsed="false">
      <c r="A418" s="7" t="s">
        <v>584</v>
      </c>
      <c r="B418" s="29" t="n">
        <v>46184</v>
      </c>
      <c r="C418" s="7" t="s">
        <v>164</v>
      </c>
      <c r="D418" s="7" t="s">
        <v>159</v>
      </c>
      <c r="E418" s="30" t="n">
        <v>23838</v>
      </c>
      <c r="F418" s="31" t="n">
        <v>0.045</v>
      </c>
      <c r="G418" s="7" t="s">
        <v>174</v>
      </c>
    </row>
    <row r="419" customFormat="false" ht="15" hidden="false" customHeight="false" outlineLevel="0" collapsed="false">
      <c r="A419" s="7" t="s">
        <v>585</v>
      </c>
      <c r="B419" s="29" t="n">
        <v>46165</v>
      </c>
      <c r="C419" s="7" t="s">
        <v>168</v>
      </c>
      <c r="D419" s="7" t="s">
        <v>152</v>
      </c>
      <c r="E419" s="30" t="n">
        <v>65523</v>
      </c>
      <c r="F419" s="31" t="n">
        <v>0.14</v>
      </c>
      <c r="G419" s="7" t="s">
        <v>153</v>
      </c>
    </row>
    <row r="420" customFormat="false" ht="15" hidden="false" customHeight="false" outlineLevel="0" collapsed="false">
      <c r="A420" s="7" t="s">
        <v>586</v>
      </c>
      <c r="B420" s="29" t="n">
        <v>46199</v>
      </c>
      <c r="C420" s="7" t="s">
        <v>151</v>
      </c>
      <c r="D420" s="7" t="s">
        <v>159</v>
      </c>
      <c r="E420" s="30" t="n">
        <v>7633</v>
      </c>
      <c r="F420" s="31" t="n">
        <v>0.085</v>
      </c>
      <c r="G420" s="7" t="s">
        <v>153</v>
      </c>
    </row>
    <row r="421" customFormat="false" ht="15" hidden="false" customHeight="false" outlineLevel="0" collapsed="false">
      <c r="A421" s="7" t="s">
        <v>587</v>
      </c>
      <c r="B421" s="29" t="n">
        <v>46187</v>
      </c>
      <c r="C421" s="7" t="s">
        <v>151</v>
      </c>
      <c r="D421" s="7" t="s">
        <v>152</v>
      </c>
      <c r="E421" s="30" t="n">
        <v>83961</v>
      </c>
      <c r="F421" s="31" t="n">
        <v>0.14</v>
      </c>
      <c r="G421" s="7" t="s">
        <v>153</v>
      </c>
    </row>
    <row r="422" customFormat="false" ht="15" hidden="false" customHeight="false" outlineLevel="0" collapsed="false">
      <c r="A422" s="7" t="s">
        <v>588</v>
      </c>
      <c r="B422" s="29" t="n">
        <v>46187</v>
      </c>
      <c r="C422" s="7" t="s">
        <v>164</v>
      </c>
      <c r="D422" s="7" t="s">
        <v>152</v>
      </c>
      <c r="E422" s="30" t="n">
        <v>14108</v>
      </c>
      <c r="F422" s="31" t="n">
        <v>0.085</v>
      </c>
      <c r="G422" s="7" t="s">
        <v>153</v>
      </c>
    </row>
    <row r="423" customFormat="false" ht="15" hidden="false" customHeight="false" outlineLevel="0" collapsed="false">
      <c r="A423" s="7" t="s">
        <v>589</v>
      </c>
      <c r="B423" s="29" t="n">
        <v>46156</v>
      </c>
      <c r="C423" s="7" t="s">
        <v>168</v>
      </c>
      <c r="D423" s="7" t="s">
        <v>157</v>
      </c>
      <c r="E423" s="30" t="n">
        <v>19792</v>
      </c>
      <c r="F423" s="31" t="n">
        <v>0</v>
      </c>
      <c r="G423" s="7" t="s">
        <v>174</v>
      </c>
    </row>
    <row r="424" customFormat="false" ht="15" hidden="false" customHeight="false" outlineLevel="0" collapsed="false">
      <c r="A424" s="7" t="s">
        <v>590</v>
      </c>
      <c r="B424" s="29" t="n">
        <v>46206</v>
      </c>
      <c r="C424" s="7" t="s">
        <v>151</v>
      </c>
      <c r="D424" s="7" t="s">
        <v>159</v>
      </c>
      <c r="E424" s="30" t="n">
        <v>72187</v>
      </c>
      <c r="F424" s="31" t="n">
        <v>0</v>
      </c>
      <c r="G424" s="7" t="s">
        <v>181</v>
      </c>
    </row>
    <row r="425" customFormat="false" ht="15" hidden="false" customHeight="false" outlineLevel="0" collapsed="false">
      <c r="A425" s="7" t="s">
        <v>591</v>
      </c>
      <c r="B425" s="29" t="n">
        <v>46189</v>
      </c>
      <c r="C425" s="7" t="s">
        <v>151</v>
      </c>
      <c r="D425" s="7" t="s">
        <v>157</v>
      </c>
      <c r="E425" s="30" t="n">
        <v>15270</v>
      </c>
      <c r="F425" s="31" t="n">
        <v>0.045</v>
      </c>
      <c r="G425" s="7" t="s">
        <v>181</v>
      </c>
    </row>
    <row r="426" customFormat="false" ht="15" hidden="false" customHeight="false" outlineLevel="0" collapsed="false">
      <c r="A426" s="7" t="s">
        <v>592</v>
      </c>
      <c r="B426" s="29" t="n">
        <v>46133</v>
      </c>
      <c r="C426" s="7" t="s">
        <v>168</v>
      </c>
      <c r="D426" s="7" t="s">
        <v>157</v>
      </c>
      <c r="E426" s="30" t="n">
        <v>14759</v>
      </c>
      <c r="F426" s="31" t="n">
        <v>0.02</v>
      </c>
      <c r="G426" s="7" t="s">
        <v>153</v>
      </c>
    </row>
    <row r="427" customFormat="false" ht="15" hidden="false" customHeight="false" outlineLevel="0" collapsed="false">
      <c r="A427" s="7" t="s">
        <v>593</v>
      </c>
      <c r="B427" s="29" t="n">
        <v>46199</v>
      </c>
      <c r="C427" s="7" t="s">
        <v>151</v>
      </c>
      <c r="D427" s="7" t="s">
        <v>152</v>
      </c>
      <c r="E427" s="30" t="n">
        <v>5477</v>
      </c>
      <c r="F427" s="31" t="n">
        <v>0.11</v>
      </c>
      <c r="G427" s="7" t="s">
        <v>161</v>
      </c>
    </row>
    <row r="428" customFormat="false" ht="15" hidden="false" customHeight="false" outlineLevel="0" collapsed="false">
      <c r="A428" s="7" t="s">
        <v>594</v>
      </c>
      <c r="B428" s="29" t="n">
        <v>46128</v>
      </c>
      <c r="C428" s="7" t="s">
        <v>164</v>
      </c>
      <c r="D428" s="7" t="s">
        <v>173</v>
      </c>
      <c r="E428" s="30" t="n">
        <v>15613</v>
      </c>
      <c r="F428" s="31" t="n">
        <v>0</v>
      </c>
      <c r="G428" s="7" t="s">
        <v>174</v>
      </c>
    </row>
    <row r="429" customFormat="false" ht="15" hidden="false" customHeight="false" outlineLevel="0" collapsed="false">
      <c r="A429" s="7" t="s">
        <v>595</v>
      </c>
      <c r="B429" s="29" t="n">
        <v>46205</v>
      </c>
      <c r="C429" s="7" t="s">
        <v>164</v>
      </c>
      <c r="D429" s="7" t="s">
        <v>157</v>
      </c>
      <c r="E429" s="30" t="n">
        <v>61134</v>
      </c>
      <c r="F429" s="31" t="n">
        <v>0.045</v>
      </c>
      <c r="G429" s="7" t="s">
        <v>161</v>
      </c>
    </row>
  </sheetData>
  <mergeCells count="12">
    <mergeCell ref="A1:G1"/>
    <mergeCell ref="I2:K2"/>
    <mergeCell ref="A3:G7"/>
    <mergeCell ref="I3:K3"/>
    <mergeCell ref="I4:K4"/>
    <mergeCell ref="I5:K5"/>
    <mergeCell ref="I6:K6"/>
    <mergeCell ref="I7:K7"/>
    <mergeCell ref="I8:K8"/>
    <mergeCell ref="I9:K9"/>
    <mergeCell ref="I10:K10"/>
    <mergeCell ref="I11:K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4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40"/>
    <col collapsed="false" customWidth="true" hidden="false" outlineLevel="0" max="9" min="9" style="0" width="4"/>
  </cols>
  <sheetData>
    <row r="1" customFormat="false" ht="25.5" hidden="false" customHeight="true" outlineLevel="0" collapsed="false">
      <c r="A1" s="1" t="s">
        <v>596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597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A4" s="3" t="s">
        <v>598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9" customFormat="false" ht="15" hidden="false" customHeight="false" outlineLevel="0" collapsed="false">
      <c r="A9" s="4" t="s">
        <v>599</v>
      </c>
    </row>
    <row r="10" customFormat="false" ht="42" hidden="false" customHeight="true" outlineLevel="0" collapsed="false">
      <c r="A10" s="14" t="s">
        <v>600</v>
      </c>
      <c r="B10" s="14"/>
      <c r="C10" s="14"/>
      <c r="D10" s="14"/>
      <c r="E10" s="14"/>
      <c r="F10" s="14"/>
      <c r="G10" s="14"/>
      <c r="H10" s="14"/>
    </row>
    <row r="12" customFormat="false" ht="15" hidden="false" customHeight="false" outlineLevel="0" collapsed="false">
      <c r="A12" s="10" t="s">
        <v>601</v>
      </c>
      <c r="B12" s="10" t="s">
        <v>602</v>
      </c>
      <c r="C12" s="10" t="s">
        <v>603</v>
      </c>
      <c r="E12" s="10" t="s">
        <v>604</v>
      </c>
      <c r="F12" s="10" t="s">
        <v>605</v>
      </c>
      <c r="G12" s="10" t="s">
        <v>606</v>
      </c>
      <c r="H12" s="10" t="s">
        <v>607</v>
      </c>
    </row>
    <row r="13" customFormat="false" ht="15" hidden="false" customHeight="false" outlineLevel="0" collapsed="false">
      <c r="A13" s="13" t="s">
        <v>608</v>
      </c>
      <c r="B13" s="13" t="s">
        <v>609</v>
      </c>
      <c r="C13" s="13" t="s">
        <v>610</v>
      </c>
      <c r="E13" s="13" t="s">
        <v>611</v>
      </c>
      <c r="F13" s="19"/>
      <c r="G13" s="19"/>
      <c r="H13" s="19"/>
    </row>
    <row r="14" customFormat="false" ht="15" hidden="false" customHeight="false" outlineLevel="0" collapsed="false">
      <c r="A14" s="13" t="s">
        <v>612</v>
      </c>
      <c r="B14" s="13" t="s">
        <v>613</v>
      </c>
      <c r="C14" s="13" t="s">
        <v>614</v>
      </c>
      <c r="E14" s="13" t="s">
        <v>615</v>
      </c>
      <c r="F14" s="19"/>
      <c r="G14" s="19"/>
      <c r="H14" s="19"/>
    </row>
    <row r="15" customFormat="false" ht="15" hidden="false" customHeight="false" outlineLevel="0" collapsed="false">
      <c r="A15" s="13" t="s">
        <v>616</v>
      </c>
      <c r="B15" s="13" t="s">
        <v>617</v>
      </c>
      <c r="C15" s="13" t="s">
        <v>618</v>
      </c>
      <c r="E15" s="13" t="s">
        <v>608</v>
      </c>
      <c r="F15" s="19"/>
      <c r="G15" s="19"/>
      <c r="H15" s="19"/>
    </row>
    <row r="16" customFormat="false" ht="30" hidden="false" customHeight="true" outlineLevel="0" collapsed="false">
      <c r="A16" s="13" t="s">
        <v>611</v>
      </c>
      <c r="B16" s="13" t="s">
        <v>619</v>
      </c>
      <c r="C16" s="13" t="s">
        <v>610</v>
      </c>
      <c r="E16" s="13" t="s">
        <v>620</v>
      </c>
      <c r="F16" s="19"/>
      <c r="G16" s="19"/>
      <c r="H16" s="18"/>
    </row>
    <row r="17" customFormat="false" ht="15" hidden="false" customHeight="false" outlineLevel="0" collapsed="false">
      <c r="A17" s="13" t="s">
        <v>621</v>
      </c>
      <c r="B17" s="13" t="s">
        <v>622</v>
      </c>
      <c r="C17" s="13" t="s">
        <v>71</v>
      </c>
      <c r="E17" s="13" t="s">
        <v>623</v>
      </c>
      <c r="F17" s="19"/>
      <c r="G17" s="19"/>
      <c r="H17" s="19"/>
    </row>
    <row r="18" customFormat="false" ht="15" hidden="false" customHeight="false" outlineLevel="0" collapsed="false">
      <c r="A18" s="13" t="s">
        <v>624</v>
      </c>
      <c r="B18" s="13" t="s">
        <v>625</v>
      </c>
      <c r="C18" s="13" t="s">
        <v>614</v>
      </c>
      <c r="E18" s="13" t="s">
        <v>626</v>
      </c>
      <c r="F18" s="19"/>
      <c r="G18" s="19"/>
      <c r="H18" s="19"/>
    </row>
    <row r="19" customFormat="false" ht="15" hidden="false" customHeight="false" outlineLevel="0" collapsed="false">
      <c r="A19" s="13" t="s">
        <v>627</v>
      </c>
      <c r="B19" s="13" t="s">
        <v>628</v>
      </c>
      <c r="C19" s="13" t="s">
        <v>610</v>
      </c>
      <c r="E19" s="13" t="s">
        <v>624</v>
      </c>
      <c r="F19" s="19"/>
      <c r="G19" s="19"/>
      <c r="H19" s="19"/>
    </row>
    <row r="20" customFormat="false" ht="30" hidden="false" customHeight="true" outlineLevel="0" collapsed="false">
      <c r="A20" s="13" t="s">
        <v>629</v>
      </c>
      <c r="B20" s="13" t="s">
        <v>630</v>
      </c>
      <c r="C20" s="13" t="s">
        <v>618</v>
      </c>
      <c r="E20" s="13" t="s">
        <v>631</v>
      </c>
      <c r="F20" s="19"/>
      <c r="G20" s="19"/>
      <c r="H20" s="18"/>
    </row>
    <row r="21" customFormat="false" ht="15" hidden="false" customHeight="false" outlineLevel="0" collapsed="false">
      <c r="A21" s="13" t="s">
        <v>632</v>
      </c>
      <c r="B21" s="13" t="s">
        <v>633</v>
      </c>
      <c r="C21" s="13" t="s">
        <v>71</v>
      </c>
      <c r="E21" s="13" t="s">
        <v>632</v>
      </c>
      <c r="F21" s="19"/>
      <c r="G21" s="19"/>
      <c r="H21" s="19"/>
    </row>
    <row r="22" customFormat="false" ht="15" hidden="false" customHeight="false" outlineLevel="0" collapsed="false">
      <c r="A22" s="13" t="s">
        <v>615</v>
      </c>
      <c r="B22" s="13" t="s">
        <v>634</v>
      </c>
      <c r="C22" s="13" t="s">
        <v>610</v>
      </c>
      <c r="E22" s="13" t="s">
        <v>635</v>
      </c>
      <c r="F22" s="19"/>
      <c r="G22" s="19"/>
      <c r="H22" s="19"/>
    </row>
    <row r="23" customFormat="false" ht="15" hidden="false" customHeight="false" outlineLevel="0" collapsed="false">
      <c r="A23" s="13" t="s">
        <v>636</v>
      </c>
      <c r="B23" s="13" t="s">
        <v>637</v>
      </c>
      <c r="C23" s="13" t="s">
        <v>610</v>
      </c>
      <c r="E23" s="13" t="s">
        <v>616</v>
      </c>
      <c r="F23" s="19"/>
      <c r="G23" s="19"/>
      <c r="H23" s="19"/>
    </row>
    <row r="24" customFormat="false" ht="30" hidden="false" customHeight="true" outlineLevel="0" collapsed="false">
      <c r="A24" s="13" t="s">
        <v>638</v>
      </c>
      <c r="B24" s="13" t="s">
        <v>639</v>
      </c>
      <c r="C24" s="13" t="s">
        <v>614</v>
      </c>
      <c r="E24" s="13" t="s">
        <v>640</v>
      </c>
      <c r="F24" s="19"/>
      <c r="G24" s="19"/>
      <c r="H24" s="18"/>
    </row>
    <row r="25" customFormat="false" ht="15" hidden="false" customHeight="false" outlineLevel="0" collapsed="false">
      <c r="A25" s="13" t="s">
        <v>623</v>
      </c>
      <c r="B25" s="13" t="s">
        <v>641</v>
      </c>
      <c r="C25" s="13" t="s">
        <v>618</v>
      </c>
      <c r="E25" s="13" t="s">
        <v>627</v>
      </c>
      <c r="F25" s="19"/>
      <c r="G25" s="19"/>
      <c r="H25" s="19"/>
    </row>
    <row r="26" customFormat="false" ht="15" hidden="false" customHeight="false" outlineLevel="0" collapsed="false">
      <c r="A26" s="13" t="s">
        <v>642</v>
      </c>
      <c r="B26" s="13" t="s">
        <v>643</v>
      </c>
      <c r="C26" s="13" t="s">
        <v>610</v>
      </c>
      <c r="E26" s="13" t="s">
        <v>644</v>
      </c>
      <c r="F26" s="19"/>
      <c r="G26" s="19"/>
      <c r="H26" s="19"/>
    </row>
    <row r="27" customFormat="false" ht="15" hidden="false" customHeight="false" outlineLevel="0" collapsed="false">
      <c r="A27" s="13" t="s">
        <v>645</v>
      </c>
      <c r="B27" s="13" t="s">
        <v>646</v>
      </c>
      <c r="C27" s="13" t="s">
        <v>71</v>
      </c>
      <c r="E27" s="13" t="s">
        <v>612</v>
      </c>
      <c r="F27" s="19"/>
      <c r="G27" s="19"/>
      <c r="H27" s="19"/>
    </row>
    <row r="28" customFormat="false" ht="15" hidden="false" customHeight="false" outlineLevel="0" collapsed="false">
      <c r="A28" s="13" t="s">
        <v>647</v>
      </c>
      <c r="B28" s="13" t="s">
        <v>648</v>
      </c>
      <c r="C28" s="13" t="s">
        <v>614</v>
      </c>
      <c r="E28" s="13" t="s">
        <v>636</v>
      </c>
      <c r="F28" s="19"/>
      <c r="G28" s="19"/>
      <c r="H28" s="19"/>
    </row>
    <row r="29" customFormat="false" ht="15" hidden="false" customHeight="false" outlineLevel="0" collapsed="false">
      <c r="A29" s="13" t="s">
        <v>649</v>
      </c>
      <c r="B29" s="13" t="s">
        <v>650</v>
      </c>
      <c r="C29" s="13" t="s">
        <v>610</v>
      </c>
      <c r="E29" s="13" t="s">
        <v>647</v>
      </c>
      <c r="F29" s="19"/>
      <c r="G29" s="19"/>
      <c r="H29" s="19"/>
    </row>
    <row r="30" customFormat="false" ht="15" hidden="false" customHeight="false" outlineLevel="0" collapsed="false">
      <c r="A30" s="13" t="s">
        <v>626</v>
      </c>
      <c r="B30" s="13" t="s">
        <v>651</v>
      </c>
      <c r="C30" s="13" t="s">
        <v>618</v>
      </c>
      <c r="E30" s="13" t="s">
        <v>629</v>
      </c>
      <c r="F30" s="19"/>
      <c r="G30" s="19"/>
      <c r="H30" s="19"/>
    </row>
    <row r="31" customFormat="false" ht="15" hidden="false" customHeight="false" outlineLevel="0" collapsed="false">
      <c r="A31" s="13" t="s">
        <v>644</v>
      </c>
      <c r="B31" s="13" t="s">
        <v>652</v>
      </c>
      <c r="C31" s="13" t="s">
        <v>71</v>
      </c>
    </row>
    <row r="32" customFormat="false" ht="15" hidden="false" customHeight="false" outlineLevel="0" collapsed="false">
      <c r="A32" s="13" t="s">
        <v>635</v>
      </c>
      <c r="B32" s="13" t="s">
        <v>653</v>
      </c>
      <c r="C32" s="13" t="s">
        <v>610</v>
      </c>
    </row>
    <row r="34" customFormat="false" ht="15" hidden="false" customHeight="false" outlineLevel="0" collapsed="false">
      <c r="A34" s="27" t="s">
        <v>654</v>
      </c>
      <c r="B34" s="27"/>
      <c r="C34" s="27"/>
      <c r="D34" s="27"/>
      <c r="E34" s="27"/>
      <c r="F34" s="27"/>
      <c r="G34" s="27"/>
      <c r="H34" s="27"/>
    </row>
    <row r="35" customFormat="false" ht="45" hidden="false" customHeight="true" outlineLevel="0" collapsed="false">
      <c r="A35" s="18"/>
      <c r="B35" s="18"/>
      <c r="C35" s="18"/>
      <c r="D35" s="18"/>
      <c r="E35" s="18"/>
      <c r="F35" s="18"/>
      <c r="G35" s="18"/>
      <c r="H35" s="18"/>
    </row>
    <row r="37" customFormat="false" ht="15" hidden="false" customHeight="false" outlineLevel="0" collapsed="false">
      <c r="A37" s="4" t="s">
        <v>655</v>
      </c>
    </row>
    <row r="38" customFormat="false" ht="30" hidden="false" customHeight="true" outlineLevel="0" collapsed="false">
      <c r="A38" s="14" t="s">
        <v>656</v>
      </c>
      <c r="B38" s="14"/>
      <c r="C38" s="14"/>
      <c r="D38" s="14"/>
      <c r="E38" s="14"/>
      <c r="F38" s="14"/>
      <c r="G38" s="14"/>
      <c r="H38" s="14"/>
    </row>
    <row r="40" customFormat="false" ht="15" hidden="false" customHeight="true" outlineLevel="0" collapsed="false">
      <c r="A40" s="10" t="s">
        <v>657</v>
      </c>
      <c r="B40" s="10" t="s">
        <v>658</v>
      </c>
      <c r="C40" s="10" t="s">
        <v>659</v>
      </c>
      <c r="E40" s="10" t="s">
        <v>660</v>
      </c>
      <c r="F40" s="10" t="s">
        <v>661</v>
      </c>
      <c r="G40" s="10"/>
      <c r="H40" s="10"/>
    </row>
    <row r="41" customFormat="false" ht="15" hidden="false" customHeight="false" outlineLevel="0" collapsed="false">
      <c r="A41" s="13" t="s">
        <v>662</v>
      </c>
      <c r="B41" s="13" t="n">
        <v>12</v>
      </c>
      <c r="C41" s="15" t="n">
        <v>450</v>
      </c>
      <c r="E41" s="17"/>
      <c r="F41" s="33"/>
      <c r="G41" s="33"/>
      <c r="H41" s="33"/>
    </row>
    <row r="42" customFormat="false" ht="15" hidden="false" customHeight="false" outlineLevel="0" collapsed="false">
      <c r="A42" s="13" t="s">
        <v>663</v>
      </c>
      <c r="B42" s="13" t="n">
        <v>9</v>
      </c>
      <c r="C42" s="15" t="s">
        <v>664</v>
      </c>
      <c r="E42" s="19"/>
      <c r="F42" s="34"/>
      <c r="G42" s="34"/>
      <c r="H42" s="34"/>
    </row>
    <row r="43" customFormat="false" ht="15" hidden="false" customHeight="false" outlineLevel="0" collapsed="false">
      <c r="A43" s="13" t="s">
        <v>665</v>
      </c>
      <c r="B43" s="13" t="n">
        <v>22</v>
      </c>
      <c r="C43" s="15" t="n">
        <v>135</v>
      </c>
      <c r="E43" s="17"/>
      <c r="F43" s="33"/>
      <c r="G43" s="33"/>
      <c r="H43" s="33"/>
    </row>
    <row r="44" customFormat="false" ht="15" hidden="false" customHeight="false" outlineLevel="0" collapsed="false">
      <c r="A44" s="13" t="s">
        <v>666</v>
      </c>
      <c r="B44" s="13" t="s">
        <v>667</v>
      </c>
      <c r="C44" s="15" t="n">
        <v>340</v>
      </c>
      <c r="E44" s="19"/>
      <c r="F44" s="34"/>
      <c r="G44" s="34"/>
      <c r="H44" s="34"/>
    </row>
    <row r="45" customFormat="false" ht="15" hidden="false" customHeight="false" outlineLevel="0" collapsed="false">
      <c r="A45" s="13" t="s">
        <v>668</v>
      </c>
      <c r="B45" s="13" t="n">
        <v>5</v>
      </c>
      <c r="C45" s="15" t="n">
        <v>999</v>
      </c>
      <c r="E45" s="17"/>
      <c r="F45" s="33"/>
      <c r="G45" s="33"/>
      <c r="H45" s="33"/>
    </row>
    <row r="46" customFormat="false" ht="15" hidden="false" customHeight="false" outlineLevel="0" collapsed="false">
      <c r="A46" s="13" t="s">
        <v>669</v>
      </c>
      <c r="B46" s="13" t="n">
        <v>14</v>
      </c>
      <c r="C46" s="15" t="s">
        <v>670</v>
      </c>
      <c r="E46" s="19"/>
      <c r="F46" s="34"/>
      <c r="G46" s="34"/>
      <c r="H46" s="34"/>
    </row>
    <row r="47" customFormat="false" ht="15" hidden="false" customHeight="false" outlineLevel="0" collapsed="false">
      <c r="A47" s="13" t="s">
        <v>671</v>
      </c>
      <c r="B47" s="13" t="n">
        <v>7</v>
      </c>
      <c r="C47" s="15" t="n">
        <v>650</v>
      </c>
      <c r="E47" s="17"/>
      <c r="F47" s="33"/>
      <c r="G47" s="33"/>
      <c r="H47" s="33"/>
    </row>
    <row r="49" customFormat="false" ht="15" hidden="false" customHeight="false" outlineLevel="0" collapsed="false">
      <c r="A49" s="27" t="s">
        <v>672</v>
      </c>
      <c r="B49" s="27"/>
      <c r="C49" s="27"/>
      <c r="D49" s="27"/>
      <c r="E49" s="27"/>
      <c r="F49" s="27"/>
      <c r="G49" s="27"/>
      <c r="H49" s="27"/>
    </row>
    <row r="50" customFormat="false" ht="45" hidden="false" customHeight="true" outlineLevel="0" collapsed="false">
      <c r="A50" s="18"/>
      <c r="B50" s="18"/>
      <c r="C50" s="18"/>
      <c r="D50" s="18"/>
      <c r="E50" s="18"/>
      <c r="F50" s="18"/>
      <c r="G50" s="18"/>
      <c r="H50" s="18"/>
    </row>
  </sheetData>
  <mergeCells count="17">
    <mergeCell ref="A1:I1"/>
    <mergeCell ref="A2:I2"/>
    <mergeCell ref="A4:H7"/>
    <mergeCell ref="A10:H10"/>
    <mergeCell ref="A34:H34"/>
    <mergeCell ref="A35:H35"/>
    <mergeCell ref="A38:H38"/>
    <mergeCell ref="F40:H40"/>
    <mergeCell ref="F41:H41"/>
    <mergeCell ref="F42:H42"/>
    <mergeCell ref="F43:H43"/>
    <mergeCell ref="F44:H44"/>
    <mergeCell ref="F45:H45"/>
    <mergeCell ref="F46:H46"/>
    <mergeCell ref="F47:H47"/>
    <mergeCell ref="A49:H49"/>
    <mergeCell ref="A50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5" min="3" style="0" width="22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4"/>
  </cols>
  <sheetData>
    <row r="1" customFormat="false" ht="25.5" hidden="false" customHeight="true" outlineLevel="0" collapsed="false">
      <c r="A1" s="1" t="s">
        <v>673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674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675</v>
      </c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</row>
    <row r="9" customFormat="false" ht="15" hidden="false" customHeight="false" outlineLevel="0" collapsed="false">
      <c r="A9" s="4" t="s">
        <v>676</v>
      </c>
    </row>
    <row r="10" customFormat="false" ht="42" hidden="false" customHeight="true" outlineLevel="0" collapsed="false">
      <c r="A10" s="14" t="s">
        <v>677</v>
      </c>
      <c r="B10" s="14"/>
      <c r="C10" s="14"/>
      <c r="D10" s="14"/>
      <c r="E10" s="14"/>
      <c r="F10" s="14"/>
      <c r="G10" s="14"/>
      <c r="H10" s="14"/>
    </row>
    <row r="11" customFormat="false" ht="23.85" hidden="false" customHeight="false" outlineLevel="0" collapsed="false">
      <c r="A11" s="10" t="s">
        <v>678</v>
      </c>
      <c r="B11" s="10" t="s">
        <v>679</v>
      </c>
      <c r="C11" s="10" t="s">
        <v>680</v>
      </c>
      <c r="D11" s="10" t="s">
        <v>681</v>
      </c>
      <c r="E11" s="10" t="s">
        <v>682</v>
      </c>
      <c r="F11" s="10" t="s">
        <v>683</v>
      </c>
      <c r="G11" s="10" t="s">
        <v>684</v>
      </c>
    </row>
    <row r="12" customFormat="false" ht="15" hidden="false" customHeight="false" outlineLevel="0" collapsed="false">
      <c r="A12" s="35" t="s">
        <v>685</v>
      </c>
      <c r="B12" s="13" t="n">
        <f aca="false">LEN(A12)</f>
        <v>18</v>
      </c>
      <c r="C12" s="19"/>
      <c r="D12" s="19"/>
      <c r="E12" s="19"/>
      <c r="F12" s="19"/>
      <c r="G12" s="19"/>
    </row>
    <row r="13" customFormat="false" ht="15" hidden="false" customHeight="false" outlineLevel="0" collapsed="false">
      <c r="A13" s="35" t="s">
        <v>686</v>
      </c>
      <c r="B13" s="13" t="n">
        <f aca="false">LEN(A13)</f>
        <v>16</v>
      </c>
      <c r="C13" s="19"/>
      <c r="D13" s="19"/>
      <c r="E13" s="19"/>
      <c r="F13" s="19"/>
      <c r="G13" s="19"/>
    </row>
    <row r="14" customFormat="false" ht="15" hidden="false" customHeight="false" outlineLevel="0" collapsed="false">
      <c r="A14" s="36" t="s">
        <v>687</v>
      </c>
      <c r="B14" s="13" t="n">
        <f aca="false">LEN(A14)</f>
        <v>16</v>
      </c>
      <c r="C14" s="19"/>
      <c r="D14" s="19"/>
      <c r="E14" s="19"/>
      <c r="F14" s="19"/>
      <c r="G14" s="19"/>
    </row>
    <row r="15" customFormat="false" ht="15" hidden="false" customHeight="false" outlineLevel="0" collapsed="false">
      <c r="A15" s="35" t="s">
        <v>688</v>
      </c>
      <c r="B15" s="13" t="n">
        <f aca="false">LEN(A15)</f>
        <v>13</v>
      </c>
      <c r="C15" s="19"/>
      <c r="D15" s="19"/>
      <c r="E15" s="19"/>
      <c r="F15" s="19"/>
      <c r="G15" s="19"/>
    </row>
    <row r="16" customFormat="false" ht="15" hidden="false" customHeight="false" outlineLevel="0" collapsed="false">
      <c r="A16" s="35" t="s">
        <v>689</v>
      </c>
      <c r="B16" s="13" t="n">
        <f aca="false">LEN(A16)</f>
        <v>16</v>
      </c>
      <c r="C16" s="19"/>
      <c r="D16" s="19"/>
      <c r="E16" s="19"/>
      <c r="F16" s="19"/>
      <c r="G16" s="19"/>
    </row>
    <row r="17" customFormat="false" ht="15" hidden="false" customHeight="false" outlineLevel="0" collapsed="false">
      <c r="A17" s="35" t="s">
        <v>690</v>
      </c>
      <c r="B17" s="13" t="n">
        <f aca="false">LEN(A17)</f>
        <v>19</v>
      </c>
      <c r="C17" s="19"/>
      <c r="D17" s="19"/>
      <c r="E17" s="19"/>
      <c r="F17" s="19"/>
      <c r="G17" s="19"/>
    </row>
    <row r="18" customFormat="false" ht="15" hidden="false" customHeight="false" outlineLevel="0" collapsed="false">
      <c r="A18" s="36" t="s">
        <v>691</v>
      </c>
      <c r="B18" s="13" t="n">
        <f aca="false">LEN(A18)</f>
        <v>17</v>
      </c>
      <c r="C18" s="19"/>
      <c r="D18" s="19"/>
      <c r="E18" s="19"/>
      <c r="F18" s="19"/>
      <c r="G18" s="19"/>
    </row>
    <row r="19" customFormat="false" ht="15" hidden="false" customHeight="false" outlineLevel="0" collapsed="false">
      <c r="A19" s="35" t="s">
        <v>692</v>
      </c>
      <c r="B19" s="13" t="n">
        <f aca="false">LEN(A19)</f>
        <v>16</v>
      </c>
      <c r="C19" s="19"/>
      <c r="D19" s="19"/>
      <c r="E19" s="19"/>
      <c r="F19" s="19"/>
      <c r="G19" s="19"/>
    </row>
    <row r="20" customFormat="false" ht="15" hidden="false" customHeight="false" outlineLevel="0" collapsed="false">
      <c r="A20" s="27" t="s">
        <v>693</v>
      </c>
      <c r="B20" s="27"/>
      <c r="C20" s="27"/>
      <c r="D20" s="27"/>
      <c r="E20" s="27"/>
      <c r="F20" s="27"/>
      <c r="G20" s="27"/>
    </row>
    <row r="21" customFormat="false" ht="36" hidden="false" customHeight="true" outlineLevel="0" collapsed="false">
      <c r="A21" s="18"/>
      <c r="B21" s="18"/>
      <c r="C21" s="18"/>
      <c r="D21" s="18"/>
      <c r="E21" s="18"/>
      <c r="F21" s="18"/>
      <c r="G21" s="18"/>
    </row>
    <row r="23" customFormat="false" ht="15" hidden="false" customHeight="false" outlineLevel="0" collapsed="false">
      <c r="A23" s="4" t="s">
        <v>694</v>
      </c>
    </row>
    <row r="24" customFormat="false" ht="42" hidden="false" customHeight="true" outlineLevel="0" collapsed="false">
      <c r="A24" s="14" t="s">
        <v>695</v>
      </c>
      <c r="B24" s="14"/>
      <c r="C24" s="14"/>
      <c r="D24" s="14"/>
      <c r="E24" s="14"/>
      <c r="F24" s="14"/>
      <c r="G24" s="14"/>
      <c r="H24" s="14"/>
    </row>
    <row r="25" customFormat="false" ht="15" hidden="false" customHeight="false" outlineLevel="0" collapsed="false">
      <c r="A25" s="10" t="s">
        <v>696</v>
      </c>
      <c r="C25" s="10" t="s">
        <v>697</v>
      </c>
      <c r="D25" s="10" t="s">
        <v>698</v>
      </c>
      <c r="E25" s="10" t="s">
        <v>149</v>
      </c>
    </row>
    <row r="26" customFormat="false" ht="15" hidden="false" customHeight="false" outlineLevel="0" collapsed="false">
      <c r="A26" s="13" t="s">
        <v>699</v>
      </c>
      <c r="C26" s="19"/>
      <c r="D26" s="19"/>
      <c r="E26" s="19"/>
    </row>
    <row r="27" customFormat="false" ht="15" hidden="false" customHeight="false" outlineLevel="0" collapsed="false">
      <c r="A27" s="13" t="s">
        <v>700</v>
      </c>
      <c r="C27" s="19"/>
      <c r="D27" s="19"/>
      <c r="E27" s="19"/>
    </row>
    <row r="28" customFormat="false" ht="15" hidden="false" customHeight="false" outlineLevel="0" collapsed="false">
      <c r="A28" s="13" t="s">
        <v>701</v>
      </c>
      <c r="C28" s="19"/>
      <c r="D28" s="19"/>
      <c r="E28" s="19"/>
    </row>
    <row r="29" customFormat="false" ht="15" hidden="false" customHeight="false" outlineLevel="0" collapsed="false">
      <c r="A29" s="13" t="s">
        <v>702</v>
      </c>
      <c r="C29" s="19"/>
      <c r="D29" s="19"/>
      <c r="E29" s="19"/>
    </row>
    <row r="30" customFormat="false" ht="15" hidden="false" customHeight="false" outlineLevel="0" collapsed="false">
      <c r="A30" s="13" t="s">
        <v>703</v>
      </c>
      <c r="C30" s="19"/>
      <c r="D30" s="19"/>
      <c r="E30" s="19"/>
    </row>
    <row r="31" customFormat="false" ht="15" hidden="false" customHeight="false" outlineLevel="0" collapsed="false">
      <c r="A31" s="13" t="s">
        <v>704</v>
      </c>
      <c r="C31" s="19"/>
      <c r="D31" s="19"/>
      <c r="E31" s="19"/>
    </row>
    <row r="32" customFormat="false" ht="15" hidden="false" customHeight="false" outlineLevel="0" collapsed="false">
      <c r="A32" s="13" t="s">
        <v>705</v>
      </c>
      <c r="C32" s="19"/>
      <c r="D32" s="19"/>
      <c r="E32" s="19"/>
    </row>
    <row r="33" customFormat="false" ht="15" hidden="false" customHeight="false" outlineLevel="0" collapsed="false">
      <c r="A33" s="27" t="s">
        <v>706</v>
      </c>
      <c r="B33" s="27"/>
      <c r="C33" s="27"/>
      <c r="D33" s="27"/>
      <c r="E33" s="27"/>
      <c r="F33" s="27"/>
      <c r="G33" s="27"/>
    </row>
    <row r="34" customFormat="false" ht="31.5" hidden="false" customHeight="true" outlineLevel="0" collapsed="false">
      <c r="A34" s="18"/>
      <c r="B34" s="18"/>
      <c r="C34" s="18"/>
      <c r="D34" s="18"/>
      <c r="E34" s="18"/>
      <c r="F34" s="18"/>
      <c r="G34" s="18"/>
    </row>
    <row r="36" customFormat="false" ht="15" hidden="false" customHeight="false" outlineLevel="0" collapsed="false">
      <c r="A36" s="4" t="s">
        <v>707</v>
      </c>
    </row>
    <row r="37" customFormat="false" ht="42" hidden="false" customHeight="true" outlineLevel="0" collapsed="false">
      <c r="A37" s="14" t="s">
        <v>708</v>
      </c>
      <c r="B37" s="14"/>
      <c r="C37" s="14"/>
      <c r="D37" s="14"/>
      <c r="E37" s="14"/>
      <c r="F37" s="14"/>
      <c r="G37" s="14"/>
      <c r="H37" s="14"/>
    </row>
    <row r="38" customFormat="false" ht="23.85" hidden="false" customHeight="false" outlineLevel="0" collapsed="false">
      <c r="A38" s="10" t="s">
        <v>709</v>
      </c>
      <c r="B38" s="10" t="s">
        <v>710</v>
      </c>
      <c r="C38" s="10" t="s">
        <v>711</v>
      </c>
      <c r="D38" s="10" t="s">
        <v>712</v>
      </c>
    </row>
    <row r="39" customFormat="false" ht="15" hidden="false" customHeight="false" outlineLevel="0" collapsed="false">
      <c r="A39" s="37" t="s">
        <v>713</v>
      </c>
      <c r="B39" s="13" t="n">
        <v>412</v>
      </c>
      <c r="C39" s="19"/>
      <c r="D39" s="19"/>
    </row>
    <row r="40" customFormat="false" ht="15" hidden="false" customHeight="false" outlineLevel="0" collapsed="false">
      <c r="A40" s="37" t="s">
        <v>714</v>
      </c>
      <c r="B40" s="13" t="n">
        <v>64</v>
      </c>
      <c r="C40" s="19"/>
      <c r="D40" s="19"/>
    </row>
    <row r="41" customFormat="false" ht="15" hidden="false" customHeight="false" outlineLevel="0" collapsed="false">
      <c r="A41" s="37" t="s">
        <v>715</v>
      </c>
      <c r="B41" s="13" t="n">
        <v>1375</v>
      </c>
      <c r="C41" s="19"/>
      <c r="D41" s="19"/>
    </row>
    <row r="42" customFormat="false" ht="15" hidden="false" customHeight="false" outlineLevel="0" collapsed="false">
      <c r="A42" s="37" t="s">
        <v>716</v>
      </c>
      <c r="B42" s="13" t="n">
        <v>9</v>
      </c>
      <c r="C42" s="19"/>
      <c r="D42" s="19"/>
    </row>
    <row r="43" customFormat="false" ht="15" hidden="false" customHeight="false" outlineLevel="0" collapsed="false">
      <c r="A43" s="37" t="s">
        <v>717</v>
      </c>
      <c r="B43" s="13" t="n">
        <v>737</v>
      </c>
      <c r="C43" s="19"/>
      <c r="D43" s="19"/>
    </row>
    <row r="44" customFormat="false" ht="15" hidden="false" customHeight="false" outlineLevel="0" collapsed="false">
      <c r="A44" s="37" t="s">
        <v>718</v>
      </c>
      <c r="B44" s="13" t="n">
        <v>2041</v>
      </c>
      <c r="C44" s="19"/>
      <c r="D44" s="19"/>
    </row>
    <row r="45" customFormat="false" ht="15" hidden="false" customHeight="false" outlineLevel="0" collapsed="false">
      <c r="A45" s="37" t="s">
        <v>719</v>
      </c>
      <c r="B45" s="13" t="n">
        <v>560</v>
      </c>
      <c r="C45" s="19"/>
      <c r="D45" s="19"/>
    </row>
    <row r="46" customFormat="false" ht="15" hidden="false" customHeight="false" outlineLevel="0" collapsed="false">
      <c r="A46" s="27" t="s">
        <v>720</v>
      </c>
      <c r="B46" s="27"/>
      <c r="C46" s="27"/>
      <c r="D46" s="27"/>
      <c r="E46" s="27"/>
      <c r="F46" s="27"/>
      <c r="G46" s="27"/>
    </row>
    <row r="47" customFormat="false" ht="31.5" hidden="false" customHeight="true" outlineLevel="0" collapsed="false">
      <c r="A47" s="18"/>
      <c r="B47" s="18"/>
      <c r="C47" s="18"/>
      <c r="D47" s="18"/>
      <c r="E47" s="18"/>
      <c r="F47" s="18"/>
      <c r="G47" s="18"/>
    </row>
  </sheetData>
  <mergeCells count="12">
    <mergeCell ref="A1:H1"/>
    <mergeCell ref="A2:H2"/>
    <mergeCell ref="A4:G7"/>
    <mergeCell ref="A10:H10"/>
    <mergeCell ref="A20:G20"/>
    <mergeCell ref="A21:G21"/>
    <mergeCell ref="A24:H24"/>
    <mergeCell ref="A33:G33"/>
    <mergeCell ref="A34:G34"/>
    <mergeCell ref="A37:H37"/>
    <mergeCell ref="A46:G46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3"/>
    <col collapsed="false" customWidth="true" hidden="false" outlineLevel="0" max="7" min="7" style="0" width="40"/>
    <col collapsed="false" customWidth="true" hidden="false" outlineLevel="0" max="9" min="8" style="0" width="16"/>
  </cols>
  <sheetData>
    <row r="1" customFormat="false" ht="25.5" hidden="false" customHeight="true" outlineLevel="0" collapsed="false">
      <c r="A1" s="1" t="s">
        <v>721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722</v>
      </c>
      <c r="B2" s="2"/>
      <c r="C2" s="2"/>
      <c r="D2" s="2"/>
      <c r="E2" s="2"/>
      <c r="F2" s="2"/>
      <c r="G2" s="2"/>
    </row>
    <row r="4" customFormat="false" ht="15" hidden="false" customHeight="true" outlineLevel="0" collapsed="false">
      <c r="A4" s="3" t="s">
        <v>723</v>
      </c>
      <c r="B4" s="3"/>
      <c r="C4" s="3"/>
      <c r="D4" s="3"/>
      <c r="E4" s="3"/>
      <c r="F4" s="3"/>
      <c r="G4" s="3"/>
      <c r="H4" s="3"/>
      <c r="I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</row>
    <row r="9" customFormat="false" ht="39.75" hidden="false" customHeight="true" outlineLevel="0" collapsed="false">
      <c r="A9" s="10" t="s">
        <v>724</v>
      </c>
      <c r="B9" s="10" t="s">
        <v>725</v>
      </c>
      <c r="C9" s="10" t="s">
        <v>726</v>
      </c>
      <c r="D9" s="10" t="s">
        <v>147</v>
      </c>
      <c r="E9" s="10" t="s">
        <v>727</v>
      </c>
      <c r="G9" s="14" t="s">
        <v>728</v>
      </c>
      <c r="H9" s="14"/>
      <c r="I9" s="14"/>
    </row>
    <row r="10" customFormat="false" ht="39.75" hidden="false" customHeight="true" outlineLevel="0" collapsed="false">
      <c r="A10" s="7" t="s">
        <v>729</v>
      </c>
      <c r="B10" s="7" t="s">
        <v>730</v>
      </c>
      <c r="C10" s="7" t="s">
        <v>731</v>
      </c>
      <c r="D10" s="30" t="n">
        <v>39769</v>
      </c>
      <c r="E10" s="29" t="n">
        <v>46249</v>
      </c>
      <c r="G10" s="14" t="s">
        <v>732</v>
      </c>
      <c r="H10" s="14"/>
      <c r="I10" s="14"/>
    </row>
    <row r="11" customFormat="false" ht="39.75" hidden="false" customHeight="true" outlineLevel="0" collapsed="false">
      <c r="A11" s="7" t="s">
        <v>733</v>
      </c>
      <c r="B11" s="7" t="s">
        <v>730</v>
      </c>
      <c r="C11" s="7" t="s">
        <v>734</v>
      </c>
      <c r="D11" s="30" t="n">
        <v>48305</v>
      </c>
      <c r="E11" s="29" t="n">
        <v>46206</v>
      </c>
      <c r="G11" s="14" t="s">
        <v>735</v>
      </c>
      <c r="H11" s="14"/>
      <c r="I11" s="14"/>
    </row>
    <row r="12" customFormat="false" ht="39.75" hidden="false" customHeight="true" outlineLevel="0" collapsed="false">
      <c r="A12" s="7" t="s">
        <v>736</v>
      </c>
      <c r="B12" s="7" t="s">
        <v>730</v>
      </c>
      <c r="C12" s="7" t="s">
        <v>737</v>
      </c>
      <c r="D12" s="30" t="n">
        <v>46787</v>
      </c>
      <c r="E12" s="29" t="n">
        <v>46223</v>
      </c>
      <c r="G12" s="14" t="s">
        <v>738</v>
      </c>
      <c r="H12" s="14"/>
      <c r="I12" s="14"/>
    </row>
    <row r="13" customFormat="false" ht="15" hidden="false" customHeight="false" outlineLevel="0" collapsed="false">
      <c r="A13" s="7" t="s">
        <v>739</v>
      </c>
      <c r="B13" s="7" t="s">
        <v>740</v>
      </c>
      <c r="C13" s="7" t="s">
        <v>741</v>
      </c>
      <c r="D13" s="30" t="n">
        <v>1764</v>
      </c>
      <c r="E13" s="29" t="n">
        <v>46216</v>
      </c>
    </row>
    <row r="14" customFormat="false" ht="15" hidden="false" customHeight="false" outlineLevel="0" collapsed="false">
      <c r="A14" s="7" t="s">
        <v>742</v>
      </c>
      <c r="B14" s="7" t="s">
        <v>740</v>
      </c>
      <c r="C14" s="7" t="s">
        <v>734</v>
      </c>
      <c r="D14" s="30" t="n">
        <v>25601</v>
      </c>
      <c r="E14" s="29" t="n">
        <v>46242</v>
      </c>
      <c r="G14" s="10" t="s">
        <v>743</v>
      </c>
      <c r="H14" s="10" t="s">
        <v>744</v>
      </c>
      <c r="I14" s="10" t="s">
        <v>745</v>
      </c>
    </row>
    <row r="15" customFormat="false" ht="15" hidden="false" customHeight="false" outlineLevel="0" collapsed="false">
      <c r="A15" s="7" t="s">
        <v>746</v>
      </c>
      <c r="B15" s="7" t="s">
        <v>740</v>
      </c>
      <c r="C15" s="7" t="s">
        <v>741</v>
      </c>
      <c r="D15" s="30" t="n">
        <v>49823</v>
      </c>
      <c r="E15" s="29" t="n">
        <v>46214</v>
      </c>
      <c r="G15" s="13" t="s">
        <v>747</v>
      </c>
      <c r="H15" s="19"/>
      <c r="I15" s="19"/>
    </row>
    <row r="16" customFormat="false" ht="15" hidden="false" customHeight="false" outlineLevel="0" collapsed="false">
      <c r="A16" s="7" t="s">
        <v>748</v>
      </c>
      <c r="B16" s="7" t="s">
        <v>749</v>
      </c>
      <c r="C16" s="7" t="s">
        <v>750</v>
      </c>
      <c r="D16" s="30" t="n">
        <v>32652</v>
      </c>
      <c r="E16" s="29" t="n">
        <v>46232</v>
      </c>
      <c r="G16" s="13" t="s">
        <v>751</v>
      </c>
      <c r="H16" s="17"/>
      <c r="I16" s="17"/>
    </row>
    <row r="17" customFormat="false" ht="15" hidden="false" customHeight="false" outlineLevel="0" collapsed="false">
      <c r="A17" s="7" t="s">
        <v>752</v>
      </c>
      <c r="B17" s="7" t="s">
        <v>753</v>
      </c>
      <c r="C17" s="7" t="s">
        <v>754</v>
      </c>
      <c r="D17" s="30" t="n">
        <v>54520</v>
      </c>
      <c r="E17" s="29" t="n">
        <v>46218</v>
      </c>
      <c r="G17" s="13" t="s">
        <v>755</v>
      </c>
      <c r="H17" s="19"/>
    </row>
    <row r="18" customFormat="false" ht="15" hidden="false" customHeight="false" outlineLevel="0" collapsed="false">
      <c r="A18" s="7" t="s">
        <v>756</v>
      </c>
      <c r="B18" s="7" t="s">
        <v>730</v>
      </c>
      <c r="C18" s="7" t="s">
        <v>757</v>
      </c>
      <c r="D18" s="30" t="n">
        <v>16768</v>
      </c>
      <c r="E18" s="29" t="n">
        <v>46221</v>
      </c>
      <c r="G18" s="13" t="s">
        <v>758</v>
      </c>
      <c r="H18" s="13" t="n">
        <v>6</v>
      </c>
      <c r="I18" s="38" t="s">
        <v>759</v>
      </c>
    </row>
    <row r="19" customFormat="false" ht="15" hidden="false" customHeight="false" outlineLevel="0" collapsed="false">
      <c r="A19" s="7" t="s">
        <v>760</v>
      </c>
      <c r="B19" s="7" t="s">
        <v>753</v>
      </c>
      <c r="C19" s="7" t="s">
        <v>731</v>
      </c>
      <c r="D19" s="30" t="n">
        <v>32399</v>
      </c>
      <c r="E19" s="29" t="n">
        <v>46238</v>
      </c>
      <c r="G19" s="13" t="s">
        <v>761</v>
      </c>
      <c r="H19" s="19"/>
    </row>
    <row r="20" customFormat="false" ht="15" hidden="false" customHeight="false" outlineLevel="0" collapsed="false">
      <c r="A20" s="7" t="s">
        <v>762</v>
      </c>
      <c r="B20" s="7" t="s">
        <v>740</v>
      </c>
      <c r="C20" s="7" t="s">
        <v>754</v>
      </c>
      <c r="D20" s="30" t="n">
        <v>21542</v>
      </c>
      <c r="E20" s="29" t="n">
        <v>46247</v>
      </c>
      <c r="G20" s="13" t="s">
        <v>763</v>
      </c>
      <c r="H20" s="17"/>
    </row>
    <row r="21" customFormat="false" ht="15" hidden="false" customHeight="false" outlineLevel="0" collapsed="false">
      <c r="A21" s="7" t="s">
        <v>764</v>
      </c>
      <c r="B21" s="7" t="s">
        <v>730</v>
      </c>
      <c r="C21" s="7" t="s">
        <v>757</v>
      </c>
      <c r="D21" s="30" t="n">
        <v>21311</v>
      </c>
      <c r="E21" s="29" t="n">
        <v>46211</v>
      </c>
    </row>
    <row r="22" customFormat="false" ht="30" hidden="false" customHeight="true" outlineLevel="0" collapsed="false">
      <c r="A22" s="7" t="s">
        <v>765</v>
      </c>
      <c r="B22" s="7" t="s">
        <v>766</v>
      </c>
      <c r="C22" s="7" t="s">
        <v>754</v>
      </c>
      <c r="D22" s="30" t="n">
        <v>22301</v>
      </c>
      <c r="E22" s="29" t="n">
        <v>46229</v>
      </c>
      <c r="G22" s="39" t="s">
        <v>767</v>
      </c>
      <c r="H22" s="39"/>
      <c r="I22" s="39"/>
    </row>
    <row r="23" customFormat="false" ht="48" hidden="false" customHeight="true" outlineLevel="0" collapsed="false">
      <c r="A23" s="7" t="s">
        <v>768</v>
      </c>
      <c r="B23" s="7" t="s">
        <v>753</v>
      </c>
      <c r="C23" s="7" t="s">
        <v>757</v>
      </c>
      <c r="D23" s="30" t="n">
        <v>4492</v>
      </c>
      <c r="E23" s="29" t="n">
        <v>46264</v>
      </c>
      <c r="G23" s="18"/>
      <c r="H23" s="18"/>
      <c r="I23" s="18"/>
    </row>
    <row r="24" customFormat="false" ht="30" hidden="false" customHeight="true" outlineLevel="0" collapsed="false">
      <c r="A24" s="7" t="s">
        <v>769</v>
      </c>
      <c r="B24" s="7" t="s">
        <v>730</v>
      </c>
      <c r="C24" s="7" t="s">
        <v>754</v>
      </c>
      <c r="D24" s="30" t="n">
        <v>3271</v>
      </c>
      <c r="E24" s="29" t="n">
        <v>46244</v>
      </c>
      <c r="G24" s="39" t="s">
        <v>770</v>
      </c>
      <c r="H24" s="39"/>
      <c r="I24" s="39"/>
    </row>
    <row r="25" customFormat="false" ht="48" hidden="false" customHeight="true" outlineLevel="0" collapsed="false">
      <c r="A25" s="7" t="s">
        <v>771</v>
      </c>
      <c r="B25" s="7" t="s">
        <v>766</v>
      </c>
      <c r="C25" s="7" t="s">
        <v>734</v>
      </c>
      <c r="D25" s="30" t="n">
        <v>3084</v>
      </c>
      <c r="E25" s="29" t="n">
        <v>46231</v>
      </c>
      <c r="G25" s="18"/>
      <c r="H25" s="18"/>
      <c r="I25" s="18"/>
    </row>
    <row r="26" customFormat="false" ht="30" hidden="false" customHeight="true" outlineLevel="0" collapsed="false">
      <c r="A26" s="7" t="s">
        <v>772</v>
      </c>
      <c r="B26" s="7" t="s">
        <v>766</v>
      </c>
      <c r="C26" s="7" t="s">
        <v>731</v>
      </c>
      <c r="D26" s="30" t="n">
        <v>58073</v>
      </c>
      <c r="E26" s="29" t="n">
        <v>46219</v>
      </c>
      <c r="G26" s="39" t="s">
        <v>773</v>
      </c>
      <c r="H26" s="39"/>
      <c r="I26" s="39"/>
    </row>
    <row r="27" customFormat="false" ht="48" hidden="false" customHeight="true" outlineLevel="0" collapsed="false">
      <c r="A27" s="7" t="s">
        <v>774</v>
      </c>
      <c r="B27" s="7" t="s">
        <v>730</v>
      </c>
      <c r="C27" s="7" t="s">
        <v>757</v>
      </c>
      <c r="D27" s="30" t="n">
        <v>16922</v>
      </c>
      <c r="E27" s="29" t="n">
        <v>46264</v>
      </c>
      <c r="G27" s="18"/>
      <c r="H27" s="18"/>
      <c r="I27" s="18"/>
    </row>
    <row r="28" customFormat="false" ht="15" hidden="false" customHeight="false" outlineLevel="0" collapsed="false">
      <c r="A28" s="7" t="s">
        <v>775</v>
      </c>
      <c r="B28" s="7" t="s">
        <v>730</v>
      </c>
      <c r="C28" s="7" t="s">
        <v>754</v>
      </c>
      <c r="D28" s="30" t="n">
        <v>1533</v>
      </c>
      <c r="E28" s="29" t="n">
        <v>46233</v>
      </c>
    </row>
    <row r="29" customFormat="false" ht="15" hidden="false" customHeight="false" outlineLevel="0" collapsed="false">
      <c r="A29" s="7" t="s">
        <v>776</v>
      </c>
      <c r="B29" s="7" t="s">
        <v>766</v>
      </c>
      <c r="C29" s="7" t="s">
        <v>754</v>
      </c>
      <c r="D29" s="30" t="n">
        <v>20013</v>
      </c>
      <c r="E29" s="29" t="n">
        <v>46206</v>
      </c>
    </row>
    <row r="30" customFormat="false" ht="15" hidden="false" customHeight="false" outlineLevel="0" collapsed="false">
      <c r="A30" s="7" t="s">
        <v>777</v>
      </c>
      <c r="B30" s="7" t="s">
        <v>740</v>
      </c>
      <c r="C30" s="7" t="s">
        <v>731</v>
      </c>
      <c r="D30" s="30" t="n">
        <v>42002</v>
      </c>
      <c r="E30" s="29" t="n">
        <v>46214</v>
      </c>
    </row>
    <row r="31" customFormat="false" ht="15" hidden="false" customHeight="false" outlineLevel="0" collapsed="false">
      <c r="A31" s="7" t="s">
        <v>769</v>
      </c>
      <c r="B31" s="7" t="s">
        <v>730</v>
      </c>
      <c r="C31" s="7" t="s">
        <v>754</v>
      </c>
      <c r="D31" s="30" t="n">
        <v>3271</v>
      </c>
      <c r="E31" s="29" t="n">
        <v>46244</v>
      </c>
    </row>
    <row r="32" customFormat="false" ht="15" hidden="false" customHeight="false" outlineLevel="0" collapsed="false">
      <c r="A32" s="7" t="s">
        <v>778</v>
      </c>
      <c r="B32" s="7" t="s">
        <v>749</v>
      </c>
      <c r="C32" s="7" t="s">
        <v>734</v>
      </c>
      <c r="D32" s="30" t="n">
        <v>48547</v>
      </c>
      <c r="E32" s="29" t="n">
        <v>46225</v>
      </c>
    </row>
    <row r="33" customFormat="false" ht="15" hidden="false" customHeight="false" outlineLevel="0" collapsed="false">
      <c r="A33" s="7" t="s">
        <v>779</v>
      </c>
      <c r="B33" s="7" t="s">
        <v>753</v>
      </c>
      <c r="C33" s="7" t="s">
        <v>750</v>
      </c>
      <c r="D33" s="30" t="n">
        <v>6087</v>
      </c>
      <c r="E33" s="29" t="n">
        <v>46253</v>
      </c>
    </row>
    <row r="34" customFormat="false" ht="15" hidden="false" customHeight="false" outlineLevel="0" collapsed="false">
      <c r="A34" s="7" t="s">
        <v>780</v>
      </c>
      <c r="B34" s="7" t="s">
        <v>730</v>
      </c>
      <c r="C34" s="7" t="s">
        <v>737</v>
      </c>
      <c r="D34" s="30" t="n">
        <v>3084</v>
      </c>
      <c r="E34" s="29" t="n">
        <v>46211</v>
      </c>
    </row>
    <row r="35" customFormat="false" ht="15" hidden="false" customHeight="false" outlineLevel="0" collapsed="false">
      <c r="A35" s="7" t="s">
        <v>781</v>
      </c>
      <c r="B35" s="7" t="s">
        <v>749</v>
      </c>
      <c r="C35" s="7" t="s">
        <v>750</v>
      </c>
      <c r="D35" s="30" t="n">
        <v>40198</v>
      </c>
      <c r="E35" s="29" t="n">
        <v>46249</v>
      </c>
    </row>
    <row r="36" customFormat="false" ht="15" hidden="false" customHeight="false" outlineLevel="0" collapsed="false">
      <c r="A36" s="7" t="s">
        <v>782</v>
      </c>
      <c r="B36" s="7" t="s">
        <v>753</v>
      </c>
      <c r="C36" s="7" t="s">
        <v>750</v>
      </c>
      <c r="D36" s="30" t="n">
        <v>24556</v>
      </c>
      <c r="E36" s="29" t="n">
        <v>46237</v>
      </c>
    </row>
    <row r="37" customFormat="false" ht="15" hidden="false" customHeight="false" outlineLevel="0" collapsed="false">
      <c r="A37" s="7" t="s">
        <v>783</v>
      </c>
      <c r="B37" s="7" t="s">
        <v>730</v>
      </c>
      <c r="C37" s="7" t="s">
        <v>750</v>
      </c>
      <c r="D37" s="30" t="n">
        <v>29616</v>
      </c>
      <c r="E37" s="29" t="n">
        <v>46205</v>
      </c>
    </row>
    <row r="38" customFormat="false" ht="15" hidden="false" customHeight="false" outlineLevel="0" collapsed="false">
      <c r="A38" s="7" t="s">
        <v>784</v>
      </c>
      <c r="B38" s="7" t="s">
        <v>753</v>
      </c>
      <c r="C38" s="7" t="s">
        <v>737</v>
      </c>
      <c r="D38" s="30" t="n">
        <v>42002</v>
      </c>
      <c r="E38" s="29" t="n">
        <v>46219</v>
      </c>
    </row>
    <row r="39" customFormat="false" ht="15" hidden="false" customHeight="false" outlineLevel="0" collapsed="false">
      <c r="A39" s="7" t="s">
        <v>785</v>
      </c>
      <c r="B39" s="7" t="s">
        <v>766</v>
      </c>
      <c r="C39" s="7" t="s">
        <v>734</v>
      </c>
      <c r="D39" s="30" t="n">
        <v>30639</v>
      </c>
      <c r="E39" s="29" t="n">
        <v>46217</v>
      </c>
    </row>
    <row r="40" customFormat="false" ht="15" hidden="false" customHeight="false" outlineLevel="0" collapsed="false">
      <c r="A40" s="7" t="s">
        <v>786</v>
      </c>
      <c r="B40" s="7" t="s">
        <v>766</v>
      </c>
      <c r="C40" s="7" t="s">
        <v>741</v>
      </c>
      <c r="D40" s="30" t="n">
        <v>56753</v>
      </c>
      <c r="E40" s="29" t="n">
        <v>46241</v>
      </c>
    </row>
    <row r="41" customFormat="false" ht="15" hidden="false" customHeight="false" outlineLevel="0" collapsed="false">
      <c r="A41" s="7" t="s">
        <v>783</v>
      </c>
      <c r="B41" s="7" t="s">
        <v>730</v>
      </c>
      <c r="C41" s="7" t="s">
        <v>750</v>
      </c>
      <c r="D41" s="30" t="n">
        <v>29616</v>
      </c>
      <c r="E41" s="29" t="n">
        <v>46205</v>
      </c>
    </row>
    <row r="42" customFormat="false" ht="15" hidden="false" customHeight="false" outlineLevel="0" collapsed="false">
      <c r="A42" s="7" t="s">
        <v>787</v>
      </c>
      <c r="B42" s="7" t="s">
        <v>740</v>
      </c>
      <c r="C42" s="7" t="s">
        <v>754</v>
      </c>
      <c r="D42" s="30" t="n">
        <v>37536</v>
      </c>
      <c r="E42" s="29" t="n">
        <v>46237</v>
      </c>
    </row>
    <row r="43" customFormat="false" ht="15" hidden="false" customHeight="false" outlineLevel="0" collapsed="false">
      <c r="A43" s="7" t="s">
        <v>788</v>
      </c>
      <c r="B43" s="7" t="s">
        <v>730</v>
      </c>
      <c r="C43" s="7" t="s">
        <v>737</v>
      </c>
      <c r="D43" s="30" t="n">
        <v>47535</v>
      </c>
      <c r="E43" s="29" t="n">
        <v>46207</v>
      </c>
    </row>
    <row r="44" customFormat="false" ht="15" hidden="false" customHeight="false" outlineLevel="0" collapsed="false">
      <c r="A44" s="7" t="s">
        <v>789</v>
      </c>
      <c r="B44" s="7" t="s">
        <v>740</v>
      </c>
      <c r="C44" s="7" t="s">
        <v>741</v>
      </c>
      <c r="D44" s="30" t="n">
        <v>9904</v>
      </c>
      <c r="E44" s="29" t="n">
        <v>46259</v>
      </c>
    </row>
    <row r="45" customFormat="false" ht="15" hidden="false" customHeight="false" outlineLevel="0" collapsed="false">
      <c r="A45" s="7" t="s">
        <v>788</v>
      </c>
      <c r="B45" s="7" t="s">
        <v>730</v>
      </c>
      <c r="C45" s="7" t="s">
        <v>737</v>
      </c>
      <c r="D45" s="30" t="n">
        <v>47535</v>
      </c>
      <c r="E45" s="29" t="n">
        <v>46207</v>
      </c>
    </row>
    <row r="46" customFormat="false" ht="15" hidden="false" customHeight="false" outlineLevel="0" collapsed="false">
      <c r="A46" s="7" t="s">
        <v>790</v>
      </c>
      <c r="B46" s="7" t="s">
        <v>766</v>
      </c>
      <c r="C46" s="7" t="s">
        <v>737</v>
      </c>
      <c r="D46" s="30" t="n">
        <v>48492</v>
      </c>
      <c r="E46" s="29" t="n">
        <v>46209</v>
      </c>
    </row>
    <row r="47" customFormat="false" ht="15" hidden="false" customHeight="false" outlineLevel="0" collapsed="false">
      <c r="A47" s="7" t="s">
        <v>791</v>
      </c>
      <c r="B47" s="7" t="s">
        <v>753</v>
      </c>
      <c r="C47" s="7" t="s">
        <v>757</v>
      </c>
      <c r="D47" s="30" t="n">
        <v>36183</v>
      </c>
      <c r="E47" s="29" t="n">
        <v>46240</v>
      </c>
    </row>
    <row r="48" customFormat="false" ht="15" hidden="false" customHeight="false" outlineLevel="0" collapsed="false">
      <c r="A48" s="7" t="s">
        <v>792</v>
      </c>
      <c r="B48" s="7" t="s">
        <v>766</v>
      </c>
      <c r="C48" s="7" t="s">
        <v>737</v>
      </c>
      <c r="D48" s="30" t="n">
        <v>31068</v>
      </c>
      <c r="E48" s="29" t="n">
        <v>46221</v>
      </c>
    </row>
    <row r="49" customFormat="false" ht="15" hidden="false" customHeight="false" outlineLevel="0" collapsed="false">
      <c r="A49" s="7" t="s">
        <v>793</v>
      </c>
      <c r="B49" s="7" t="s">
        <v>753</v>
      </c>
      <c r="C49" s="7" t="s">
        <v>754</v>
      </c>
      <c r="D49" s="30" t="n">
        <v>28956</v>
      </c>
      <c r="E49" s="29" t="n">
        <v>46233</v>
      </c>
    </row>
    <row r="50" customFormat="false" ht="15" hidden="false" customHeight="false" outlineLevel="0" collapsed="false">
      <c r="A50" s="7" t="s">
        <v>794</v>
      </c>
      <c r="B50" s="7" t="s">
        <v>749</v>
      </c>
      <c r="C50" s="7" t="s">
        <v>750</v>
      </c>
      <c r="D50" s="30" t="n">
        <v>54861</v>
      </c>
      <c r="E50" s="29" t="n">
        <v>46262</v>
      </c>
    </row>
    <row r="51" customFormat="false" ht="15" hidden="false" customHeight="false" outlineLevel="0" collapsed="false">
      <c r="A51" s="7" t="s">
        <v>795</v>
      </c>
      <c r="B51" s="7" t="s">
        <v>740</v>
      </c>
      <c r="C51" s="7" t="s">
        <v>754</v>
      </c>
      <c r="D51" s="30" t="n">
        <v>25590</v>
      </c>
      <c r="E51" s="29" t="n">
        <v>46235</v>
      </c>
    </row>
    <row r="52" customFormat="false" ht="15" hidden="false" customHeight="false" outlineLevel="0" collapsed="false">
      <c r="A52" s="7" t="s">
        <v>796</v>
      </c>
      <c r="B52" s="7" t="s">
        <v>730</v>
      </c>
      <c r="C52" s="7" t="s">
        <v>750</v>
      </c>
      <c r="D52" s="30" t="n">
        <v>20321</v>
      </c>
      <c r="E52" s="29" t="n">
        <v>46235</v>
      </c>
    </row>
    <row r="53" customFormat="false" ht="15" hidden="false" customHeight="false" outlineLevel="0" collapsed="false">
      <c r="A53" s="7" t="s">
        <v>797</v>
      </c>
      <c r="B53" s="7" t="s">
        <v>740</v>
      </c>
      <c r="C53" s="7" t="s">
        <v>754</v>
      </c>
      <c r="D53" s="30" t="n">
        <v>48580</v>
      </c>
      <c r="E53" s="29" t="n">
        <v>46224</v>
      </c>
    </row>
    <row r="54" customFormat="false" ht="15" hidden="false" customHeight="false" outlineLevel="0" collapsed="false">
      <c r="A54" s="7" t="s">
        <v>798</v>
      </c>
      <c r="B54" s="7" t="s">
        <v>766</v>
      </c>
      <c r="C54" s="7" t="s">
        <v>734</v>
      </c>
      <c r="D54" s="30" t="n">
        <v>7649</v>
      </c>
      <c r="E54" s="29" t="n">
        <v>46206</v>
      </c>
    </row>
    <row r="55" customFormat="false" ht="15" hidden="false" customHeight="false" outlineLevel="0" collapsed="false">
      <c r="A55" s="7" t="s">
        <v>799</v>
      </c>
      <c r="B55" s="7" t="s">
        <v>730</v>
      </c>
      <c r="C55" s="7" t="s">
        <v>757</v>
      </c>
      <c r="D55" s="30" t="n">
        <v>30639</v>
      </c>
      <c r="E55" s="29" t="n">
        <v>46206</v>
      </c>
    </row>
    <row r="56" customFormat="false" ht="15" hidden="false" customHeight="false" outlineLevel="0" collapsed="false">
      <c r="A56" s="7" t="s">
        <v>800</v>
      </c>
      <c r="B56" s="7" t="s">
        <v>730</v>
      </c>
      <c r="C56" s="7" t="s">
        <v>737</v>
      </c>
      <c r="D56" s="30" t="n">
        <v>32399</v>
      </c>
      <c r="E56" s="29" t="n">
        <v>46225</v>
      </c>
    </row>
    <row r="57" customFormat="false" ht="15" hidden="false" customHeight="false" outlineLevel="0" collapsed="false">
      <c r="A57" s="7" t="s">
        <v>797</v>
      </c>
      <c r="B57" s="7" t="s">
        <v>740</v>
      </c>
      <c r="C57" s="7" t="s">
        <v>754</v>
      </c>
      <c r="D57" s="30" t="n">
        <v>48580</v>
      </c>
      <c r="E57" s="29" t="n">
        <v>46224</v>
      </c>
    </row>
    <row r="58" customFormat="false" ht="15" hidden="false" customHeight="false" outlineLevel="0" collapsed="false">
      <c r="A58" s="7" t="s">
        <v>801</v>
      </c>
      <c r="B58" s="7" t="s">
        <v>753</v>
      </c>
      <c r="C58" s="7" t="s">
        <v>737</v>
      </c>
      <c r="D58" s="30" t="n">
        <v>11796</v>
      </c>
      <c r="E58" s="29" t="n">
        <v>46248</v>
      </c>
    </row>
    <row r="59" customFormat="false" ht="15" hidden="false" customHeight="false" outlineLevel="0" collapsed="false">
      <c r="A59" s="7" t="s">
        <v>774</v>
      </c>
      <c r="B59" s="7" t="s">
        <v>730</v>
      </c>
      <c r="C59" s="7" t="s">
        <v>757</v>
      </c>
      <c r="D59" s="30" t="n">
        <v>16922</v>
      </c>
      <c r="E59" s="29" t="n">
        <v>46264</v>
      </c>
    </row>
    <row r="60" customFormat="false" ht="15" hidden="false" customHeight="false" outlineLevel="0" collapsed="false">
      <c r="A60" s="7" t="s">
        <v>802</v>
      </c>
      <c r="B60" s="7" t="s">
        <v>740</v>
      </c>
      <c r="C60" s="7" t="s">
        <v>734</v>
      </c>
      <c r="D60" s="30" t="n">
        <v>42321</v>
      </c>
      <c r="E60" s="29" t="n">
        <v>46224</v>
      </c>
    </row>
    <row r="61" customFormat="false" ht="15" hidden="false" customHeight="false" outlineLevel="0" collapsed="false">
      <c r="A61" s="7" t="s">
        <v>803</v>
      </c>
      <c r="B61" s="7" t="s">
        <v>753</v>
      </c>
      <c r="C61" s="7" t="s">
        <v>741</v>
      </c>
      <c r="D61" s="30" t="n">
        <v>4756</v>
      </c>
      <c r="E61" s="29" t="n">
        <v>46255</v>
      </c>
    </row>
    <row r="62" customFormat="false" ht="15" hidden="false" customHeight="false" outlineLevel="0" collapsed="false">
      <c r="A62" s="7" t="s">
        <v>804</v>
      </c>
      <c r="B62" s="7" t="s">
        <v>730</v>
      </c>
      <c r="C62" s="7" t="s">
        <v>737</v>
      </c>
      <c r="D62" s="30" t="n">
        <v>22752</v>
      </c>
      <c r="E62" s="29" t="n">
        <v>46260</v>
      </c>
    </row>
    <row r="63" customFormat="false" ht="15" hidden="false" customHeight="false" outlineLevel="0" collapsed="false">
      <c r="A63" s="7" t="s">
        <v>805</v>
      </c>
      <c r="B63" s="7" t="s">
        <v>730</v>
      </c>
      <c r="C63" s="7" t="s">
        <v>731</v>
      </c>
      <c r="D63" s="30" t="n">
        <v>16812</v>
      </c>
      <c r="E63" s="29" t="n">
        <v>46246</v>
      </c>
    </row>
    <row r="64" customFormat="false" ht="15" hidden="false" customHeight="false" outlineLevel="0" collapsed="false">
      <c r="A64" s="7" t="s">
        <v>806</v>
      </c>
      <c r="B64" s="7" t="s">
        <v>766</v>
      </c>
      <c r="C64" s="7" t="s">
        <v>737</v>
      </c>
      <c r="D64" s="30" t="n">
        <v>14942</v>
      </c>
      <c r="E64" s="29" t="n">
        <v>46205</v>
      </c>
    </row>
    <row r="65" customFormat="false" ht="15" hidden="false" customHeight="false" outlineLevel="0" collapsed="false">
      <c r="A65" s="7" t="s">
        <v>807</v>
      </c>
      <c r="B65" s="7" t="s">
        <v>730</v>
      </c>
      <c r="C65" s="7" t="s">
        <v>734</v>
      </c>
      <c r="D65" s="30" t="n">
        <v>34368</v>
      </c>
      <c r="E65" s="29" t="n">
        <v>46218</v>
      </c>
    </row>
    <row r="66" customFormat="false" ht="15" hidden="false" customHeight="false" outlineLevel="0" collapsed="false">
      <c r="A66" s="7" t="s">
        <v>808</v>
      </c>
      <c r="B66" s="7" t="s">
        <v>730</v>
      </c>
      <c r="C66" s="7" t="s">
        <v>809</v>
      </c>
      <c r="D66" s="30" t="n">
        <v>17582</v>
      </c>
      <c r="E66" s="29" t="n">
        <v>46218</v>
      </c>
    </row>
    <row r="67" customFormat="false" ht="15" hidden="false" customHeight="false" outlineLevel="0" collapsed="false">
      <c r="A67" s="7" t="s">
        <v>810</v>
      </c>
      <c r="B67" s="7" t="s">
        <v>730</v>
      </c>
      <c r="C67" s="7" t="s">
        <v>757</v>
      </c>
      <c r="D67" s="30" t="n">
        <v>58293</v>
      </c>
      <c r="E67" s="29" t="n">
        <v>46224</v>
      </c>
    </row>
    <row r="68" customFormat="false" ht="15" hidden="false" customHeight="false" outlineLevel="0" collapsed="false">
      <c r="A68" s="7" t="s">
        <v>784</v>
      </c>
      <c r="B68" s="7" t="s">
        <v>753</v>
      </c>
      <c r="C68" s="7" t="s">
        <v>737</v>
      </c>
      <c r="D68" s="30" t="n">
        <v>42002</v>
      </c>
      <c r="E68" s="29" t="n">
        <v>46219</v>
      </c>
    </row>
    <row r="69" customFormat="false" ht="15" hidden="false" customHeight="false" outlineLevel="0" collapsed="false">
      <c r="A69" s="7" t="s">
        <v>811</v>
      </c>
      <c r="B69" s="7" t="s">
        <v>740</v>
      </c>
      <c r="C69" s="7" t="s">
        <v>734</v>
      </c>
      <c r="D69" s="30" t="n">
        <v>5834</v>
      </c>
      <c r="E69" s="29" t="n">
        <v>46229</v>
      </c>
    </row>
    <row r="70" customFormat="false" ht="15" hidden="false" customHeight="false" outlineLevel="0" collapsed="false">
      <c r="A70" s="7" t="s">
        <v>812</v>
      </c>
      <c r="B70" s="7" t="s">
        <v>730</v>
      </c>
      <c r="C70" s="7" t="s">
        <v>737</v>
      </c>
      <c r="D70" s="30" t="n">
        <v>32179</v>
      </c>
      <c r="E70" s="29" t="n">
        <v>46249</v>
      </c>
    </row>
    <row r="71" customFormat="false" ht="15" hidden="false" customHeight="false" outlineLevel="0" collapsed="false">
      <c r="A71" s="7" t="s">
        <v>813</v>
      </c>
      <c r="B71" s="7" t="s">
        <v>749</v>
      </c>
      <c r="C71" s="7" t="s">
        <v>737</v>
      </c>
      <c r="D71" s="30" t="n">
        <v>30936</v>
      </c>
      <c r="E71" s="29" t="n">
        <v>46214</v>
      </c>
    </row>
  </sheetData>
  <mergeCells count="13">
    <mergeCell ref="A1:G1"/>
    <mergeCell ref="A2:G2"/>
    <mergeCell ref="A4:I7"/>
    <mergeCell ref="G9:I9"/>
    <mergeCell ref="G10:I10"/>
    <mergeCell ref="G11:I11"/>
    <mergeCell ref="G12:I12"/>
    <mergeCell ref="G22:I22"/>
    <mergeCell ref="G23:I23"/>
    <mergeCell ref="G24:I24"/>
    <mergeCell ref="G25:I25"/>
    <mergeCell ref="G26:I26"/>
    <mergeCell ref="G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3"/>
    <col collapsed="false" customWidth="true" hidden="false" outlineLevel="0" max="6" min="6" style="0" width="60"/>
  </cols>
  <sheetData>
    <row r="1" customFormat="false" ht="45" hidden="false" customHeight="true" outlineLevel="0" collapsed="false">
      <c r="A1" s="4" t="s">
        <v>814</v>
      </c>
      <c r="F1" s="40" t="s">
        <v>815</v>
      </c>
    </row>
    <row r="3" customFormat="false" ht="45" hidden="false" customHeight="true" outlineLevel="0" collapsed="false">
      <c r="A3" s="38" t="s">
        <v>816</v>
      </c>
      <c r="F3" s="40" t="s">
        <v>817</v>
      </c>
    </row>
    <row r="5" customFormat="false" ht="45" hidden="false" customHeight="true" outlineLevel="0" collapsed="false">
      <c r="F5" s="40" t="s">
        <v>818</v>
      </c>
    </row>
    <row r="7" customFormat="false" ht="45" hidden="false" customHeight="true" outlineLevel="0" collapsed="false">
      <c r="F7" s="40" t="s">
        <v>819</v>
      </c>
    </row>
    <row r="9" customFormat="false" ht="45" hidden="false" customHeight="true" outlineLevel="0" collapsed="false">
      <c r="A9" s="10" t="s">
        <v>820</v>
      </c>
      <c r="B9" s="10" t="s">
        <v>103</v>
      </c>
      <c r="C9" s="10" t="s">
        <v>146</v>
      </c>
      <c r="D9" s="10" t="s">
        <v>147</v>
      </c>
      <c r="F9" s="40" t="s">
        <v>821</v>
      </c>
    </row>
    <row r="10" customFormat="false" ht="15" hidden="false" customHeight="false" outlineLevel="0" collapsed="false">
      <c r="A10" s="7" t="s">
        <v>822</v>
      </c>
      <c r="B10" s="7" t="s">
        <v>109</v>
      </c>
      <c r="C10" s="7" t="s">
        <v>823</v>
      </c>
      <c r="D10" s="30" t="n">
        <v>11782</v>
      </c>
    </row>
    <row r="11" customFormat="false" ht="45" hidden="false" customHeight="true" outlineLevel="0" collapsed="false">
      <c r="A11" s="7" t="s">
        <v>822</v>
      </c>
      <c r="B11" s="7" t="s">
        <v>112</v>
      </c>
      <c r="C11" s="7" t="s">
        <v>823</v>
      </c>
      <c r="D11" s="30" t="n">
        <v>13754</v>
      </c>
      <c r="F11" s="40" t="s">
        <v>824</v>
      </c>
    </row>
    <row r="12" customFormat="false" ht="15" hidden="false" customHeight="false" outlineLevel="0" collapsed="false">
      <c r="A12" s="7" t="s">
        <v>822</v>
      </c>
      <c r="B12" s="7" t="s">
        <v>109</v>
      </c>
      <c r="C12" s="7" t="s">
        <v>825</v>
      </c>
      <c r="D12" s="30" t="n">
        <v>16134</v>
      </c>
    </row>
    <row r="13" customFormat="false" ht="45" hidden="false" customHeight="true" outlineLevel="0" collapsed="false">
      <c r="A13" s="7" t="s">
        <v>822</v>
      </c>
      <c r="B13" s="7" t="s">
        <v>826</v>
      </c>
      <c r="C13" s="7" t="s">
        <v>827</v>
      </c>
      <c r="D13" s="30" t="n">
        <v>13731</v>
      </c>
      <c r="F13" s="40" t="s">
        <v>828</v>
      </c>
    </row>
    <row r="14" customFormat="false" ht="15" hidden="false" customHeight="false" outlineLevel="0" collapsed="false">
      <c r="A14" s="7" t="s">
        <v>822</v>
      </c>
      <c r="B14" s="7" t="s">
        <v>120</v>
      </c>
      <c r="C14" s="7" t="s">
        <v>823</v>
      </c>
      <c r="D14" s="30" t="n">
        <v>13333</v>
      </c>
    </row>
    <row r="15" customFormat="false" ht="15" hidden="false" customHeight="false" outlineLevel="0" collapsed="false">
      <c r="A15" s="7" t="s">
        <v>822</v>
      </c>
      <c r="B15" s="7" t="s">
        <v>109</v>
      </c>
      <c r="C15" s="7" t="s">
        <v>823</v>
      </c>
      <c r="D15" s="30" t="n">
        <v>13079</v>
      </c>
    </row>
    <row r="16" customFormat="false" ht="15" hidden="false" customHeight="false" outlineLevel="0" collapsed="false">
      <c r="A16" s="7" t="s">
        <v>822</v>
      </c>
      <c r="B16" s="7" t="s">
        <v>112</v>
      </c>
      <c r="C16" s="7" t="s">
        <v>825</v>
      </c>
      <c r="D16" s="30" t="n">
        <v>19934</v>
      </c>
    </row>
    <row r="17" customFormat="false" ht="15" hidden="false" customHeight="false" outlineLevel="0" collapsed="false">
      <c r="A17" s="7" t="s">
        <v>822</v>
      </c>
      <c r="B17" s="7" t="s">
        <v>112</v>
      </c>
      <c r="C17" s="7" t="s">
        <v>829</v>
      </c>
      <c r="D17" s="30" t="n">
        <v>8848</v>
      </c>
    </row>
    <row r="18" customFormat="false" ht="15" hidden="false" customHeight="false" outlineLevel="0" collapsed="false">
      <c r="A18" s="7" t="s">
        <v>822</v>
      </c>
      <c r="B18" s="7" t="s">
        <v>109</v>
      </c>
      <c r="C18" s="7" t="s">
        <v>825</v>
      </c>
      <c r="D18" s="30" t="n">
        <v>8968</v>
      </c>
    </row>
    <row r="19" customFormat="false" ht="15" hidden="false" customHeight="false" outlineLevel="0" collapsed="false">
      <c r="A19" s="7" t="s">
        <v>822</v>
      </c>
      <c r="B19" s="7" t="s">
        <v>826</v>
      </c>
      <c r="C19" s="7" t="s">
        <v>823</v>
      </c>
      <c r="D19" s="30" t="n">
        <v>14383</v>
      </c>
    </row>
    <row r="20" customFormat="false" ht="15" hidden="false" customHeight="false" outlineLevel="0" collapsed="false">
      <c r="A20" s="7" t="s">
        <v>822</v>
      </c>
      <c r="B20" s="7" t="s">
        <v>826</v>
      </c>
      <c r="C20" s="7" t="s">
        <v>823</v>
      </c>
      <c r="D20" s="30" t="n">
        <v>17780</v>
      </c>
    </row>
    <row r="21" customFormat="false" ht="15" hidden="false" customHeight="false" outlineLevel="0" collapsed="false">
      <c r="A21" s="7" t="s">
        <v>822</v>
      </c>
      <c r="B21" s="7" t="s">
        <v>112</v>
      </c>
      <c r="C21" s="7" t="s">
        <v>825</v>
      </c>
      <c r="D21" s="30" t="n">
        <v>14856</v>
      </c>
    </row>
    <row r="22" customFormat="false" ht="15" hidden="false" customHeight="false" outlineLevel="0" collapsed="false">
      <c r="A22" s="7" t="s">
        <v>830</v>
      </c>
      <c r="B22" s="7" t="s">
        <v>112</v>
      </c>
      <c r="C22" s="7" t="s">
        <v>823</v>
      </c>
      <c r="D22" s="30" t="n">
        <v>15289</v>
      </c>
    </row>
    <row r="23" customFormat="false" ht="15" hidden="false" customHeight="false" outlineLevel="0" collapsed="false">
      <c r="A23" s="7" t="s">
        <v>830</v>
      </c>
      <c r="B23" s="7" t="s">
        <v>112</v>
      </c>
      <c r="C23" s="7" t="s">
        <v>823</v>
      </c>
      <c r="D23" s="30" t="n">
        <v>9739</v>
      </c>
    </row>
    <row r="24" customFormat="false" ht="15" hidden="false" customHeight="false" outlineLevel="0" collapsed="false">
      <c r="A24" s="7" t="s">
        <v>830</v>
      </c>
      <c r="B24" s="7" t="s">
        <v>112</v>
      </c>
      <c r="C24" s="7" t="s">
        <v>823</v>
      </c>
      <c r="D24" s="30" t="n">
        <v>11897</v>
      </c>
    </row>
    <row r="25" customFormat="false" ht="15" hidden="false" customHeight="false" outlineLevel="0" collapsed="false">
      <c r="A25" s="7" t="s">
        <v>830</v>
      </c>
      <c r="B25" s="7" t="s">
        <v>109</v>
      </c>
      <c r="C25" s="7" t="s">
        <v>823</v>
      </c>
      <c r="D25" s="30" t="n">
        <v>13208</v>
      </c>
    </row>
    <row r="26" customFormat="false" ht="15" hidden="false" customHeight="false" outlineLevel="0" collapsed="false">
      <c r="A26" s="7" t="s">
        <v>830</v>
      </c>
      <c r="B26" s="7" t="s">
        <v>109</v>
      </c>
      <c r="C26" s="7" t="s">
        <v>827</v>
      </c>
      <c r="D26" s="30" t="n">
        <v>9021</v>
      </c>
    </row>
    <row r="27" customFormat="false" ht="15" hidden="false" customHeight="false" outlineLevel="0" collapsed="false">
      <c r="A27" s="7" t="s">
        <v>830</v>
      </c>
      <c r="B27" s="7" t="s">
        <v>826</v>
      </c>
      <c r="C27" s="7" t="s">
        <v>823</v>
      </c>
      <c r="D27" s="30" t="n">
        <v>18309</v>
      </c>
    </row>
    <row r="28" customFormat="false" ht="15" hidden="false" customHeight="false" outlineLevel="0" collapsed="false">
      <c r="A28" s="7" t="s">
        <v>830</v>
      </c>
      <c r="B28" s="7" t="s">
        <v>112</v>
      </c>
      <c r="C28" s="7" t="s">
        <v>827</v>
      </c>
      <c r="D28" s="30" t="n">
        <v>19088</v>
      </c>
    </row>
    <row r="29" customFormat="false" ht="15" hidden="false" customHeight="false" outlineLevel="0" collapsed="false">
      <c r="A29" s="7" t="s">
        <v>830</v>
      </c>
      <c r="B29" s="7" t="s">
        <v>112</v>
      </c>
      <c r="C29" s="7" t="s">
        <v>825</v>
      </c>
      <c r="D29" s="30" t="n">
        <v>10843</v>
      </c>
    </row>
    <row r="30" customFormat="false" ht="15" hidden="false" customHeight="false" outlineLevel="0" collapsed="false">
      <c r="A30" s="7" t="s">
        <v>830</v>
      </c>
      <c r="B30" s="7" t="s">
        <v>120</v>
      </c>
      <c r="C30" s="7" t="s">
        <v>827</v>
      </c>
      <c r="D30" s="30" t="n">
        <v>19625</v>
      </c>
    </row>
    <row r="31" customFormat="false" ht="15" hidden="false" customHeight="false" outlineLevel="0" collapsed="false">
      <c r="A31" s="7" t="s">
        <v>830</v>
      </c>
      <c r="B31" s="7" t="s">
        <v>109</v>
      </c>
      <c r="C31" s="7" t="s">
        <v>829</v>
      </c>
      <c r="D31" s="30" t="n">
        <v>12885</v>
      </c>
    </row>
    <row r="32" customFormat="false" ht="15" hidden="false" customHeight="false" outlineLevel="0" collapsed="false">
      <c r="A32" s="7" t="s">
        <v>830</v>
      </c>
      <c r="B32" s="7" t="s">
        <v>112</v>
      </c>
      <c r="C32" s="7" t="s">
        <v>829</v>
      </c>
      <c r="D32" s="30" t="n">
        <v>18051</v>
      </c>
    </row>
    <row r="33" customFormat="false" ht="15" hidden="false" customHeight="false" outlineLevel="0" collapsed="false">
      <c r="A33" s="7" t="s">
        <v>830</v>
      </c>
      <c r="B33" s="7" t="s">
        <v>120</v>
      </c>
      <c r="C33" s="7" t="s">
        <v>829</v>
      </c>
      <c r="D33" s="30" t="n">
        <v>17111</v>
      </c>
    </row>
    <row r="34" customFormat="false" ht="15" hidden="false" customHeight="false" outlineLevel="0" collapsed="false">
      <c r="A34" s="7" t="s">
        <v>831</v>
      </c>
      <c r="B34" s="7" t="s">
        <v>826</v>
      </c>
      <c r="C34" s="7" t="s">
        <v>823</v>
      </c>
      <c r="D34" s="30" t="n">
        <v>20069</v>
      </c>
    </row>
    <row r="35" customFormat="false" ht="15" hidden="false" customHeight="false" outlineLevel="0" collapsed="false">
      <c r="A35" s="7" t="s">
        <v>831</v>
      </c>
      <c r="B35" s="7" t="s">
        <v>120</v>
      </c>
      <c r="C35" s="7" t="s">
        <v>827</v>
      </c>
      <c r="D35" s="30" t="n">
        <v>9616</v>
      </c>
    </row>
    <row r="36" customFormat="false" ht="15" hidden="false" customHeight="false" outlineLevel="0" collapsed="false">
      <c r="A36" s="7" t="s">
        <v>831</v>
      </c>
      <c r="B36" s="7" t="s">
        <v>120</v>
      </c>
      <c r="C36" s="7" t="s">
        <v>825</v>
      </c>
      <c r="D36" s="30" t="n">
        <v>19923</v>
      </c>
    </row>
    <row r="37" customFormat="false" ht="15" hidden="false" customHeight="false" outlineLevel="0" collapsed="false">
      <c r="A37" s="7" t="s">
        <v>831</v>
      </c>
      <c r="B37" s="7" t="s">
        <v>112</v>
      </c>
      <c r="C37" s="7" t="s">
        <v>827</v>
      </c>
      <c r="D37" s="30" t="n">
        <v>14414</v>
      </c>
    </row>
    <row r="38" customFormat="false" ht="15" hidden="false" customHeight="false" outlineLevel="0" collapsed="false">
      <c r="A38" s="7" t="s">
        <v>831</v>
      </c>
      <c r="B38" s="7" t="s">
        <v>109</v>
      </c>
      <c r="C38" s="7" t="s">
        <v>825</v>
      </c>
      <c r="D38" s="30" t="n">
        <v>15380</v>
      </c>
    </row>
    <row r="39" customFormat="false" ht="15" hidden="false" customHeight="false" outlineLevel="0" collapsed="false">
      <c r="A39" s="7" t="s">
        <v>831</v>
      </c>
      <c r="B39" s="7" t="s">
        <v>826</v>
      </c>
      <c r="C39" s="7" t="s">
        <v>829</v>
      </c>
      <c r="D39" s="30" t="n">
        <v>19402</v>
      </c>
    </row>
    <row r="40" customFormat="false" ht="15" hidden="false" customHeight="false" outlineLevel="0" collapsed="false">
      <c r="A40" s="7" t="s">
        <v>831</v>
      </c>
      <c r="B40" s="7" t="s">
        <v>112</v>
      </c>
      <c r="C40" s="7" t="s">
        <v>829</v>
      </c>
      <c r="D40" s="30" t="n">
        <v>17730</v>
      </c>
    </row>
    <row r="41" customFormat="false" ht="15" hidden="false" customHeight="false" outlineLevel="0" collapsed="false">
      <c r="A41" s="7" t="s">
        <v>831</v>
      </c>
      <c r="B41" s="7" t="s">
        <v>112</v>
      </c>
      <c r="C41" s="7" t="s">
        <v>825</v>
      </c>
      <c r="D41" s="30" t="n">
        <v>18775</v>
      </c>
    </row>
    <row r="42" customFormat="false" ht="15" hidden="false" customHeight="false" outlineLevel="0" collapsed="false">
      <c r="A42" s="7" t="s">
        <v>831</v>
      </c>
      <c r="B42" s="7" t="s">
        <v>112</v>
      </c>
      <c r="C42" s="7" t="s">
        <v>827</v>
      </c>
      <c r="D42" s="30" t="n">
        <v>12913</v>
      </c>
    </row>
    <row r="43" customFormat="false" ht="15" hidden="false" customHeight="false" outlineLevel="0" collapsed="false">
      <c r="A43" s="7" t="s">
        <v>831</v>
      </c>
      <c r="B43" s="7" t="s">
        <v>120</v>
      </c>
      <c r="C43" s="7" t="s">
        <v>829</v>
      </c>
      <c r="D43" s="30" t="n">
        <v>21657</v>
      </c>
    </row>
    <row r="44" customFormat="false" ht="15" hidden="false" customHeight="false" outlineLevel="0" collapsed="false">
      <c r="A44" s="7" t="s">
        <v>831</v>
      </c>
      <c r="B44" s="7" t="s">
        <v>109</v>
      </c>
      <c r="C44" s="7" t="s">
        <v>827</v>
      </c>
      <c r="D44" s="30" t="n">
        <v>17605</v>
      </c>
    </row>
    <row r="45" customFormat="false" ht="15" hidden="false" customHeight="false" outlineLevel="0" collapsed="false">
      <c r="A45" s="7" t="s">
        <v>831</v>
      </c>
      <c r="B45" s="7" t="s">
        <v>109</v>
      </c>
      <c r="C45" s="7" t="s">
        <v>823</v>
      </c>
      <c r="D45" s="30" t="n">
        <v>16466</v>
      </c>
    </row>
    <row r="46" customFormat="false" ht="15" hidden="false" customHeight="false" outlineLevel="0" collapsed="false">
      <c r="A46" s="7" t="s">
        <v>832</v>
      </c>
      <c r="B46" s="7" t="s">
        <v>109</v>
      </c>
      <c r="C46" s="7" t="s">
        <v>825</v>
      </c>
      <c r="D46" s="30" t="n">
        <v>18734</v>
      </c>
    </row>
    <row r="47" customFormat="false" ht="15" hidden="false" customHeight="false" outlineLevel="0" collapsed="false">
      <c r="A47" s="7" t="s">
        <v>832</v>
      </c>
      <c r="B47" s="7" t="s">
        <v>120</v>
      </c>
      <c r="C47" s="7" t="s">
        <v>829</v>
      </c>
      <c r="D47" s="30" t="n">
        <v>14325</v>
      </c>
    </row>
    <row r="48" customFormat="false" ht="15" hidden="false" customHeight="false" outlineLevel="0" collapsed="false">
      <c r="A48" s="7" t="s">
        <v>832</v>
      </c>
      <c r="B48" s="7" t="s">
        <v>112</v>
      </c>
      <c r="C48" s="7" t="s">
        <v>829</v>
      </c>
      <c r="D48" s="30" t="n">
        <v>17115</v>
      </c>
    </row>
    <row r="49" customFormat="false" ht="15" hidden="false" customHeight="false" outlineLevel="0" collapsed="false">
      <c r="A49" s="7" t="s">
        <v>832</v>
      </c>
      <c r="B49" s="7" t="s">
        <v>826</v>
      </c>
      <c r="C49" s="7" t="s">
        <v>825</v>
      </c>
      <c r="D49" s="30" t="n">
        <v>16968</v>
      </c>
    </row>
    <row r="51" customFormat="false" ht="15" hidden="false" customHeight="false" outlineLevel="0" collapsed="false">
      <c r="A51" s="7" t="s">
        <v>832</v>
      </c>
      <c r="B51" s="7" t="s">
        <v>826</v>
      </c>
      <c r="C51" s="7" t="s">
        <v>827</v>
      </c>
      <c r="D51" s="30" t="n">
        <v>20398</v>
      </c>
    </row>
    <row r="53" customFormat="false" ht="15" hidden="false" customHeight="false" outlineLevel="0" collapsed="false">
      <c r="A53" s="7" t="s">
        <v>832</v>
      </c>
      <c r="B53" s="7" t="s">
        <v>826</v>
      </c>
      <c r="C53" s="7" t="s">
        <v>829</v>
      </c>
      <c r="D53" s="30" t="n">
        <v>22233</v>
      </c>
    </row>
    <row r="54" customFormat="false" ht="15" hidden="false" customHeight="false" outlineLevel="0" collapsed="false">
      <c r="A54" s="7" t="s">
        <v>832</v>
      </c>
      <c r="B54" s="7" t="s">
        <v>112</v>
      </c>
      <c r="C54" s="7" t="s">
        <v>829</v>
      </c>
      <c r="D54" s="30" t="n">
        <v>18177</v>
      </c>
    </row>
    <row r="55" customFormat="false" ht="15" hidden="false" customHeight="false" outlineLevel="0" collapsed="false">
      <c r="A55" s="7" t="s">
        <v>832</v>
      </c>
      <c r="B55" s="7" t="s">
        <v>112</v>
      </c>
      <c r="C55" s="7" t="s">
        <v>827</v>
      </c>
      <c r="D55" s="30" t="n">
        <v>15976</v>
      </c>
    </row>
    <row r="56" customFormat="false" ht="15" hidden="false" customHeight="false" outlineLevel="0" collapsed="false">
      <c r="A56" s="7" t="s">
        <v>832</v>
      </c>
      <c r="B56" s="7" t="s">
        <v>120</v>
      </c>
      <c r="C56" s="7" t="s">
        <v>825</v>
      </c>
      <c r="D56" s="30" t="n">
        <v>20012</v>
      </c>
    </row>
    <row r="57" customFormat="false" ht="15" hidden="false" customHeight="false" outlineLevel="0" collapsed="false">
      <c r="A57" s="7" t="s">
        <v>832</v>
      </c>
      <c r="B57" s="7" t="s">
        <v>120</v>
      </c>
      <c r="C57" s="7" t="s">
        <v>827</v>
      </c>
      <c r="D57" s="30" t="n">
        <v>11907</v>
      </c>
    </row>
    <row r="58" customFormat="false" ht="15" hidden="false" customHeight="false" outlineLevel="0" collapsed="false">
      <c r="A58" s="7" t="s">
        <v>832</v>
      </c>
      <c r="B58" s="7" t="s">
        <v>826</v>
      </c>
      <c r="C58" s="7" t="s">
        <v>825</v>
      </c>
      <c r="D58" s="30" t="n">
        <v>21927</v>
      </c>
    </row>
    <row r="59" customFormat="false" ht="15" hidden="false" customHeight="false" outlineLevel="0" collapsed="false">
      <c r="A59" s="7" t="s">
        <v>832</v>
      </c>
      <c r="B59" s="7" t="s">
        <v>120</v>
      </c>
      <c r="C59" s="7" t="s">
        <v>829</v>
      </c>
      <c r="D59" s="30" t="n">
        <v>21597</v>
      </c>
    </row>
    <row r="60" customFormat="false" ht="15" hidden="false" customHeight="false" outlineLevel="0" collapsed="false">
      <c r="A60" s="7" t="s">
        <v>833</v>
      </c>
      <c r="B60" s="7" t="s">
        <v>120</v>
      </c>
      <c r="C60" s="7" t="s">
        <v>825</v>
      </c>
      <c r="D60" s="30" t="n">
        <v>16570</v>
      </c>
    </row>
    <row r="61" customFormat="false" ht="15" hidden="false" customHeight="false" outlineLevel="0" collapsed="false">
      <c r="A61" s="7" t="s">
        <v>833</v>
      </c>
      <c r="B61" s="7" t="s">
        <v>109</v>
      </c>
      <c r="C61" s="7" t="s">
        <v>823</v>
      </c>
      <c r="D61" s="30" t="n">
        <v>18507</v>
      </c>
    </row>
    <row r="62" customFormat="false" ht="15" hidden="false" customHeight="false" outlineLevel="0" collapsed="false">
      <c r="A62" s="7" t="s">
        <v>833</v>
      </c>
      <c r="B62" s="7" t="s">
        <v>109</v>
      </c>
      <c r="C62" s="7" t="s">
        <v>827</v>
      </c>
      <c r="D62" s="30" t="n">
        <v>13907</v>
      </c>
    </row>
    <row r="63" customFormat="false" ht="15" hidden="false" customHeight="false" outlineLevel="0" collapsed="false">
      <c r="A63" s="7" t="s">
        <v>833</v>
      </c>
      <c r="B63" s="7" t="s">
        <v>120</v>
      </c>
      <c r="C63" s="7" t="s">
        <v>825</v>
      </c>
      <c r="D63" s="30" t="n">
        <v>21171</v>
      </c>
    </row>
    <row r="64" customFormat="false" ht="15" hidden="false" customHeight="false" outlineLevel="0" collapsed="false">
      <c r="A64" s="7" t="s">
        <v>833</v>
      </c>
      <c r="B64" s="7" t="s">
        <v>109</v>
      </c>
      <c r="C64" s="7" t="s">
        <v>823</v>
      </c>
      <c r="D64" s="30" t="n">
        <v>13089</v>
      </c>
    </row>
    <row r="65" customFormat="false" ht="15" hidden="false" customHeight="false" outlineLevel="0" collapsed="false">
      <c r="A65" s="7" t="s">
        <v>833</v>
      </c>
      <c r="B65" s="7" t="s">
        <v>109</v>
      </c>
      <c r="C65" s="7" t="s">
        <v>823</v>
      </c>
      <c r="D65" s="30" t="n">
        <v>20980</v>
      </c>
    </row>
    <row r="66" customFormat="false" ht="15" hidden="false" customHeight="false" outlineLevel="0" collapsed="false">
      <c r="A66" s="7" t="s">
        <v>833</v>
      </c>
      <c r="B66" s="7" t="s">
        <v>826</v>
      </c>
      <c r="C66" s="7" t="s">
        <v>827</v>
      </c>
      <c r="D66" s="30" t="n">
        <v>17745</v>
      </c>
    </row>
    <row r="67" customFormat="false" ht="15" hidden="false" customHeight="false" outlineLevel="0" collapsed="false">
      <c r="A67" s="7" t="s">
        <v>833</v>
      </c>
      <c r="B67" s="7" t="s">
        <v>109</v>
      </c>
      <c r="C67" s="7" t="s">
        <v>823</v>
      </c>
      <c r="D67" s="30" t="n">
        <v>13520</v>
      </c>
    </row>
    <row r="68" customFormat="false" ht="15" hidden="false" customHeight="false" outlineLevel="0" collapsed="false">
      <c r="A68" s="7" t="s">
        <v>833</v>
      </c>
      <c r="B68" s="7" t="s">
        <v>109</v>
      </c>
      <c r="C68" s="7" t="s">
        <v>829</v>
      </c>
      <c r="D68" s="30" t="n">
        <v>15234</v>
      </c>
    </row>
    <row r="69" customFormat="false" ht="15" hidden="false" customHeight="false" outlineLevel="0" collapsed="false">
      <c r="A69" s="7" t="s">
        <v>833</v>
      </c>
      <c r="B69" s="7" t="s">
        <v>109</v>
      </c>
      <c r="C69" s="7" t="s">
        <v>829</v>
      </c>
      <c r="D69" s="30" t="n">
        <v>14710</v>
      </c>
    </row>
    <row r="70" customFormat="false" ht="15" hidden="false" customHeight="false" outlineLevel="0" collapsed="false">
      <c r="A70" s="7" t="s">
        <v>833</v>
      </c>
      <c r="B70" s="7" t="s">
        <v>120</v>
      </c>
      <c r="C70" s="7" t="s">
        <v>825</v>
      </c>
      <c r="D70" s="30" t="n">
        <v>15699</v>
      </c>
    </row>
    <row r="71" customFormat="false" ht="15" hidden="false" customHeight="false" outlineLevel="0" collapsed="false">
      <c r="A71" s="7" t="s">
        <v>833</v>
      </c>
      <c r="B71" s="7" t="s">
        <v>112</v>
      </c>
      <c r="C71" s="7" t="s">
        <v>823</v>
      </c>
      <c r="D71" s="30" t="n">
        <v>17361</v>
      </c>
    </row>
    <row r="72" customFormat="false" ht="15" hidden="false" customHeight="false" outlineLevel="0" collapsed="false">
      <c r="A72" s="7" t="s">
        <v>834</v>
      </c>
      <c r="B72" s="7" t="s">
        <v>826</v>
      </c>
      <c r="C72" s="7" t="s">
        <v>829</v>
      </c>
      <c r="D72" s="30" t="n">
        <v>11103</v>
      </c>
    </row>
    <row r="73" customFormat="false" ht="15" hidden="false" customHeight="false" outlineLevel="0" collapsed="false">
      <c r="A73" s="7" t="s">
        <v>834</v>
      </c>
      <c r="B73" s="7" t="s">
        <v>120</v>
      </c>
      <c r="C73" s="7" t="s">
        <v>829</v>
      </c>
      <c r="D73" s="30" t="n">
        <v>14280</v>
      </c>
    </row>
    <row r="74" customFormat="false" ht="15" hidden="false" customHeight="false" outlineLevel="0" collapsed="false">
      <c r="A74" s="7" t="s">
        <v>834</v>
      </c>
      <c r="B74" s="7" t="s">
        <v>112</v>
      </c>
      <c r="C74" s="7" t="s">
        <v>823</v>
      </c>
      <c r="D74" s="30" t="n">
        <v>18320</v>
      </c>
    </row>
    <row r="75" customFormat="false" ht="15" hidden="false" customHeight="false" outlineLevel="0" collapsed="false">
      <c r="A75" s="7" t="s">
        <v>834</v>
      </c>
      <c r="B75" s="7" t="s">
        <v>112</v>
      </c>
      <c r="C75" s="7" t="s">
        <v>827</v>
      </c>
      <c r="D75" s="30" t="n">
        <v>21191</v>
      </c>
    </row>
    <row r="76" customFormat="false" ht="15" hidden="false" customHeight="false" outlineLevel="0" collapsed="false">
      <c r="A76" s="7" t="s">
        <v>834</v>
      </c>
      <c r="B76" s="7" t="s">
        <v>112</v>
      </c>
      <c r="C76" s="7" t="s">
        <v>829</v>
      </c>
      <c r="D76" s="30" t="n">
        <v>11169</v>
      </c>
    </row>
    <row r="77" customFormat="false" ht="15" hidden="false" customHeight="false" outlineLevel="0" collapsed="false">
      <c r="A77" s="7" t="s">
        <v>834</v>
      </c>
      <c r="B77" s="7" t="s">
        <v>109</v>
      </c>
      <c r="C77" s="7" t="s">
        <v>829</v>
      </c>
      <c r="D77" s="30" t="n">
        <v>21149</v>
      </c>
    </row>
    <row r="78" customFormat="false" ht="15" hidden="false" customHeight="false" outlineLevel="0" collapsed="false">
      <c r="A78" s="7" t="s">
        <v>834</v>
      </c>
      <c r="B78" s="7" t="s">
        <v>109</v>
      </c>
      <c r="C78" s="7" t="s">
        <v>829</v>
      </c>
      <c r="D78" s="30" t="n">
        <v>13263</v>
      </c>
    </row>
    <row r="79" customFormat="false" ht="15" hidden="false" customHeight="false" outlineLevel="0" collapsed="false">
      <c r="A79" s="7" t="s">
        <v>834</v>
      </c>
      <c r="B79" s="7" t="s">
        <v>826</v>
      </c>
      <c r="C79" s="7" t="s">
        <v>825</v>
      </c>
      <c r="D79" s="30" t="n">
        <v>11072</v>
      </c>
    </row>
    <row r="80" customFormat="false" ht="15" hidden="false" customHeight="false" outlineLevel="0" collapsed="false">
      <c r="A80" s="7" t="s">
        <v>834</v>
      </c>
      <c r="B80" s="7" t="s">
        <v>826</v>
      </c>
      <c r="C80" s="7" t="s">
        <v>829</v>
      </c>
      <c r="D80" s="30" t="n">
        <v>19567</v>
      </c>
    </row>
    <row r="81" customFormat="false" ht="15" hidden="false" customHeight="false" outlineLevel="0" collapsed="false">
      <c r="A81" s="7" t="s">
        <v>834</v>
      </c>
      <c r="B81" s="7" t="s">
        <v>120</v>
      </c>
      <c r="C81" s="7" t="s">
        <v>827</v>
      </c>
      <c r="D81" s="30" t="n">
        <v>21034</v>
      </c>
    </row>
    <row r="82" customFormat="false" ht="15" hidden="false" customHeight="false" outlineLevel="0" collapsed="false">
      <c r="A82" s="7" t="s">
        <v>834</v>
      </c>
      <c r="B82" s="7" t="s">
        <v>112</v>
      </c>
      <c r="C82" s="7" t="s">
        <v>829</v>
      </c>
      <c r="D82" s="30" t="n">
        <v>13092</v>
      </c>
    </row>
    <row r="83" customFormat="false" ht="15" hidden="false" customHeight="false" outlineLevel="0" collapsed="false">
      <c r="A83" s="7" t="s">
        <v>834</v>
      </c>
      <c r="B83" s="7" t="s">
        <v>826</v>
      </c>
      <c r="C83" s="7" t="s">
        <v>823</v>
      </c>
      <c r="D83" s="30" t="n">
        <v>19527</v>
      </c>
    </row>
    <row r="84" customFormat="false" ht="15" hidden="false" customHeight="false" outlineLevel="0" collapsed="false">
      <c r="A84" s="16" t="s">
        <v>820</v>
      </c>
      <c r="B84" s="16" t="s">
        <v>103</v>
      </c>
      <c r="C84" s="16" t="s">
        <v>146</v>
      </c>
      <c r="D84" s="16" t="s">
        <v>147</v>
      </c>
    </row>
    <row r="85" customFormat="false" ht="15" hidden="false" customHeight="false" outlineLevel="0" collapsed="false">
      <c r="A85" s="7" t="s">
        <v>835</v>
      </c>
      <c r="B85" s="7" t="s">
        <v>826</v>
      </c>
      <c r="C85" s="7" t="s">
        <v>823</v>
      </c>
      <c r="D85" s="30" t="n">
        <v>25286</v>
      </c>
    </row>
    <row r="86" customFormat="false" ht="15" hidden="false" customHeight="false" outlineLevel="0" collapsed="false">
      <c r="A86" s="7" t="s">
        <v>835</v>
      </c>
      <c r="B86" s="7" t="s">
        <v>826</v>
      </c>
      <c r="C86" s="7" t="s">
        <v>829</v>
      </c>
      <c r="D86" s="30" t="n">
        <v>26233</v>
      </c>
    </row>
    <row r="87" customFormat="false" ht="15" hidden="false" customHeight="false" outlineLevel="0" collapsed="false">
      <c r="A87" s="7" t="s">
        <v>835</v>
      </c>
      <c r="B87" s="7" t="s">
        <v>120</v>
      </c>
      <c r="C87" s="7" t="s">
        <v>827</v>
      </c>
      <c r="D87" s="30" t="n">
        <v>16415</v>
      </c>
    </row>
    <row r="88" customFormat="false" ht="15" hidden="false" customHeight="false" outlineLevel="0" collapsed="false">
      <c r="A88" s="7" t="s">
        <v>835</v>
      </c>
      <c r="B88" s="7" t="s">
        <v>826</v>
      </c>
      <c r="C88" s="7" t="s">
        <v>829</v>
      </c>
      <c r="D88" s="30" t="n">
        <v>19816</v>
      </c>
    </row>
    <row r="89" customFormat="false" ht="15" hidden="false" customHeight="false" outlineLevel="0" collapsed="false">
      <c r="A89" s="7" t="s">
        <v>835</v>
      </c>
      <c r="B89" s="7" t="s">
        <v>109</v>
      </c>
      <c r="C89" s="7" t="s">
        <v>829</v>
      </c>
      <c r="D89" s="30" t="n">
        <v>16734</v>
      </c>
    </row>
    <row r="90" customFormat="false" ht="15" hidden="false" customHeight="false" outlineLevel="0" collapsed="false">
      <c r="A90" s="7" t="s">
        <v>835</v>
      </c>
      <c r="B90" s="7" t="s">
        <v>120</v>
      </c>
      <c r="C90" s="7" t="s">
        <v>825</v>
      </c>
      <c r="D90" s="30" t="n">
        <v>15087</v>
      </c>
    </row>
    <row r="91" customFormat="false" ht="15" hidden="false" customHeight="false" outlineLevel="0" collapsed="false">
      <c r="A91" s="7" t="s">
        <v>835</v>
      </c>
      <c r="B91" s="7" t="s">
        <v>112</v>
      </c>
      <c r="C91" s="7" t="s">
        <v>823</v>
      </c>
      <c r="D91" s="30" t="n">
        <v>11233</v>
      </c>
    </row>
    <row r="92" customFormat="false" ht="15" hidden="false" customHeight="false" outlineLevel="0" collapsed="false">
      <c r="A92" s="7" t="s">
        <v>835</v>
      </c>
      <c r="B92" s="7" t="s">
        <v>109</v>
      </c>
      <c r="C92" s="7" t="s">
        <v>829</v>
      </c>
      <c r="D92" s="30" t="n">
        <v>14474</v>
      </c>
    </row>
    <row r="93" customFormat="false" ht="15" hidden="false" customHeight="false" outlineLevel="0" collapsed="false">
      <c r="A93" s="7" t="s">
        <v>835</v>
      </c>
      <c r="B93" s="7" t="s">
        <v>109</v>
      </c>
      <c r="C93" s="7" t="s">
        <v>825</v>
      </c>
      <c r="D93" s="30" t="n">
        <v>24841</v>
      </c>
    </row>
    <row r="94" customFormat="false" ht="15" hidden="false" customHeight="false" outlineLevel="0" collapsed="false">
      <c r="A94" s="7" t="s">
        <v>835</v>
      </c>
      <c r="B94" s="7" t="s">
        <v>109</v>
      </c>
      <c r="C94" s="7" t="s">
        <v>823</v>
      </c>
      <c r="D94" s="30" t="n">
        <v>19424</v>
      </c>
    </row>
    <row r="95" customFormat="false" ht="15" hidden="false" customHeight="false" outlineLevel="0" collapsed="false">
      <c r="A95" s="7" t="s">
        <v>835</v>
      </c>
      <c r="B95" s="7" t="s">
        <v>112</v>
      </c>
      <c r="C95" s="7" t="s">
        <v>829</v>
      </c>
      <c r="D95" s="30" t="n">
        <v>14164</v>
      </c>
    </row>
    <row r="96" customFormat="false" ht="15" hidden="false" customHeight="false" outlineLevel="0" collapsed="false">
      <c r="A96" s="7" t="s">
        <v>835</v>
      </c>
      <c r="B96" s="7" t="s">
        <v>109</v>
      </c>
      <c r="C96" s="7" t="s">
        <v>827</v>
      </c>
      <c r="D96" s="30" t="n">
        <v>18349</v>
      </c>
    </row>
    <row r="97" customFormat="false" ht="15" hidden="false" customHeight="false" outlineLevel="0" collapsed="false">
      <c r="A97" s="7" t="s">
        <v>836</v>
      </c>
      <c r="B97" s="7" t="s">
        <v>826</v>
      </c>
      <c r="C97" s="7" t="s">
        <v>825</v>
      </c>
      <c r="D97" s="30" t="n">
        <v>24088</v>
      </c>
    </row>
    <row r="98" customFormat="false" ht="15" hidden="false" customHeight="false" outlineLevel="0" collapsed="false">
      <c r="A98" s="7" t="s">
        <v>836</v>
      </c>
      <c r="B98" s="7" t="s">
        <v>826</v>
      </c>
      <c r="C98" s="7" t="s">
        <v>827</v>
      </c>
      <c r="D98" s="30" t="n">
        <v>11854</v>
      </c>
    </row>
    <row r="99" customFormat="false" ht="15" hidden="false" customHeight="false" outlineLevel="0" collapsed="false">
      <c r="A99" s="7" t="s">
        <v>836</v>
      </c>
      <c r="B99" s="7" t="s">
        <v>112</v>
      </c>
      <c r="C99" s="7" t="s">
        <v>829</v>
      </c>
      <c r="D99" s="30" t="n">
        <v>13441</v>
      </c>
    </row>
    <row r="100" customFormat="false" ht="15" hidden="false" customHeight="false" outlineLevel="0" collapsed="false">
      <c r="A100" s="7" t="s">
        <v>836</v>
      </c>
      <c r="B100" s="7" t="s">
        <v>120</v>
      </c>
      <c r="C100" s="7" t="s">
        <v>823</v>
      </c>
      <c r="D100" s="30" t="n">
        <v>19827</v>
      </c>
    </row>
    <row r="101" customFormat="false" ht="15" hidden="false" customHeight="false" outlineLevel="0" collapsed="false">
      <c r="A101" s="7" t="s">
        <v>836</v>
      </c>
      <c r="B101" s="7" t="s">
        <v>112</v>
      </c>
      <c r="C101" s="7" t="s">
        <v>823</v>
      </c>
      <c r="D101" s="30" t="n">
        <v>12848</v>
      </c>
    </row>
    <row r="102" customFormat="false" ht="15" hidden="false" customHeight="false" outlineLevel="0" collapsed="false">
      <c r="A102" s="7" t="s">
        <v>836</v>
      </c>
      <c r="B102" s="7" t="s">
        <v>826</v>
      </c>
      <c r="C102" s="7" t="s">
        <v>823</v>
      </c>
      <c r="D102" s="30" t="n">
        <v>19628</v>
      </c>
    </row>
    <row r="103" customFormat="false" ht="15" hidden="false" customHeight="false" outlineLevel="0" collapsed="false">
      <c r="A103" s="7" t="s">
        <v>836</v>
      </c>
      <c r="B103" s="7" t="s">
        <v>826</v>
      </c>
      <c r="C103" s="7" t="s">
        <v>827</v>
      </c>
      <c r="D103" s="30" t="n">
        <v>24696</v>
      </c>
    </row>
    <row r="104" customFormat="false" ht="15" hidden="false" customHeight="false" outlineLevel="0" collapsed="false">
      <c r="A104" s="7" t="s">
        <v>836</v>
      </c>
      <c r="B104" s="7" t="s">
        <v>109</v>
      </c>
      <c r="C104" s="7" t="s">
        <v>825</v>
      </c>
      <c r="D104" s="30" t="n">
        <v>26839</v>
      </c>
    </row>
    <row r="105" customFormat="false" ht="15" hidden="false" customHeight="false" outlineLevel="0" collapsed="false">
      <c r="A105" s="7" t="s">
        <v>836</v>
      </c>
      <c r="B105" s="7" t="s">
        <v>109</v>
      </c>
      <c r="C105" s="7" t="s">
        <v>829</v>
      </c>
      <c r="D105" s="30" t="n">
        <v>17666</v>
      </c>
    </row>
    <row r="106" customFormat="false" ht="15" hidden="false" customHeight="false" outlineLevel="0" collapsed="false">
      <c r="A106" s="7" t="s">
        <v>836</v>
      </c>
      <c r="B106" s="7" t="s">
        <v>112</v>
      </c>
      <c r="C106" s="7" t="s">
        <v>825</v>
      </c>
      <c r="D106" s="30" t="n">
        <v>12385</v>
      </c>
    </row>
    <row r="107" customFormat="false" ht="15" hidden="false" customHeight="false" outlineLevel="0" collapsed="false">
      <c r="A107" s="7" t="s">
        <v>836</v>
      </c>
      <c r="B107" s="7" t="s">
        <v>826</v>
      </c>
      <c r="C107" s="7" t="s">
        <v>825</v>
      </c>
      <c r="D107" s="30" t="n">
        <v>19211</v>
      </c>
    </row>
    <row r="109" customFormat="false" ht="15" hidden="false" customHeight="false" outlineLevel="0" collapsed="false">
      <c r="A109" s="7" t="s">
        <v>836</v>
      </c>
      <c r="B109" s="7" t="s">
        <v>826</v>
      </c>
      <c r="C109" s="7" t="s">
        <v>825</v>
      </c>
      <c r="D109" s="30" t="n">
        <v>22409</v>
      </c>
    </row>
    <row r="110" customFormat="false" ht="15" hidden="false" customHeight="false" outlineLevel="0" collapsed="false">
      <c r="A110" s="7" t="s">
        <v>837</v>
      </c>
      <c r="B110" s="7" t="s">
        <v>109</v>
      </c>
      <c r="C110" s="7" t="s">
        <v>823</v>
      </c>
      <c r="D110" s="30" t="n">
        <v>16401</v>
      </c>
    </row>
    <row r="111" customFormat="false" ht="15" hidden="false" customHeight="false" outlineLevel="0" collapsed="false">
      <c r="A111" s="7" t="s">
        <v>837</v>
      </c>
      <c r="B111" s="7" t="s">
        <v>826</v>
      </c>
      <c r="C111" s="7" t="s">
        <v>825</v>
      </c>
      <c r="D111" s="30" t="n">
        <v>24861</v>
      </c>
    </row>
    <row r="112" customFormat="false" ht="15" hidden="false" customHeight="false" outlineLevel="0" collapsed="false">
      <c r="A112" s="7" t="s">
        <v>837</v>
      </c>
      <c r="B112" s="7" t="s">
        <v>120</v>
      </c>
      <c r="C112" s="7" t="s">
        <v>829</v>
      </c>
      <c r="D112" s="30" t="n">
        <v>12744</v>
      </c>
    </row>
    <row r="113" customFormat="false" ht="15" hidden="false" customHeight="false" outlineLevel="0" collapsed="false">
      <c r="A113" s="7" t="s">
        <v>837</v>
      </c>
      <c r="B113" s="7" t="s">
        <v>109</v>
      </c>
      <c r="C113" s="7" t="s">
        <v>825</v>
      </c>
      <c r="D113" s="30" t="n">
        <v>25636</v>
      </c>
    </row>
    <row r="114" customFormat="false" ht="15" hidden="false" customHeight="false" outlineLevel="0" collapsed="false">
      <c r="A114" s="7" t="s">
        <v>837</v>
      </c>
      <c r="B114" s="7" t="s">
        <v>120</v>
      </c>
      <c r="C114" s="7" t="s">
        <v>825</v>
      </c>
      <c r="D114" s="30" t="n">
        <v>18730</v>
      </c>
    </row>
    <row r="115" customFormat="false" ht="15" hidden="false" customHeight="false" outlineLevel="0" collapsed="false">
      <c r="A115" s="7" t="s">
        <v>837</v>
      </c>
      <c r="B115" s="7" t="s">
        <v>120</v>
      </c>
      <c r="C115" s="7" t="s">
        <v>825</v>
      </c>
      <c r="D115" s="30" t="n">
        <v>14807</v>
      </c>
    </row>
    <row r="116" customFormat="false" ht="15" hidden="false" customHeight="false" outlineLevel="0" collapsed="false">
      <c r="A116" s="7" t="s">
        <v>837</v>
      </c>
      <c r="B116" s="7" t="s">
        <v>120</v>
      </c>
      <c r="C116" s="7" t="s">
        <v>825</v>
      </c>
      <c r="D116" s="30" t="n">
        <v>14767</v>
      </c>
    </row>
    <row r="117" customFormat="false" ht="15" hidden="false" customHeight="false" outlineLevel="0" collapsed="false">
      <c r="A117" s="7" t="s">
        <v>837</v>
      </c>
      <c r="B117" s="7" t="s">
        <v>826</v>
      </c>
      <c r="C117" s="7" t="s">
        <v>827</v>
      </c>
      <c r="D117" s="30" t="n">
        <v>23298</v>
      </c>
    </row>
    <row r="118" customFormat="false" ht="15" hidden="false" customHeight="false" outlineLevel="0" collapsed="false">
      <c r="A118" s="7" t="s">
        <v>837</v>
      </c>
      <c r="B118" s="7" t="s">
        <v>112</v>
      </c>
      <c r="C118" s="7" t="s">
        <v>825</v>
      </c>
      <c r="D118" s="30" t="n">
        <v>14356</v>
      </c>
    </row>
    <row r="119" customFormat="false" ht="15" hidden="false" customHeight="false" outlineLevel="0" collapsed="false">
      <c r="A119" s="7" t="s">
        <v>837</v>
      </c>
      <c r="B119" s="7" t="s">
        <v>109</v>
      </c>
      <c r="C119" s="7" t="s">
        <v>825</v>
      </c>
      <c r="D119" s="30" t="n">
        <v>29181</v>
      </c>
    </row>
    <row r="120" customFormat="false" ht="15" hidden="false" customHeight="false" outlineLevel="0" collapsed="false">
      <c r="A120" s="7" t="s">
        <v>837</v>
      </c>
      <c r="B120" s="7" t="s">
        <v>120</v>
      </c>
      <c r="C120" s="7" t="s">
        <v>823</v>
      </c>
      <c r="D120" s="30" t="n">
        <v>25495</v>
      </c>
    </row>
    <row r="121" customFormat="false" ht="15" hidden="false" customHeight="false" outlineLevel="0" collapsed="false">
      <c r="A121" s="7" t="s">
        <v>837</v>
      </c>
      <c r="B121" s="7" t="s">
        <v>112</v>
      </c>
      <c r="C121" s="7" t="s">
        <v>829</v>
      </c>
      <c r="D121" s="30" t="n">
        <v>26666</v>
      </c>
    </row>
    <row r="122" customFormat="false" ht="15" hidden="false" customHeight="false" outlineLevel="0" collapsed="false">
      <c r="A122" s="7" t="s">
        <v>838</v>
      </c>
      <c r="B122" s="7" t="s">
        <v>120</v>
      </c>
      <c r="C122" s="7" t="s">
        <v>825</v>
      </c>
      <c r="D122" s="30" t="n">
        <v>13650</v>
      </c>
    </row>
    <row r="123" customFormat="false" ht="15" hidden="false" customHeight="false" outlineLevel="0" collapsed="false">
      <c r="A123" s="7" t="s">
        <v>838</v>
      </c>
      <c r="B123" s="7" t="s">
        <v>120</v>
      </c>
      <c r="C123" s="7" t="s">
        <v>827</v>
      </c>
      <c r="D123" s="30" t="n">
        <v>15937</v>
      </c>
    </row>
    <row r="124" customFormat="false" ht="15" hidden="false" customHeight="false" outlineLevel="0" collapsed="false">
      <c r="A124" s="7" t="s">
        <v>838</v>
      </c>
      <c r="B124" s="7" t="s">
        <v>109</v>
      </c>
      <c r="C124" s="7" t="s">
        <v>829</v>
      </c>
      <c r="D124" s="30" t="n">
        <v>14397</v>
      </c>
    </row>
    <row r="125" customFormat="false" ht="15" hidden="false" customHeight="false" outlineLevel="0" collapsed="false">
      <c r="A125" s="7" t="s">
        <v>838</v>
      </c>
      <c r="B125" s="7" t="s">
        <v>109</v>
      </c>
      <c r="C125" s="7" t="s">
        <v>823</v>
      </c>
      <c r="D125" s="30" t="n">
        <v>25180</v>
      </c>
    </row>
    <row r="126" customFormat="false" ht="15" hidden="false" customHeight="false" outlineLevel="0" collapsed="false">
      <c r="A126" s="7" t="s">
        <v>838</v>
      </c>
      <c r="B126" s="7" t="s">
        <v>112</v>
      </c>
      <c r="C126" s="7" t="s">
        <v>825</v>
      </c>
      <c r="D126" s="30" t="n">
        <v>26238</v>
      </c>
    </row>
    <row r="127" customFormat="false" ht="15" hidden="false" customHeight="false" outlineLevel="0" collapsed="false">
      <c r="A127" s="7" t="s">
        <v>838</v>
      </c>
      <c r="B127" s="7" t="s">
        <v>120</v>
      </c>
      <c r="C127" s="7" t="s">
        <v>827</v>
      </c>
      <c r="D127" s="30" t="n">
        <v>13205</v>
      </c>
    </row>
    <row r="128" customFormat="false" ht="15" hidden="false" customHeight="false" outlineLevel="0" collapsed="false">
      <c r="A128" s="7" t="s">
        <v>838</v>
      </c>
      <c r="B128" s="7" t="s">
        <v>109</v>
      </c>
      <c r="C128" s="7" t="s">
        <v>827</v>
      </c>
      <c r="D128" s="30" t="n">
        <v>22648</v>
      </c>
    </row>
    <row r="129" customFormat="false" ht="15" hidden="false" customHeight="false" outlineLevel="0" collapsed="false">
      <c r="A129" s="7" t="s">
        <v>838</v>
      </c>
      <c r="B129" s="7" t="s">
        <v>112</v>
      </c>
      <c r="C129" s="7" t="s">
        <v>825</v>
      </c>
      <c r="D129" s="30" t="n">
        <v>14988</v>
      </c>
    </row>
    <row r="130" customFormat="false" ht="15" hidden="false" customHeight="false" outlineLevel="0" collapsed="false">
      <c r="A130" s="7" t="s">
        <v>838</v>
      </c>
      <c r="B130" s="7" t="s">
        <v>112</v>
      </c>
      <c r="C130" s="7" t="s">
        <v>829</v>
      </c>
      <c r="D130" s="30" t="n">
        <v>14166</v>
      </c>
    </row>
    <row r="131" customFormat="false" ht="15" hidden="false" customHeight="false" outlineLevel="0" collapsed="false">
      <c r="A131" s="7" t="s">
        <v>838</v>
      </c>
      <c r="B131" s="7" t="s">
        <v>826</v>
      </c>
      <c r="C131" s="7" t="s">
        <v>829</v>
      </c>
      <c r="D131" s="30" t="n">
        <v>30633</v>
      </c>
    </row>
    <row r="132" customFormat="false" ht="15" hidden="false" customHeight="false" outlineLevel="0" collapsed="false">
      <c r="A132" s="7" t="s">
        <v>838</v>
      </c>
      <c r="B132" s="7" t="s">
        <v>109</v>
      </c>
      <c r="C132" s="7" t="s">
        <v>823</v>
      </c>
      <c r="D132" s="30" t="n">
        <v>26206</v>
      </c>
    </row>
    <row r="133" customFormat="false" ht="15" hidden="false" customHeight="false" outlineLevel="0" collapsed="false">
      <c r="A133" s="7" t="s">
        <v>838</v>
      </c>
      <c r="B133" s="7" t="s">
        <v>120</v>
      </c>
      <c r="C133" s="7" t="s">
        <v>827</v>
      </c>
      <c r="D133" s="30" t="n">
        <v>21159</v>
      </c>
    </row>
    <row r="134" customFormat="false" ht="15" hidden="false" customHeight="false" outlineLevel="0" collapsed="false">
      <c r="A134" s="7" t="s">
        <v>839</v>
      </c>
      <c r="B134" s="7" t="s">
        <v>120</v>
      </c>
      <c r="C134" s="7" t="s">
        <v>827</v>
      </c>
      <c r="D134" s="30" t="n">
        <v>29411</v>
      </c>
    </row>
    <row r="135" customFormat="false" ht="15" hidden="false" customHeight="false" outlineLevel="0" collapsed="false">
      <c r="A135" s="7" t="s">
        <v>839</v>
      </c>
      <c r="B135" s="7" t="s">
        <v>109</v>
      </c>
      <c r="C135" s="7" t="s">
        <v>827</v>
      </c>
      <c r="D135" s="30" t="n">
        <v>25604</v>
      </c>
    </row>
    <row r="136" customFormat="false" ht="15" hidden="false" customHeight="false" outlineLevel="0" collapsed="false">
      <c r="A136" s="7" t="s">
        <v>839</v>
      </c>
      <c r="B136" s="7" t="s">
        <v>109</v>
      </c>
      <c r="C136" s="7" t="s">
        <v>825</v>
      </c>
      <c r="D136" s="30" t="n">
        <v>19992</v>
      </c>
    </row>
    <row r="137" customFormat="false" ht="15" hidden="false" customHeight="false" outlineLevel="0" collapsed="false">
      <c r="A137" s="7" t="s">
        <v>839</v>
      </c>
      <c r="B137" s="7" t="s">
        <v>109</v>
      </c>
      <c r="C137" s="7" t="s">
        <v>825</v>
      </c>
      <c r="D137" s="30" t="n">
        <v>28312</v>
      </c>
    </row>
    <row r="138" customFormat="false" ht="15" hidden="false" customHeight="false" outlineLevel="0" collapsed="false">
      <c r="A138" s="7" t="s">
        <v>839</v>
      </c>
      <c r="B138" s="7" t="s">
        <v>120</v>
      </c>
      <c r="C138" s="7" t="s">
        <v>825</v>
      </c>
      <c r="D138" s="30" t="n">
        <v>29516</v>
      </c>
    </row>
    <row r="139" customFormat="false" ht="15" hidden="false" customHeight="false" outlineLevel="0" collapsed="false">
      <c r="A139" s="7" t="s">
        <v>839</v>
      </c>
      <c r="B139" s="7" t="s">
        <v>120</v>
      </c>
      <c r="C139" s="7" t="s">
        <v>829</v>
      </c>
      <c r="D139" s="30" t="n">
        <v>29376</v>
      </c>
    </row>
    <row r="140" customFormat="false" ht="15" hidden="false" customHeight="false" outlineLevel="0" collapsed="false">
      <c r="A140" s="7" t="s">
        <v>839</v>
      </c>
      <c r="B140" s="7" t="s">
        <v>109</v>
      </c>
      <c r="C140" s="7" t="s">
        <v>829</v>
      </c>
      <c r="D140" s="30" t="n">
        <v>25620</v>
      </c>
    </row>
    <row r="141" customFormat="false" ht="15" hidden="false" customHeight="false" outlineLevel="0" collapsed="false">
      <c r="A141" s="7" t="s">
        <v>839</v>
      </c>
      <c r="B141" s="7" t="s">
        <v>109</v>
      </c>
      <c r="C141" s="7" t="s">
        <v>829</v>
      </c>
      <c r="D141" s="30" t="n">
        <v>19692</v>
      </c>
    </row>
    <row r="142" customFormat="false" ht="15" hidden="false" customHeight="false" outlineLevel="0" collapsed="false">
      <c r="A142" s="7" t="s">
        <v>839</v>
      </c>
      <c r="B142" s="7" t="s">
        <v>112</v>
      </c>
      <c r="C142" s="7" t="s">
        <v>827</v>
      </c>
      <c r="D142" s="30" t="n">
        <v>28211</v>
      </c>
    </row>
    <row r="143" customFormat="false" ht="15" hidden="false" customHeight="false" outlineLevel="0" collapsed="false">
      <c r="A143" s="7" t="s">
        <v>839</v>
      </c>
      <c r="B143" s="7" t="s">
        <v>826</v>
      </c>
      <c r="C143" s="7" t="s">
        <v>829</v>
      </c>
      <c r="D143" s="30" t="n">
        <v>20468</v>
      </c>
    </row>
    <row r="144" customFormat="false" ht="15" hidden="false" customHeight="false" outlineLevel="0" collapsed="false">
      <c r="A144" s="7" t="s">
        <v>839</v>
      </c>
      <c r="B144" s="7" t="s">
        <v>109</v>
      </c>
      <c r="C144" s="7" t="s">
        <v>827</v>
      </c>
      <c r="D144" s="30" t="n">
        <v>31715</v>
      </c>
    </row>
    <row r="145" customFormat="false" ht="15" hidden="false" customHeight="false" outlineLevel="0" collapsed="false">
      <c r="A145" s="7" t="s">
        <v>839</v>
      </c>
      <c r="B145" s="7" t="s">
        <v>109</v>
      </c>
      <c r="C145" s="7" t="s">
        <v>829</v>
      </c>
      <c r="D145" s="30" t="n">
        <v>21824</v>
      </c>
    </row>
    <row r="146" customFormat="false" ht="15" hidden="false" customHeight="false" outlineLevel="0" collapsed="false">
      <c r="A146" s="7" t="s">
        <v>840</v>
      </c>
      <c r="B146" s="7" t="s">
        <v>826</v>
      </c>
      <c r="C146" s="7" t="s">
        <v>827</v>
      </c>
      <c r="D146" s="30" t="n">
        <v>14151</v>
      </c>
    </row>
    <row r="147" customFormat="false" ht="15" hidden="false" customHeight="false" outlineLevel="0" collapsed="false">
      <c r="A147" s="7" t="s">
        <v>840</v>
      </c>
      <c r="B147" s="7" t="s">
        <v>109</v>
      </c>
      <c r="C147" s="7" t="s">
        <v>829</v>
      </c>
      <c r="D147" s="30" t="n">
        <v>29194</v>
      </c>
    </row>
    <row r="148" customFormat="false" ht="15" hidden="false" customHeight="false" outlineLevel="0" collapsed="false">
      <c r="A148" s="7" t="s">
        <v>840</v>
      </c>
      <c r="B148" s="7" t="s">
        <v>112</v>
      </c>
      <c r="C148" s="7" t="s">
        <v>827</v>
      </c>
      <c r="D148" s="30" t="n">
        <v>17187</v>
      </c>
    </row>
    <row r="149" customFormat="false" ht="15" hidden="false" customHeight="false" outlineLevel="0" collapsed="false">
      <c r="A149" s="7" t="s">
        <v>840</v>
      </c>
      <c r="B149" s="7" t="s">
        <v>109</v>
      </c>
      <c r="C149" s="7" t="s">
        <v>829</v>
      </c>
      <c r="D149" s="30" t="n">
        <v>20001</v>
      </c>
    </row>
    <row r="150" customFormat="false" ht="15" hidden="false" customHeight="false" outlineLevel="0" collapsed="false">
      <c r="A150" s="7" t="s">
        <v>840</v>
      </c>
      <c r="B150" s="7" t="s">
        <v>120</v>
      </c>
      <c r="C150" s="7" t="s">
        <v>823</v>
      </c>
      <c r="D150" s="30" t="n">
        <v>27620</v>
      </c>
    </row>
    <row r="151" customFormat="false" ht="15" hidden="false" customHeight="false" outlineLevel="0" collapsed="false">
      <c r="A151" s="7" t="s">
        <v>840</v>
      </c>
      <c r="B151" s="7" t="s">
        <v>120</v>
      </c>
      <c r="C151" s="7" t="s">
        <v>825</v>
      </c>
      <c r="D151" s="30" t="n">
        <v>13339</v>
      </c>
    </row>
    <row r="152" customFormat="false" ht="15" hidden="false" customHeight="false" outlineLevel="0" collapsed="false">
      <c r="A152" s="7" t="s">
        <v>840</v>
      </c>
      <c r="B152" s="7" t="s">
        <v>826</v>
      </c>
      <c r="C152" s="7" t="s">
        <v>827</v>
      </c>
      <c r="D152" s="30" t="n">
        <v>14166</v>
      </c>
    </row>
    <row r="153" customFormat="false" ht="15" hidden="false" customHeight="false" outlineLevel="0" collapsed="false">
      <c r="A153" s="7" t="s">
        <v>840</v>
      </c>
      <c r="B153" s="7" t="s">
        <v>112</v>
      </c>
      <c r="C153" s="7" t="s">
        <v>823</v>
      </c>
      <c r="D153" s="30" t="n">
        <v>21052</v>
      </c>
    </row>
    <row r="154" customFormat="false" ht="15" hidden="false" customHeight="false" outlineLevel="0" collapsed="false">
      <c r="A154" s="7" t="s">
        <v>840</v>
      </c>
      <c r="B154" s="7" t="s">
        <v>109</v>
      </c>
      <c r="C154" s="7" t="s">
        <v>827</v>
      </c>
      <c r="D154" s="30" t="n">
        <v>16729</v>
      </c>
    </row>
    <row r="155" customFormat="false" ht="15" hidden="false" customHeight="false" outlineLevel="0" collapsed="false">
      <c r="A155" s="7" t="s">
        <v>840</v>
      </c>
      <c r="B155" s="7" t="s">
        <v>120</v>
      </c>
      <c r="C155" s="7" t="s">
        <v>823</v>
      </c>
      <c r="D155" s="30" t="n">
        <v>25628</v>
      </c>
    </row>
    <row r="156" customFormat="false" ht="15" hidden="false" customHeight="false" outlineLevel="0" collapsed="false">
      <c r="A156" s="7" t="s">
        <v>840</v>
      </c>
      <c r="B156" s="7" t="s">
        <v>109</v>
      </c>
      <c r="C156" s="7" t="s">
        <v>827</v>
      </c>
      <c r="D156" s="30" t="n">
        <v>19551</v>
      </c>
    </row>
    <row r="157" customFormat="false" ht="15" hidden="false" customHeight="false" outlineLevel="0" collapsed="false">
      <c r="A157" s="7" t="s">
        <v>840</v>
      </c>
      <c r="B157" s="7" t="s">
        <v>826</v>
      </c>
      <c r="C157" s="7" t="s">
        <v>823</v>
      </c>
      <c r="D157" s="30" t="n">
        <v>22240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841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842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843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9" customFormat="false" ht="15" hidden="false" customHeight="false" outlineLevel="0" collapsed="false">
      <c r="A9" s="10" t="s">
        <v>103</v>
      </c>
      <c r="B9" s="10" t="s">
        <v>844</v>
      </c>
      <c r="D9" s="10" t="s">
        <v>820</v>
      </c>
      <c r="E9" s="10" t="s">
        <v>844</v>
      </c>
    </row>
    <row r="10" customFormat="false" ht="15" hidden="false" customHeight="false" outlineLevel="0" collapsed="false">
      <c r="A10" s="13" t="s">
        <v>109</v>
      </c>
      <c r="B10" s="17"/>
      <c r="D10" s="13" t="s">
        <v>822</v>
      </c>
      <c r="E10" s="17"/>
    </row>
    <row r="11" customFormat="false" ht="15" hidden="false" customHeight="false" outlineLevel="0" collapsed="false">
      <c r="A11" s="13" t="s">
        <v>826</v>
      </c>
      <c r="B11" s="17"/>
      <c r="D11" s="13" t="s">
        <v>830</v>
      </c>
      <c r="E11" s="17"/>
    </row>
    <row r="12" customFormat="false" ht="15" hidden="false" customHeight="false" outlineLevel="0" collapsed="false">
      <c r="A12" s="13" t="s">
        <v>120</v>
      </c>
      <c r="B12" s="17"/>
      <c r="D12" s="13" t="s">
        <v>831</v>
      </c>
      <c r="E12" s="17"/>
    </row>
    <row r="13" customFormat="false" ht="15" hidden="false" customHeight="false" outlineLevel="0" collapsed="false">
      <c r="A13" s="13" t="s">
        <v>112</v>
      </c>
      <c r="B13" s="17"/>
      <c r="D13" s="13" t="s">
        <v>832</v>
      </c>
      <c r="E13" s="17"/>
    </row>
    <row r="14" customFormat="false" ht="15" hidden="false" customHeight="false" outlineLevel="0" collapsed="false">
      <c r="A14" s="11" t="s">
        <v>845</v>
      </c>
      <c r="B14" s="17"/>
      <c r="D14" s="13" t="s">
        <v>833</v>
      </c>
      <c r="E14" s="17"/>
    </row>
    <row r="15" customFormat="false" ht="15" hidden="false" customHeight="false" outlineLevel="0" collapsed="false">
      <c r="D15" s="13" t="s">
        <v>834</v>
      </c>
      <c r="E15" s="17"/>
    </row>
    <row r="16" customFormat="false" ht="15" hidden="false" customHeight="false" outlineLevel="0" collapsed="false">
      <c r="D16" s="13" t="s">
        <v>835</v>
      </c>
      <c r="E16" s="17"/>
    </row>
    <row r="17" customFormat="false" ht="15" hidden="false" customHeight="false" outlineLevel="0" collapsed="false">
      <c r="D17" s="13" t="s">
        <v>836</v>
      </c>
      <c r="E17" s="17"/>
    </row>
    <row r="18" customFormat="false" ht="15" hidden="false" customHeight="false" outlineLevel="0" collapsed="false">
      <c r="D18" s="13" t="s">
        <v>837</v>
      </c>
      <c r="E18" s="17"/>
    </row>
    <row r="19" customFormat="false" ht="15" hidden="false" customHeight="false" outlineLevel="0" collapsed="false">
      <c r="D19" s="13" t="s">
        <v>838</v>
      </c>
      <c r="E19" s="17"/>
    </row>
    <row r="20" customFormat="false" ht="15" hidden="false" customHeight="false" outlineLevel="0" collapsed="false">
      <c r="D20" s="13" t="s">
        <v>839</v>
      </c>
      <c r="E20" s="17"/>
    </row>
    <row r="21" customFormat="false" ht="15" hidden="false" customHeight="false" outlineLevel="0" collapsed="false">
      <c r="D21" s="13" t="s">
        <v>840</v>
      </c>
      <c r="E21" s="17"/>
    </row>
    <row r="22" customFormat="false" ht="15" hidden="false" customHeight="false" outlineLevel="0" collapsed="false">
      <c r="D22" s="11" t="s">
        <v>845</v>
      </c>
      <c r="E22" s="17"/>
    </row>
    <row r="24" customFormat="false" ht="27.75" hidden="false" customHeight="true" outlineLevel="0" collapsed="false">
      <c r="A24" s="39" t="s">
        <v>846</v>
      </c>
      <c r="B24" s="39"/>
      <c r="C24" s="39"/>
      <c r="D24" s="39"/>
      <c r="E24" s="39"/>
      <c r="F24" s="39"/>
    </row>
    <row r="25" customFormat="false" ht="39.75" hidden="false" customHeight="true" outlineLevel="0" collapsed="false">
      <c r="A25" s="18"/>
      <c r="B25" s="18"/>
      <c r="C25" s="18"/>
      <c r="D25" s="18"/>
      <c r="E25" s="18"/>
      <c r="F25" s="18"/>
    </row>
    <row r="26" customFormat="false" ht="27.75" hidden="false" customHeight="true" outlineLevel="0" collapsed="false">
      <c r="A26" s="39" t="s">
        <v>847</v>
      </c>
      <c r="B26" s="39"/>
      <c r="C26" s="39"/>
      <c r="D26" s="39"/>
      <c r="E26" s="39"/>
      <c r="F26" s="39"/>
    </row>
    <row r="27" customFormat="false" ht="39.75" hidden="false" customHeight="true" outlineLevel="0" collapsed="false">
      <c r="A27" s="18"/>
      <c r="B27" s="18"/>
      <c r="C27" s="18"/>
      <c r="D27" s="18"/>
      <c r="E27" s="18"/>
      <c r="F27" s="18"/>
    </row>
    <row r="28" customFormat="false" ht="27.75" hidden="false" customHeight="true" outlineLevel="0" collapsed="false">
      <c r="A28" s="39" t="s">
        <v>848</v>
      </c>
      <c r="B28" s="39"/>
      <c r="C28" s="39"/>
      <c r="D28" s="39"/>
      <c r="E28" s="39"/>
      <c r="F28" s="39"/>
    </row>
    <row r="29" customFormat="false" ht="39.75" hidden="false" customHeight="true" outlineLevel="0" collapsed="false">
      <c r="A29" s="18"/>
      <c r="B29" s="18"/>
      <c r="C29" s="18"/>
      <c r="D29" s="18"/>
      <c r="E29" s="18"/>
      <c r="F29" s="18"/>
    </row>
    <row r="30" customFormat="false" ht="27.75" hidden="false" customHeight="true" outlineLevel="0" collapsed="false">
      <c r="A30" s="39" t="s">
        <v>849</v>
      </c>
      <c r="B30" s="39"/>
      <c r="C30" s="39"/>
      <c r="D30" s="39"/>
      <c r="E30" s="39"/>
      <c r="F30" s="39"/>
    </row>
    <row r="31" customFormat="false" ht="39.75" hidden="false" customHeight="true" outlineLevel="0" collapsed="false">
      <c r="A31" s="18"/>
      <c r="B31" s="18"/>
      <c r="C31" s="18"/>
      <c r="D31" s="18"/>
      <c r="E31" s="18"/>
      <c r="F31" s="18"/>
    </row>
    <row r="32" customFormat="false" ht="27.75" hidden="false" customHeight="true" outlineLevel="0" collapsed="false">
      <c r="A32" s="39" t="s">
        <v>850</v>
      </c>
      <c r="B32" s="39"/>
      <c r="C32" s="39"/>
      <c r="D32" s="39"/>
      <c r="E32" s="39"/>
      <c r="F32" s="39"/>
    </row>
    <row r="33" customFormat="false" ht="39.75" hidden="false" customHeight="true" outlineLevel="0" collapsed="false">
      <c r="A33" s="18"/>
      <c r="B33" s="18"/>
      <c r="C33" s="18"/>
      <c r="D33" s="18"/>
      <c r="E33" s="18"/>
      <c r="F33" s="18"/>
    </row>
  </sheetData>
  <mergeCells count="13">
    <mergeCell ref="A1:F1"/>
    <mergeCell ref="A2:F2"/>
    <mergeCell ref="A4:F7"/>
    <mergeCell ref="A24:F24"/>
    <mergeCell ref="A25:F25"/>
    <mergeCell ref="A26:F26"/>
    <mergeCell ref="A27:F27"/>
    <mergeCell ref="A28:F28"/>
    <mergeCell ref="A29:F29"/>
    <mergeCell ref="A30:F30"/>
    <mergeCell ref="A31:F31"/>
    <mergeCell ref="A32:F32"/>
    <mergeCell ref="A33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6" min="3" style="0" width="24"/>
    <col collapsed="false" customWidth="true" hidden="false" outlineLevel="0" max="7" min="7" style="0" width="9"/>
    <col collapsed="false" customWidth="true" hidden="false" outlineLevel="0" max="8" min="8" style="0" width="46"/>
  </cols>
  <sheetData>
    <row r="1" customFormat="false" ht="25.5" hidden="false" customHeight="true" outlineLevel="0" collapsed="false">
      <c r="A1" s="1" t="s">
        <v>851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852</v>
      </c>
      <c r="B2" s="2"/>
      <c r="C2" s="2"/>
      <c r="D2" s="2"/>
      <c r="E2" s="2"/>
      <c r="F2" s="2"/>
      <c r="G2" s="2"/>
      <c r="H2" s="2"/>
    </row>
    <row r="4" customFormat="false" ht="15" hidden="false" customHeight="true" outlineLevel="0" collapsed="false">
      <c r="A4" s="3" t="s">
        <v>853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</row>
    <row r="9" customFormat="false" ht="23.85" hidden="false" customHeight="false" outlineLevel="0" collapsed="false">
      <c r="A9" s="10" t="s">
        <v>854</v>
      </c>
      <c r="B9" s="10" t="s">
        <v>855</v>
      </c>
      <c r="C9" s="10" t="s">
        <v>856</v>
      </c>
      <c r="D9" s="10" t="s">
        <v>857</v>
      </c>
      <c r="E9" s="10" t="s">
        <v>858</v>
      </c>
      <c r="F9" s="10" t="s">
        <v>859</v>
      </c>
      <c r="G9" s="10" t="s">
        <v>860</v>
      </c>
      <c r="H9" s="10" t="s">
        <v>861</v>
      </c>
    </row>
    <row r="10" customFormat="false" ht="43.5" hidden="false" customHeight="true" outlineLevel="0" collapsed="false">
      <c r="A10" s="13" t="n">
        <v>1</v>
      </c>
      <c r="B10" s="12" t="s">
        <v>862</v>
      </c>
      <c r="C10" s="12" t="s">
        <v>863</v>
      </c>
      <c r="D10" s="12" t="s">
        <v>864</v>
      </c>
      <c r="E10" s="12" t="s">
        <v>865</v>
      </c>
      <c r="F10" s="12" t="s">
        <v>866</v>
      </c>
      <c r="G10" s="41"/>
      <c r="H10" s="18"/>
    </row>
    <row r="11" customFormat="false" ht="43.5" hidden="false" customHeight="true" outlineLevel="0" collapsed="false">
      <c r="A11" s="13" t="n">
        <v>2</v>
      </c>
      <c r="B11" s="12" t="s">
        <v>867</v>
      </c>
      <c r="C11" s="12" t="s">
        <v>868</v>
      </c>
      <c r="D11" s="12" t="s">
        <v>869</v>
      </c>
      <c r="E11" s="12" t="s">
        <v>870</v>
      </c>
      <c r="F11" s="12" t="s">
        <v>871</v>
      </c>
      <c r="G11" s="41"/>
      <c r="H11" s="18"/>
    </row>
    <row r="12" customFormat="false" ht="43.5" hidden="false" customHeight="true" outlineLevel="0" collapsed="false">
      <c r="A12" s="13" t="n">
        <v>3</v>
      </c>
      <c r="B12" s="12" t="s">
        <v>872</v>
      </c>
      <c r="C12" s="12" t="s">
        <v>873</v>
      </c>
      <c r="D12" s="12" t="s">
        <v>874</v>
      </c>
      <c r="E12" s="12" t="s">
        <v>875</v>
      </c>
      <c r="F12" s="12" t="s">
        <v>876</v>
      </c>
      <c r="G12" s="41"/>
      <c r="H12" s="18"/>
    </row>
    <row r="13" customFormat="false" ht="43.5" hidden="false" customHeight="true" outlineLevel="0" collapsed="false">
      <c r="A13" s="13" t="n">
        <v>4</v>
      </c>
      <c r="B13" s="12" t="s">
        <v>877</v>
      </c>
      <c r="C13" s="12" t="s">
        <v>878</v>
      </c>
      <c r="D13" s="12" t="s">
        <v>879</v>
      </c>
      <c r="E13" s="12" t="s">
        <v>880</v>
      </c>
      <c r="F13" s="12" t="s">
        <v>881</v>
      </c>
      <c r="G13" s="41"/>
      <c r="H13" s="18"/>
    </row>
    <row r="14" customFormat="false" ht="43.5" hidden="false" customHeight="true" outlineLevel="0" collapsed="false">
      <c r="A14" s="13" t="n">
        <v>5</v>
      </c>
      <c r="B14" s="12" t="s">
        <v>882</v>
      </c>
      <c r="C14" s="12" t="s">
        <v>883</v>
      </c>
      <c r="D14" s="12" t="s">
        <v>884</v>
      </c>
      <c r="E14" s="12" t="s">
        <v>885</v>
      </c>
      <c r="F14" s="12" t="s">
        <v>886</v>
      </c>
      <c r="G14" s="41"/>
      <c r="H14" s="18"/>
    </row>
    <row r="15" customFormat="false" ht="43.5" hidden="false" customHeight="true" outlineLevel="0" collapsed="false">
      <c r="A15" s="13" t="n">
        <v>6</v>
      </c>
      <c r="B15" s="12" t="s">
        <v>887</v>
      </c>
      <c r="C15" s="12" t="s">
        <v>888</v>
      </c>
      <c r="D15" s="12" t="s">
        <v>889</v>
      </c>
      <c r="E15" s="12" t="s">
        <v>890</v>
      </c>
      <c r="F15" s="12" t="s">
        <v>891</v>
      </c>
      <c r="G15" s="41"/>
      <c r="H15" s="18"/>
    </row>
    <row r="16" customFormat="false" ht="43.5" hidden="false" customHeight="true" outlineLevel="0" collapsed="false">
      <c r="A16" s="13" t="n">
        <v>7</v>
      </c>
      <c r="B16" s="12" t="s">
        <v>892</v>
      </c>
      <c r="C16" s="12" t="s">
        <v>893</v>
      </c>
      <c r="D16" s="12" t="s">
        <v>894</v>
      </c>
      <c r="E16" s="12" t="s">
        <v>895</v>
      </c>
      <c r="F16" s="12" t="s">
        <v>896</v>
      </c>
      <c r="G16" s="41"/>
      <c r="H16" s="18"/>
    </row>
    <row r="17" customFormat="false" ht="43.5" hidden="false" customHeight="true" outlineLevel="0" collapsed="false">
      <c r="A17" s="13" t="n">
        <v>8</v>
      </c>
      <c r="B17" s="12" t="s">
        <v>897</v>
      </c>
      <c r="C17" s="12" t="s">
        <v>898</v>
      </c>
      <c r="D17" s="12" t="s">
        <v>899</v>
      </c>
      <c r="E17" s="12" t="s">
        <v>900</v>
      </c>
      <c r="F17" s="12" t="s">
        <v>901</v>
      </c>
      <c r="G17" s="41"/>
      <c r="H17" s="18"/>
    </row>
    <row r="18" customFormat="false" ht="43.5" hidden="false" customHeight="true" outlineLevel="0" collapsed="false">
      <c r="A18" s="13" t="n">
        <v>9</v>
      </c>
      <c r="B18" s="12" t="s">
        <v>902</v>
      </c>
      <c r="C18" s="12" t="s">
        <v>903</v>
      </c>
      <c r="D18" s="12" t="s">
        <v>904</v>
      </c>
      <c r="E18" s="12" t="s">
        <v>905</v>
      </c>
      <c r="F18" s="12" t="s">
        <v>906</v>
      </c>
      <c r="G18" s="41"/>
      <c r="H18" s="18"/>
    </row>
    <row r="19" customFormat="false" ht="43.5" hidden="false" customHeight="true" outlineLevel="0" collapsed="false">
      <c r="A19" s="13" t="n">
        <v>10</v>
      </c>
      <c r="B19" s="12" t="s">
        <v>907</v>
      </c>
      <c r="C19" s="12" t="s">
        <v>908</v>
      </c>
      <c r="D19" s="12" t="s">
        <v>909</v>
      </c>
      <c r="E19" s="12" t="s">
        <v>910</v>
      </c>
      <c r="F19" s="12" t="s">
        <v>911</v>
      </c>
      <c r="G19" s="41"/>
      <c r="H19" s="18"/>
    </row>
    <row r="20" customFormat="false" ht="43.5" hidden="false" customHeight="true" outlineLevel="0" collapsed="false">
      <c r="A20" s="13" t="n">
        <v>11</v>
      </c>
      <c r="B20" s="12" t="s">
        <v>912</v>
      </c>
      <c r="C20" s="12" t="s">
        <v>913</v>
      </c>
      <c r="D20" s="12" t="s">
        <v>914</v>
      </c>
      <c r="E20" s="12" t="s">
        <v>915</v>
      </c>
      <c r="F20" s="12" t="s">
        <v>916</v>
      </c>
      <c r="G20" s="41"/>
      <c r="H20" s="18"/>
    </row>
    <row r="21" customFormat="false" ht="43.5" hidden="false" customHeight="true" outlineLevel="0" collapsed="false">
      <c r="A21" s="13" t="n">
        <v>12</v>
      </c>
      <c r="B21" s="12" t="s">
        <v>917</v>
      </c>
      <c r="C21" s="12" t="s">
        <v>680</v>
      </c>
      <c r="D21" s="12" t="s">
        <v>682</v>
      </c>
      <c r="E21" s="12" t="s">
        <v>918</v>
      </c>
      <c r="F21" s="12" t="s">
        <v>919</v>
      </c>
      <c r="G21" s="41"/>
      <c r="H21" s="18"/>
    </row>
    <row r="22" customFormat="false" ht="43.5" hidden="false" customHeight="true" outlineLevel="0" collapsed="false">
      <c r="A22" s="13" t="n">
        <v>13</v>
      </c>
      <c r="B22" s="12" t="s">
        <v>920</v>
      </c>
      <c r="C22" s="12" t="s">
        <v>921</v>
      </c>
      <c r="D22" s="12" t="s">
        <v>922</v>
      </c>
      <c r="E22" s="12" t="s">
        <v>923</v>
      </c>
      <c r="F22" s="12" t="s">
        <v>924</v>
      </c>
      <c r="G22" s="41"/>
      <c r="H22" s="18"/>
    </row>
    <row r="23" customFormat="false" ht="43.5" hidden="false" customHeight="true" outlineLevel="0" collapsed="false">
      <c r="A23" s="13" t="n">
        <v>14</v>
      </c>
      <c r="B23" s="12" t="s">
        <v>925</v>
      </c>
      <c r="C23" s="12" t="s">
        <v>926</v>
      </c>
      <c r="D23" s="12" t="s">
        <v>927</v>
      </c>
      <c r="E23" s="12" t="s">
        <v>928</v>
      </c>
      <c r="F23" s="12" t="s">
        <v>929</v>
      </c>
      <c r="G23" s="41"/>
      <c r="H23" s="18"/>
    </row>
    <row r="24" customFormat="false" ht="43.5" hidden="false" customHeight="true" outlineLevel="0" collapsed="false">
      <c r="A24" s="13" t="n">
        <v>15</v>
      </c>
      <c r="B24" s="12" t="s">
        <v>930</v>
      </c>
      <c r="C24" s="12" t="s">
        <v>931</v>
      </c>
      <c r="D24" s="12" t="s">
        <v>932</v>
      </c>
      <c r="E24" s="12" t="s">
        <v>933</v>
      </c>
      <c r="F24" s="12" t="s">
        <v>934</v>
      </c>
      <c r="G24" s="41"/>
      <c r="H24" s="18"/>
    </row>
    <row r="25" customFormat="false" ht="43.5" hidden="false" customHeight="true" outlineLevel="0" collapsed="false">
      <c r="A25" s="13" t="n">
        <v>16</v>
      </c>
      <c r="B25" s="12" t="s">
        <v>935</v>
      </c>
      <c r="C25" s="12" t="s">
        <v>936</v>
      </c>
      <c r="D25" s="12" t="s">
        <v>937</v>
      </c>
      <c r="E25" s="12" t="s">
        <v>938</v>
      </c>
      <c r="F25" s="12" t="s">
        <v>939</v>
      </c>
      <c r="G25" s="41"/>
      <c r="H25" s="18"/>
    </row>
    <row r="26" customFormat="false" ht="43.5" hidden="false" customHeight="true" outlineLevel="0" collapsed="false">
      <c r="A26" s="13" t="n">
        <v>17</v>
      </c>
      <c r="B26" s="12" t="s">
        <v>940</v>
      </c>
      <c r="C26" s="12" t="s">
        <v>941</v>
      </c>
      <c r="D26" s="12" t="s">
        <v>942</v>
      </c>
      <c r="E26" s="12" t="s">
        <v>943</v>
      </c>
      <c r="F26" s="12" t="s">
        <v>944</v>
      </c>
      <c r="G26" s="41"/>
      <c r="H26" s="18"/>
    </row>
    <row r="27" customFormat="false" ht="43.5" hidden="false" customHeight="true" outlineLevel="0" collapsed="false">
      <c r="A27" s="13" t="n">
        <v>18</v>
      </c>
      <c r="B27" s="12" t="s">
        <v>945</v>
      </c>
      <c r="C27" s="12" t="s">
        <v>946</v>
      </c>
      <c r="D27" s="12" t="s">
        <v>947</v>
      </c>
      <c r="E27" s="12" t="s">
        <v>948</v>
      </c>
      <c r="F27" s="12" t="s">
        <v>949</v>
      </c>
      <c r="G27" s="41"/>
      <c r="H27" s="18"/>
    </row>
    <row r="28" customFormat="false" ht="43.5" hidden="false" customHeight="true" outlineLevel="0" collapsed="false">
      <c r="A28" s="13" t="n">
        <v>19</v>
      </c>
      <c r="B28" s="12" t="s">
        <v>950</v>
      </c>
      <c r="C28" s="12" t="s">
        <v>951</v>
      </c>
      <c r="D28" s="12" t="s">
        <v>952</v>
      </c>
      <c r="E28" s="12" t="s">
        <v>953</v>
      </c>
      <c r="F28" s="12" t="s">
        <v>954</v>
      </c>
      <c r="G28" s="41"/>
      <c r="H28" s="18"/>
    </row>
    <row r="29" customFormat="false" ht="43.5" hidden="false" customHeight="true" outlineLevel="0" collapsed="false">
      <c r="A29" s="13" t="n">
        <v>20</v>
      </c>
      <c r="B29" s="12" t="s">
        <v>955</v>
      </c>
      <c r="C29" s="12" t="s">
        <v>956</v>
      </c>
      <c r="D29" s="12" t="s">
        <v>957</v>
      </c>
      <c r="E29" s="12" t="s">
        <v>895</v>
      </c>
      <c r="F29" s="12" t="s">
        <v>949</v>
      </c>
      <c r="G29" s="41"/>
      <c r="H29" s="18"/>
    </row>
    <row r="31" customFormat="false" ht="15" hidden="false" customHeight="false" outlineLevel="0" collapsed="false">
      <c r="B31" s="42" t="s">
        <v>958</v>
      </c>
    </row>
  </sheetData>
  <mergeCells count="3">
    <mergeCell ref="A1:H1"/>
    <mergeCell ref="A2:H2"/>
    <mergeCell ref="A4:H7"/>
  </mergeCells>
  <dataValidations count="1">
    <dataValidation allowBlank="true" errorStyle="stop" operator="between" showDropDown="false" showErrorMessage="false" showInputMessage="false" sqref="G10:G29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2026-10-02T18:09:44Z</dcterms:created>
  <dc:creator>openpyxl</dc:creator>
  <dc:description/>
  <dc:language>en-US</dc:language>
  <cp:lastModifiedBy/>
  <dcterms:modified xsi:type="dcterms:W3CDTF">2026-10-02T18:09:44Z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