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hlga\OneDrive\Desktop\AML\USA Batch - D8.30PM\Case Study\Small Case study 3\"/>
    </mc:Choice>
  </mc:AlternateContent>
  <xr:revisionPtr revIDLastSave="0" documentId="13_ncr:1_{5F47D1EB-82C2-4383-8EA1-A7B0A47F5166}" xr6:coauthVersionLast="47" xr6:coauthVersionMax="47" xr10:uidLastSave="{00000000-0000-0000-0000-000000000000}"/>
  <bookViews>
    <workbookView xWindow="-108" yWindow="-108" windowWidth="23256" windowHeight="12456" tabRatio="869" firstSheet="3" activeTab="5"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_xlnm._FilterDatabase" localSheetId="5" hidden="1">Transactions!$A$1:$AB$23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4" l="1"/>
  <c r="D3" i="4" s="1"/>
  <c r="E10" i="5"/>
  <c r="D10" i="5"/>
  <c r="D17" i="4" l="1"/>
  <c r="D18" i="4" s="1"/>
  <c r="D19" i="4" s="1"/>
  <c r="D20" i="4" s="1"/>
  <c r="D21" i="4" s="1"/>
  <c r="D22" i="4" s="1"/>
  <c r="D23" i="4" s="1"/>
  <c r="D4" i="4"/>
  <c r="D5" i="4"/>
  <c r="D6" i="4" s="1"/>
  <c r="D7" i="4" s="1"/>
  <c r="D8" i="4" s="1"/>
  <c r="D9" i="4" s="1"/>
  <c r="D10" i="4" s="1"/>
  <c r="D11" i="4" s="1"/>
  <c r="D12" i="4" s="1"/>
  <c r="D13" i="4" s="1"/>
  <c r="D14" i="4" s="1"/>
  <c r="D1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<sst xmlns="http://schemas.openxmlformats.org/spreadsheetml/2006/main" count="751" uniqueCount="465">
  <si>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</si>
  <si>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</si>
  <si>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</si>
  <si>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</si>
  <si>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</si>
  <si>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</si>
  <si>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</si>
  <si>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</si>
  <si>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</si>
  <si>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</si>
  <si>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</si>
  <si>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</si>
  <si>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</si>
  <si>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</si>
  <si>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</si>
  <si>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</si>
  <si>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</si>
  <si>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</si>
  <si>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</si>
  <si>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</si>
  <si>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</si>
  <si>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</si>
  <si>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</si>
  <si>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</si>
  <si>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</si>
  <si>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</si>
  <si>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</si>
  <si>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</si>
  <si>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</si>
  <si>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</si>
  <si>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</si>
  <si>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</si>
  <si>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</si>
  <si>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</si>
  <si>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</si>
  <si>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</si>
  <si>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</si>
  <si>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</si>
  <si>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</si>
  <si>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</si>
  <si>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</si>
  <si>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</si>
  <si>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</si>
  <si>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</si>
  <si>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</si>
  <si>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</si>
  <si>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</si>
  <si>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</si>
  <si>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</si>
  <si>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</si>
  <si>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</si>
  <si>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</si>
  <si>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</si>
  <si>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</si>
  <si>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</si>
  <si>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</si>
  <si>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</si>
  <si>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</si>
  <si>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</si>
  <si>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</si>
  <si>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</si>
  <si>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Untagged</t>
  </si>
  <si>
    <t>C</t>
  </si>
  <si>
    <t>Wells Fargo</t>
  </si>
  <si>
    <t>Citibank</t>
  </si>
  <si>
    <t>PNC Bank</t>
  </si>
  <si>
    <t>Bank of America</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</si>
  <si>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</si>
  <si>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</si>
  <si>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</si>
  <si>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</si>
  <si>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</si>
  <si>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</si>
  <si>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</si>
  <si>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</si>
  <si>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</si>
  <si>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</si>
  <si>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</si>
  <si>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</si>
  <si>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</si>
  <si>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</si>
  <si>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</si>
  <si>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</si>
  <si>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</si>
  <si>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</si>
  <si>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</si>
  <si>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</si>
  <si>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</si>
  <si>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</si>
  <si>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</si>
  <si>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</si>
  <si>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</si>
  <si>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</si>
  <si>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</si>
  <si>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</si>
  <si>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</si>
  <si>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</si>
  <si>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</si>
  <si>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</si>
  <si>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</si>
  <si>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</si>
  <si>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</si>
  <si>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</si>
  <si>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</si>
  <si>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</si>
  <si>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</si>
  <si>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</si>
  <si>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</si>
  <si>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</si>
  <si>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</si>
  <si>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</si>
  <si>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</si>
  <si>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</si>
  <si>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</si>
  <si>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</si>
  <si>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</si>
  <si>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</si>
  <si>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</si>
  <si>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</si>
  <si>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</si>
  <si>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</si>
  <si>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</si>
  <si>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</si>
  <si>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</si>
  <si>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</si>
  <si>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</si>
  <si>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</si>
  <si>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</si>
  <si>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</si>
  <si>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</si>
  <si>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</si>
  <si>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</si>
  <si>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</si>
  <si>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</si>
  <si>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</si>
  <si>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</si>
  <si>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</si>
  <si>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</si>
  <si>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</si>
  <si>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</si>
  <si>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</si>
  <si>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</si>
  <si>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</si>
  <si>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</si>
  <si>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</si>
  <si>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</si>
  <si>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</si>
  <si>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</si>
  <si>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</si>
  <si>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</si>
  <si>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</si>
  <si>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</si>
  <si>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</si>
  <si>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</si>
  <si>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</si>
  <si>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</si>
  <si>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</si>
  <si>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</si>
  <si>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</si>
  <si>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</si>
  <si>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</si>
  <si>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</si>
  <si>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</si>
  <si>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</si>
  <si>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</si>
  <si>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</si>
  <si>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</si>
  <si>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</si>
  <si>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</si>
  <si>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</si>
  <si>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</si>
  <si>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</si>
  <si>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</si>
  <si>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</si>
  <si>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</si>
  <si>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</si>
  <si>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</si>
  <si>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</si>
  <si>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</si>
  <si>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</si>
  <si>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</si>
  <si>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</si>
  <si>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</si>
  <si>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</si>
  <si>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Review originator and beneficiary names, addresses, banks, account numbers, countries, and comments. Compare wire details to Transactions and assess vague, inconsistent, repeated, or unsupported purposes.</t>
  </si>
  <si>
    <t>Support_Docs</t>
  </si>
  <si>
    <t>Supporting documents</t>
  </si>
  <si>
    <t>Review the payment advices and the documentation review result. Compare beneficiaries, dates, amounts, narrations and account information to the transaction records; record where no supporting documentation is held.</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</si>
  <si>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</si>
  <si>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</si>
  <si>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</si>
  <si>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</si>
  <si>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</si>
  <si>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</si>
  <si>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</si>
  <si>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</si>
  <si>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</si>
  <si>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</si>
  <si>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</si>
  <si>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</si>
  <si>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</si>
  <si>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</si>
  <si>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</si>
  <si>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</si>
  <si>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</si>
  <si>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</si>
  <si>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</si>
  <si>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</si>
  <si>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</si>
  <si>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</si>
  <si>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</si>
  <si>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</si>
  <si>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</si>
  <si>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Small Case Study 3 — Daniel Reyes.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</si>
  <si>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</si>
  <si>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</si>
  <si>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</si>
  <si>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</si>
  <si>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</si>
  <si>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</si>
  <si>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</si>
  <si>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</si>
  <si>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</si>
  <si>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</si>
  <si>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</si>
  <si>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</si>
  <si>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payroll credits, incoming third-party credits, outgoing wires and outgoing P2P payments. Then look at credits alone, then debits alone. Read the description in column K and the counterparty in columns V and Y for every non-routine row, and use column D to see how the balance builds up and is drawn down.</t>
  </si>
  <si>
    <t>Originator and beneficiary detail for each wire: names, addresses, banks, account numbers and the stated purpose on each side.</t>
  </si>
  <si>
    <t>Tie each wire back to Event Details and to the Transactions row. Record the beneficiary name, country and stated purpose for each one, and note whether the beneficiaries differ while the destination stays the same (or the reverse).</t>
  </si>
  <si>
    <t>Payment advices for each alerted outgoing payment, with the result of the documentation review carried out for each.</t>
  </si>
  <si>
    <t>Match the beneficiary, amount and value date on each advice to the corresponding row in the Transactions tab. Record what documentation is held for each payment; an absence of support across every transaction is itself a finding.</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</si>
  <si>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</si>
  <si>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</si>
  <si>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</si>
  <si>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</si>
  <si>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</si>
  <si>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</si>
  <si>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</si>
  <si>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</si>
  <si>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</si>
  <si>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</si>
  <si>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</si>
  <si>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Incoming credit pattern</t>
  </si>
  <si>
    <t>The number of distinct remitters, the spread of the individual amounts, the channel used for each credit, and how many days pass before the funds leave again.</t>
  </si>
  <si>
    <t>Credits from many unrelated senders that leave again within a day or two, to different unrelated parties, indicate that the account is being used as an intermediary. State the interval in days and the balance left behind after each payment.</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</si>
  <si>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</si>
  <si>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</si>
  <si>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</si>
  <si>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</si>
  <si>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</si>
  <si>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</si>
  <si>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</si>
  <si>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</si>
  <si>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</si>
  <si>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</si>
  <si>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</si>
  <si>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</si>
  <si>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</si>
  <si>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</si>
  <si>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</si>
  <si>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</si>
  <si>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</si>
  <si>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</si>
  <si>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</si>
  <si>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</si>
  <si>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</si>
  <si>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</si>
  <si>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</si>
  <si>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</si>
  <si>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</si>
  <si>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</si>
  <si>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</si>
  <si>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</si>
  <si>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</si>
  <si>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</si>
  <si>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</si>
  <si>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</si>
  <si>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</si>
  <si>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</si>
  <si>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</si>
  <si>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</si>
  <si>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</si>
  <si>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</si>
  <si>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</si>
  <si>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</si>
  <si>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</si>
  <si>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</si>
  <si>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</si>
  <si>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</si>
  <si>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</si>
  <si>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</si>
  <si>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</si>
  <si>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</si>
  <si>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</si>
  <si>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</si>
  <si>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</si>
  <si>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</si>
  <si>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</si>
  <si>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</si>
  <si>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</si>
  <si>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</si>
  <si>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</si>
  <si>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</si>
  <si>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</si>
  <si>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</si>
  <si>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</si>
  <si>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</si>
  <si>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</si>
  <si>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</si>
  <si>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</si>
  <si>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</si>
  <si>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</si>
  <si>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</si>
  <si>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</si>
  <si>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</si>
  <si>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</si>
  <si>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</si>
  <si>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</si>
  <si>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</si>
  <si>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</si>
  <si>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</si>
  <si>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</si>
  <si>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</si>
  <si>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</si>
  <si>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</si>
  <si>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</si>
  <si>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</si>
  <si>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</si>
  <si>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</si>
  <si>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</si>
  <si>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</si>
  <si>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</si>
  <si>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</si>
  <si>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</si>
  <si>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</si>
  <si>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Daniel Reyes</t>
  </si>
  <si>
    <t>P2P</t>
  </si>
  <si>
    <t>Group 1</t>
  </si>
  <si>
    <t>ACH</t>
  </si>
  <si>
    <t>Group 2</t>
  </si>
  <si>
    <t>Capital One</t>
  </si>
  <si>
    <t>a.</t>
  </si>
  <si>
    <t>b.</t>
  </si>
  <si>
    <t>c.</t>
  </si>
  <si>
    <t>It indicates that the account should be closed immediately due to high risk.</t>
  </si>
  <si>
    <t>d.</t>
  </si>
  <si>
    <t>3312 Brookhaven Ln, Apt 7</t>
  </si>
  <si>
    <t>Charlotte, NC 28210</t>
  </si>
  <si>
    <t>704-555-0165</t>
  </si>
  <si>
    <t>(704) 555-0165</t>
  </si>
  <si>
    <t>238-61-7742</t>
  </si>
  <si>
    <t>d.reyes.nc@email.com</t>
  </si>
  <si>
    <t>Logistics Coordinator</t>
  </si>
  <si>
    <t>Piedmont Freight Solutions, Inc.</t>
  </si>
  <si>
    <t>Rapid Movement of Funds</t>
  </si>
  <si>
    <t>Payroll Credit - Piedmont Freight Solutions</t>
  </si>
  <si>
    <t>Truist Bank</t>
  </si>
  <si>
    <t>Monthly payroll credit</t>
  </si>
  <si>
    <t>Incoming Zelle Transfer - Marcus Feldner</t>
  </si>
  <si>
    <t>Marcus Feldner</t>
  </si>
  <si>
    <t>Personal Payment</t>
  </si>
  <si>
    <t>Incoming ACH Credit - Priya Raman</t>
  </si>
  <si>
    <t>Priya Raman</t>
  </si>
  <si>
    <t>JPMorgan Chase</t>
  </si>
  <si>
    <t>Services</t>
  </si>
  <si>
    <t>Outgoing Wire Transfer - Aleksei Danilov</t>
  </si>
  <si>
    <t>Aleksei Danilov</t>
  </si>
  <si>
    <t>Fifth Third Bank</t>
  </si>
  <si>
    <t>9920114873</t>
  </si>
  <si>
    <t>Incoming Zelle Transfer - Owen Blackwood</t>
  </si>
  <si>
    <t>Owen Blackwood</t>
  </si>
  <si>
    <t>Settlement</t>
  </si>
  <si>
    <t>Incoming ACH Credit - Teodora Ilic</t>
  </si>
  <si>
    <t>Teodora Ilic</t>
  </si>
  <si>
    <t>Outgoing Wire Transfer - Rustam Akhmetov</t>
  </si>
  <si>
    <t>Rustam Akhmetov</t>
  </si>
  <si>
    <t>Santander Bank N.A.</t>
  </si>
  <si>
    <t>3381007742</t>
  </si>
  <si>
    <t>Rent Payment - Brookhaven Court Apartments</t>
  </si>
  <si>
    <t>Brookhaven Court Apartments LLC</t>
  </si>
  <si>
    <t>Rent payment</t>
  </si>
  <si>
    <t>Incoming Zelle Transfer - Hassan Qureshi</t>
  </si>
  <si>
    <t>Hassan Qureshi</t>
  </si>
  <si>
    <t>TD Bank N.A.</t>
  </si>
  <si>
    <t>Incoming ACH Credit - Lena Novak</t>
  </si>
  <si>
    <t>Lena Novak</t>
  </si>
  <si>
    <t>Outgoing Wire Transfer - Serghei Bodnar</t>
  </si>
  <si>
    <t>Serghei Bodnar</t>
  </si>
  <si>
    <t>Regions Bank</t>
  </si>
  <si>
    <t>6612209934</t>
  </si>
  <si>
    <t>Incoming Zelle Transfer - Carlos Tavares</t>
  </si>
  <si>
    <t>Carlos Tavares</t>
  </si>
  <si>
    <t>Incoming ACH Credit - Nadia Farouk</t>
  </si>
  <si>
    <t>Nadia Farouk</t>
  </si>
  <si>
    <t>Santander Bank</t>
  </si>
  <si>
    <t>Outgoing Zelle Transfer - Yusuf Demirel</t>
  </si>
  <si>
    <t>Yusuf Demirel</t>
  </si>
  <si>
    <t>Incoming Zelle Transfer - Grigore Petrescu</t>
  </si>
  <si>
    <t>Grigore Petrescu</t>
  </si>
  <si>
    <t>Incoming ACH Credit - Mihail Cebotari</t>
  </si>
  <si>
    <t>Mihail Cebotari</t>
  </si>
  <si>
    <t>Outgoing Zelle Transfer - Adrian Mocanu</t>
  </si>
  <si>
    <t>Adrian Mocanu</t>
  </si>
  <si>
    <t>3312 Brookhaven Ln, Apt 7, Charlotte, NC 28210</t>
  </si>
  <si>
    <t>7045550165001</t>
  </si>
  <si>
    <t>2210 Sheridan Rd, Chicago, IL 60645</t>
  </si>
  <si>
    <t>815 Beacon St, Brookline, MA 02446</t>
  </si>
  <si>
    <t>4477 Buford Hwy NE, Atlanta, GA 30341</t>
  </si>
  <si>
    <t>Two further outgoing payments of $9,150.00 on 06/18/2026 and $8,300.00 on 07/15/2026 were sent by Zelle person-to-person transfer; no wire-level originator or beneficiary detail is recorded for a P2P transfer. See the Transactions tab.</t>
  </si>
  <si>
    <t>SUPPORTING DOCUMENTS - PAYMENT ADVICES AND DOCUMENTATION REVIEW</t>
  </si>
  <si>
    <t>Payment advices for the five alerted outgoing payments, and the result of the documentation review carried out for each.</t>
  </si>
  <si>
    <t>TRAINING SAMPLE - NOT A NEGOTIABLE INSTRUMENT</t>
  </si>
  <si>
    <t>Advice No.</t>
  </si>
  <si>
    <t>Value Date</t>
  </si>
  <si>
    <t>Channel</t>
  </si>
  <si>
    <t>Beneficiary</t>
  </si>
  <si>
    <t>Beneficiary Bank / Account</t>
  </si>
  <si>
    <t>Stated Narration</t>
  </si>
  <si>
    <t>Amount (USD)</t>
  </si>
  <si>
    <t>Supporting Documentation Held</t>
  </si>
  <si>
    <t>ADV-2026-401</t>
  </si>
  <si>
    <t>Wire transfer</t>
  </si>
  <si>
    <t>Fifth Third Bank / 9920114873</t>
  </si>
  <si>
    <t>None on file - no invoice, contract, agreement or correspondence held</t>
  </si>
  <si>
    <t>ADV-2026-402</t>
  </si>
  <si>
    <t>Santander Bank N.A. / 3381007742</t>
  </si>
  <si>
    <t>ADV-2026-403</t>
  </si>
  <si>
    <t>Regions Bank / 6612209934</t>
  </si>
  <si>
    <t>ADV-2026-404</t>
  </si>
  <si>
    <t>Zelle P2P transfer</t>
  </si>
  <si>
    <t>JPMorgan Chase / Not recorded</t>
  </si>
  <si>
    <t>ADV-2026-405</t>
  </si>
  <si>
    <t>Capital One / Not recorded</t>
  </si>
  <si>
    <t>A documentation review was carried out on 09/02/2026 for each of the ten incoming credits and each of the five outgoing payments. No invoice, contract, service agreement, loan agreement or correspondence is held on file for any of the fifteen transactions.</t>
  </si>
  <si>
    <t>NC-CLT-03</t>
  </si>
  <si>
    <t>Charlotte</t>
  </si>
  <si>
    <t>NC</t>
  </si>
  <si>
    <t>The customer's occupation as a Logistics Coordinator and his address in Charlotte, NC.</t>
  </si>
  <si>
    <t>Ten credits of $2,000.00 to $4,500.00 received from ten unrelated individuals, each group of credits followed within one to two days by a single larger payment to a further unrelated individual, leaving the balance between $930.00 and $5,080.00.</t>
  </si>
  <si>
    <t>The single rent payment of $1,650.00 recorded in the review period.</t>
  </si>
  <si>
    <t>2. Why is the customer's salaried profile a critical piece of information in this investigation?</t>
  </si>
  <si>
    <t>It records payroll of $19,500.00 for the period as the only documented source of income, and nothing on file explains the $28,500.00 received from ten unrelated individuals or the $43,350.00 paid to five others.</t>
  </si>
  <si>
    <t>It shows that the customer can afford to send wire transfers.</t>
  </si>
  <si>
    <t>3. Funds arrive from multiple unrelated senders and leave to different unrelated beneficiaries within one to two days, leaving a consistently low balance. This is best described as:</t>
  </si>
  <si>
    <t>Normal peer-to-peer activity between friends and colleagues.</t>
  </si>
  <si>
    <t>Rapid movement of funds, with the account used as an intermediary between parties unrelated to the customer.</t>
  </si>
  <si>
    <t>Structuring of currency deposits below the reporting threshold.</t>
  </si>
  <si>
    <t>4. The narrations “Personal Payment”, “Services” and “Settlement” appear on both the incoming and the outgoing side. Why does that matter to the review?</t>
  </si>
  <si>
    <t>It confirms that the transactions are legitimate business payments.</t>
  </si>
  <si>
    <t>The narrations identify no service performed, no contract and no counterparty relationship, and no invoice, contract or agreement is held on file for any of the fifteen transactions.</t>
  </si>
  <si>
    <t>It shows only that the customer was careless in completing the payment forms.</t>
  </si>
  <si>
    <t>Close the alert, as the customer is salaried and the account was never overdrawn.</t>
  </si>
  <si>
    <t>Contact the customer to ask for clarification on the source of the incoming transfers.</t>
  </si>
  <si>
    <t>Escalate the case and recommend filing a Suspicious Activity Report (SAR) based on the combined red flags.</t>
  </si>
  <si>
    <t>6. What is the total dollar amount received from the ten unrelated individuals over the review period?</t>
  </si>
  <si>
    <t>7. How many days elapsed between the last incoming credit in each cycle and the outgoing payment that followed it?</t>
  </si>
  <si>
    <t>One to two days</t>
  </si>
  <si>
    <t>Seven to ten days</t>
  </si>
  <si>
    <t>Thirty days</t>
  </si>
  <si>
    <t>The interval varied between one and ninety days</t>
  </si>
  <si>
    <t>8. Field 29 of the SAR reports $28,500.00 rather than the $43,350.00 paid out or the $71,850.00 sum of both. Why?</t>
  </si>
  <si>
    <t>Because $28,500.00 is the smallest figure available in the case.</t>
  </si>
  <si>
    <t>Because the reported amount is the unexplained funds that passed through the account, counted once; the outgoing payments are largely the same funds leaving and are described in the narrative instead.</t>
  </si>
  <si>
    <t>Because only incoming transactions may be reported on a SAR.</t>
  </si>
  <si>
    <t>Because the outgoing payments were not considered suspicious.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</si>
</sst>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_(* #,##0.00_);_(* \(#,##0.00\);_(* &quot;-&quot;??_);_(@_)"/>
    <numFmt numFmtId="166" formatCode="&quot;$&quot;#,##0.00"/>
    <numFmt numFmtId="167"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165" fontId="1" fillId="0" borderId="0" applyFont="0" applyFill="0" applyBorder="0" applyAlignment="0" applyProtection="0"/>
    <xf numFmtId="0" fontId="13" fillId="0" borderId="0" applyNumberFormat="0" applyFill="0" applyBorder="0" applyAlignment="0" applyProtection="0"/>
  </cellStyleXfs>
  <cellXfs count="146">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6"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5"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5"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165" fontId="0" fillId="4" borderId="0" xfId="1" applyFont="1" applyFill="1"/>
    <xf numFmtId="14" fontId="0" fillId="0" borderId="0" xfId="0" applyNumberFormat="1" applyAlignment="1">
      <alignment horizontal="left"/>
    </xf>
    <xf numFmtId="167"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28" fillId="0" borderId="32" xfId="0" applyFont="1" applyBorder="1" applyAlignment="1">
      <alignment wrapText="1"/>
    </xf>
    <xf numFmtId="0" fontId="32" fillId="9" borderId="31" xfId="0" applyFont="1" applyFill="1" applyBorder="1" applyAlignment="1">
      <alignment horizontal="center" vertical="center"/>
    </xf>
    <xf numFmtId="164"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5" fillId="11" borderId="0" xfId="0" applyFont="1" applyFill="1" applyAlignment="1">
      <alignment horizontal="center" vertical="center"/>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1" fillId="6" borderId="0" xfId="0" applyFont="1" applyFill="1"/>
    <xf numFmtId="0" fontId="22" fillId="7"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0" fillId="0" borderId="0" xfId="0"/>
    <xf numFmtId="0" fontId="19" fillId="0" borderId="0" xfId="0" applyFont="1" applyAlignment="1">
      <alignment horizontal="center"/>
    </xf>
    <xf numFmtId="0" fontId="25" fillId="11"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d.reyes.nc@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20" workbookViewId="0">
      <selection activeCell="D54" sqref="D54"/>
    </sheetView>
  </sheetViews>
  <sheetFormatPr defaultColWidth="8.77734375" defaultRowHeight="14.4" x14ac:dyDescent="0.3"/>
  <cols>
    <col min="1" max="1" width="8.6640625" customWidth="1"/>
    <col min="2" max="2" width="28.109375" customWidth="1"/>
    <col min="3" max="3" width="31.77734375" customWidth="1"/>
    <col min="4" max="4" width="63" customWidth="1"/>
  </cols>
  <sheetData>
    <row r="1" spans="1:4" ht="14.55" customHeight="1" x14ac:dyDescent="0.3">
      <c r="A1" s="93" t="s">
        <v>212</v>
      </c>
      <c r="B1" s="93"/>
      <c r="C1" s="93"/>
      <c r="D1" s="93"/>
    </row>
    <row r="2" spans="1:4" ht="43.5" customHeight="1" x14ac:dyDescent="0.3">
      <c r="A2" s="94" t="s">
        <v>213</v>
      </c>
      <c r="B2" s="94"/>
      <c r="C2" s="94"/>
      <c r="D2" s="94"/>
    </row>
    <row r="4" spans="1:4" ht="14.55" customHeight="1" x14ac:dyDescent="0.3">
      <c r="A4" s="95" t="s">
        <v>214</v>
      </c>
      <c r="B4" s="95"/>
      <c r="C4" s="95"/>
      <c r="D4" s="95"/>
    </row>
    <row r="5" spans="1:4" ht="58.05" customHeight="1" x14ac:dyDescent="0.3">
      <c r="A5" s="96" t="s">
        <v>215</v>
      </c>
      <c r="B5" s="96"/>
      <c r="C5" s="96"/>
      <c r="D5" s="96"/>
    </row>
    <row r="7" spans="1:4" ht="14.55" customHeight="1" x14ac:dyDescent="0.3">
      <c r="A7" s="95" t="s">
        <v>216</v>
      </c>
      <c r="B7" s="95"/>
      <c r="C7" s="95"/>
      <c r="D7" s="95"/>
    </row>
    <row r="8" spans="1:4" ht="28.05" customHeight="1" x14ac:dyDescent="0.3">
      <c r="A8" s="62" t="s">
        <v>169</v>
      </c>
      <c r="B8" s="63" t="s">
        <v>170</v>
      </c>
      <c r="C8" s="63" t="s">
        <v>217</v>
      </c>
      <c r="D8" s="64" t="s">
        <v>218</v>
      </c>
    </row>
    <row r="9" spans="1:4" ht="72" x14ac:dyDescent="0.3">
      <c r="A9" s="65">
        <v>1</v>
      </c>
      <c r="B9" s="88" t="s">
        <v>173</v>
      </c>
      <c r="C9" s="67" t="s">
        <v>219</v>
      </c>
      <c r="D9" s="68" t="s">
        <v>220</v>
      </c>
    </row>
    <row r="10" spans="1:4" ht="43.2" x14ac:dyDescent="0.3">
      <c r="A10" s="69">
        <v>2</v>
      </c>
      <c r="B10" s="89" t="s">
        <v>13</v>
      </c>
      <c r="C10" s="71" t="s">
        <v>221</v>
      </c>
      <c r="D10" s="72" t="s">
        <v>222</v>
      </c>
    </row>
    <row r="11" spans="1:4" ht="57.6" x14ac:dyDescent="0.3">
      <c r="A11" s="65">
        <v>3</v>
      </c>
      <c r="B11" s="88" t="s">
        <v>178</v>
      </c>
      <c r="C11" s="67" t="s">
        <v>223</v>
      </c>
      <c r="D11" s="68" t="s">
        <v>224</v>
      </c>
    </row>
    <row r="12" spans="1:4" ht="86.4" x14ac:dyDescent="0.3">
      <c r="A12" s="69">
        <v>4</v>
      </c>
      <c r="B12" s="89" t="s">
        <v>180</v>
      </c>
      <c r="C12" s="71" t="s">
        <v>225</v>
      </c>
      <c r="D12" s="72" t="s">
        <v>226</v>
      </c>
    </row>
    <row r="13" spans="1:4" ht="57.6" x14ac:dyDescent="0.3">
      <c r="A13" s="65">
        <v>5</v>
      </c>
      <c r="B13" s="88" t="s">
        <v>35</v>
      </c>
      <c r="C13" s="67" t="s">
        <v>227</v>
      </c>
      <c r="D13" s="68" t="s">
        <v>228</v>
      </c>
    </row>
    <row r="14" spans="1:4" ht="57.6" x14ac:dyDescent="0.3">
      <c r="A14" s="69">
        <v>6</v>
      </c>
      <c r="B14" s="89" t="s">
        <v>185</v>
      </c>
      <c r="C14" s="71" t="s">
        <v>229</v>
      </c>
      <c r="D14" s="72" t="s">
        <v>230</v>
      </c>
    </row>
    <row r="15" spans="1:4" ht="57.6" x14ac:dyDescent="0.3">
      <c r="A15" s="73">
        <v>7</v>
      </c>
      <c r="B15" s="90" t="s">
        <v>188</v>
      </c>
      <c r="C15" s="75" t="s">
        <v>231</v>
      </c>
      <c r="D15" s="76" t="s">
        <v>232</v>
      </c>
    </row>
    <row r="17" spans="1:4" ht="14.55" customHeight="1" x14ac:dyDescent="0.3">
      <c r="A17" s="95" t="s">
        <v>233</v>
      </c>
      <c r="B17" s="95"/>
      <c r="C17" s="95"/>
      <c r="D17" s="95"/>
    </row>
    <row r="18" spans="1:4" ht="28.95" customHeight="1" x14ac:dyDescent="0.3">
      <c r="A18" s="96" t="s">
        <v>234</v>
      </c>
      <c r="B18" s="96"/>
      <c r="C18" s="96"/>
      <c r="D18" s="96"/>
    </row>
    <row r="19" spans="1:4" ht="28.05" customHeight="1" x14ac:dyDescent="0.3">
      <c r="A19" s="62" t="s">
        <v>235</v>
      </c>
      <c r="B19" s="63" t="s">
        <v>236</v>
      </c>
      <c r="C19" s="63" t="s">
        <v>237</v>
      </c>
      <c r="D19" s="64" t="s">
        <v>238</v>
      </c>
    </row>
    <row r="20" spans="1:4" ht="43.2" x14ac:dyDescent="0.3">
      <c r="A20" s="65">
        <v>1</v>
      </c>
      <c r="B20" s="88" t="s">
        <v>239</v>
      </c>
      <c r="C20" s="67" t="s">
        <v>240</v>
      </c>
      <c r="D20" s="68" t="s">
        <v>241</v>
      </c>
    </row>
    <row r="21" spans="1:4" ht="72" x14ac:dyDescent="0.3">
      <c r="A21" s="69">
        <v>2</v>
      </c>
      <c r="B21" s="89" t="s">
        <v>242</v>
      </c>
      <c r="C21" s="71" t="s">
        <v>243</v>
      </c>
      <c r="D21" s="72" t="s">
        <v>244</v>
      </c>
    </row>
    <row r="22" spans="1:4" ht="57.6" x14ac:dyDescent="0.3">
      <c r="A22" s="65">
        <v>3</v>
      </c>
      <c r="B22" s="88" t="s">
        <v>245</v>
      </c>
      <c r="C22" s="67" t="s">
        <v>246</v>
      </c>
      <c r="D22" s="68" t="s">
        <v>247</v>
      </c>
    </row>
    <row r="23" spans="1:4" ht="57.6" x14ac:dyDescent="0.3">
      <c r="A23" s="69">
        <v>4</v>
      </c>
      <c r="B23" s="89" t="s">
        <v>248</v>
      </c>
      <c r="C23" s="71" t="s">
        <v>249</v>
      </c>
      <c r="D23" s="72" t="s">
        <v>250</v>
      </c>
    </row>
    <row r="24" spans="1:4" ht="43.2" x14ac:dyDescent="0.3">
      <c r="A24" s="65">
        <v>5</v>
      </c>
      <c r="B24" s="88" t="s">
        <v>251</v>
      </c>
      <c r="C24" s="67" t="s">
        <v>252</v>
      </c>
      <c r="D24" s="68" t="s">
        <v>253</v>
      </c>
    </row>
    <row r="25" spans="1:4" ht="57.6" x14ac:dyDescent="0.3">
      <c r="A25" s="69">
        <v>6</v>
      </c>
      <c r="B25" s="89" t="s">
        <v>254</v>
      </c>
      <c r="C25" s="71" t="s">
        <v>255</v>
      </c>
      <c r="D25" s="72" t="s">
        <v>256</v>
      </c>
    </row>
    <row r="26" spans="1:4" ht="72" x14ac:dyDescent="0.3">
      <c r="A26" s="65">
        <v>7</v>
      </c>
      <c r="B26" s="88" t="s">
        <v>257</v>
      </c>
      <c r="C26" s="67" t="s">
        <v>258</v>
      </c>
      <c r="D26" s="68" t="s">
        <v>259</v>
      </c>
    </row>
    <row r="27" spans="1:4" ht="43.2" x14ac:dyDescent="0.3">
      <c r="A27" s="69">
        <v>8</v>
      </c>
      <c r="B27" s="89" t="s">
        <v>260</v>
      </c>
      <c r="C27" s="71" t="s">
        <v>261</v>
      </c>
      <c r="D27" s="72" t="s">
        <v>262</v>
      </c>
    </row>
    <row r="28" spans="1:4" ht="72" x14ac:dyDescent="0.3">
      <c r="A28" s="73">
        <v>9</v>
      </c>
      <c r="B28" s="90" t="s">
        <v>263</v>
      </c>
      <c r="C28" s="75" t="s">
        <v>264</v>
      </c>
      <c r="D28" s="76" t="s">
        <v>265</v>
      </c>
    </row>
    <row r="30" spans="1:4" ht="14.55" customHeight="1" x14ac:dyDescent="0.3">
      <c r="A30" s="95" t="s">
        <v>266</v>
      </c>
      <c r="B30" s="95"/>
      <c r="C30" s="95"/>
      <c r="D30" s="95"/>
    </row>
    <row r="31" spans="1:4" ht="43.5" customHeight="1" x14ac:dyDescent="0.3">
      <c r="A31" s="96" t="s">
        <v>267</v>
      </c>
      <c r="B31" s="96"/>
      <c r="C31" s="96"/>
      <c r="D31" s="96"/>
    </row>
    <row r="32" spans="1:4" ht="28.05" customHeight="1" x14ac:dyDescent="0.3">
      <c r="A32" s="62" t="s">
        <v>268</v>
      </c>
      <c r="B32" s="63" t="s">
        <v>269</v>
      </c>
      <c r="C32" s="63" t="s">
        <v>270</v>
      </c>
      <c r="D32" s="64" t="s">
        <v>271</v>
      </c>
    </row>
    <row r="33" spans="1:4" ht="28.8" x14ac:dyDescent="0.3">
      <c r="A33" s="65">
        <v>1</v>
      </c>
      <c r="B33" s="88" t="s">
        <v>272</v>
      </c>
      <c r="C33" s="67" t="s">
        <v>273</v>
      </c>
      <c r="D33" s="68" t="s">
        <v>274</v>
      </c>
    </row>
    <row r="34" spans="1:4" ht="28.8" x14ac:dyDescent="0.3">
      <c r="A34" s="69">
        <v>2</v>
      </c>
      <c r="B34" s="89" t="s">
        <v>275</v>
      </c>
      <c r="C34" s="71" t="s">
        <v>276</v>
      </c>
      <c r="D34" s="72" t="s">
        <v>277</v>
      </c>
    </row>
    <row r="35" spans="1:4" ht="57.6" x14ac:dyDescent="0.3">
      <c r="A35" s="65">
        <v>3</v>
      </c>
      <c r="B35" s="88" t="s">
        <v>278</v>
      </c>
      <c r="C35" s="67" t="s">
        <v>279</v>
      </c>
      <c r="D35" s="68" t="s">
        <v>280</v>
      </c>
    </row>
    <row r="36" spans="1:4" ht="43.2" x14ac:dyDescent="0.3">
      <c r="A36" s="69">
        <v>4</v>
      </c>
      <c r="B36" s="89" t="s">
        <v>281</v>
      </c>
      <c r="C36" s="71" t="s">
        <v>282</v>
      </c>
      <c r="D36" s="72" t="s">
        <v>283</v>
      </c>
    </row>
    <row r="37" spans="1:4" ht="57.6" x14ac:dyDescent="0.3">
      <c r="A37" s="65">
        <v>5</v>
      </c>
      <c r="B37" s="88" t="s">
        <v>284</v>
      </c>
      <c r="C37" s="67" t="s">
        <v>285</v>
      </c>
      <c r="D37" s="68" t="s">
        <v>286</v>
      </c>
    </row>
    <row r="38" spans="1:4" ht="43.2" x14ac:dyDescent="0.3">
      <c r="A38" s="69">
        <v>6</v>
      </c>
      <c r="B38" s="89" t="s">
        <v>287</v>
      </c>
      <c r="C38" s="71" t="s">
        <v>288</v>
      </c>
      <c r="D38" s="72" t="s">
        <v>289</v>
      </c>
    </row>
    <row r="39" spans="1:4" ht="43.2" x14ac:dyDescent="0.3">
      <c r="A39" s="65">
        <v>7</v>
      </c>
      <c r="B39" s="88" t="s">
        <v>290</v>
      </c>
      <c r="C39" s="67" t="s">
        <v>291</v>
      </c>
      <c r="D39" s="68" t="s">
        <v>292</v>
      </c>
    </row>
    <row r="40" spans="1:4" ht="28.8" x14ac:dyDescent="0.3">
      <c r="A40" s="73">
        <v>8</v>
      </c>
      <c r="B40" s="90" t="s">
        <v>293</v>
      </c>
      <c r="C40" s="75" t="s">
        <v>294</v>
      </c>
      <c r="D40" s="76" t="s">
        <v>295</v>
      </c>
    </row>
    <row r="41" spans="1:4" ht="43.5" customHeight="1" x14ac:dyDescent="0.3">
      <c r="A41" s="92" t="s">
        <v>296</v>
      </c>
      <c r="B41" s="92"/>
      <c r="C41" s="92"/>
      <c r="D41" s="92"/>
    </row>
    <row r="43" spans="1:4" ht="14.55" customHeight="1" x14ac:dyDescent="0.3">
      <c r="A43" s="95" t="s">
        <v>297</v>
      </c>
      <c r="B43" s="95"/>
      <c r="C43" s="95"/>
      <c r="D43" s="95"/>
    </row>
    <row r="44" spans="1:4" ht="28.95" customHeight="1" x14ac:dyDescent="0.3">
      <c r="A44" s="96" t="s">
        <v>298</v>
      </c>
      <c r="B44" s="96"/>
      <c r="C44" s="96"/>
      <c r="D44" s="96"/>
    </row>
    <row r="45" spans="1:4" ht="28.05" customHeight="1" x14ac:dyDescent="0.3">
      <c r="A45" s="62" t="s">
        <v>235</v>
      </c>
      <c r="B45" s="63" t="s">
        <v>299</v>
      </c>
      <c r="C45" s="63" t="s">
        <v>300</v>
      </c>
      <c r="D45" s="64" t="s">
        <v>301</v>
      </c>
    </row>
    <row r="46" spans="1:4" ht="28.8" x14ac:dyDescent="0.3">
      <c r="A46" s="65">
        <v>1</v>
      </c>
      <c r="B46" s="88" t="s">
        <v>79</v>
      </c>
      <c r="C46" s="67" t="s">
        <v>302</v>
      </c>
      <c r="D46" s="68" t="s">
        <v>303</v>
      </c>
    </row>
    <row r="47" spans="1:4" ht="28.8" x14ac:dyDescent="0.3">
      <c r="A47" s="69">
        <v>2</v>
      </c>
      <c r="B47" s="89" t="s">
        <v>304</v>
      </c>
      <c r="C47" s="71" t="s">
        <v>305</v>
      </c>
      <c r="D47" s="72" t="s">
        <v>306</v>
      </c>
    </row>
    <row r="48" spans="1:4" ht="28.8" x14ac:dyDescent="0.3">
      <c r="A48" s="65">
        <v>3</v>
      </c>
      <c r="B48" s="88" t="s">
        <v>81</v>
      </c>
      <c r="C48" s="67" t="s">
        <v>307</v>
      </c>
      <c r="D48" s="68" t="s">
        <v>308</v>
      </c>
    </row>
    <row r="49" spans="1:4" ht="28.8" x14ac:dyDescent="0.3">
      <c r="A49" s="69">
        <v>4</v>
      </c>
      <c r="B49" s="89" t="s">
        <v>309</v>
      </c>
      <c r="C49" s="71" t="s">
        <v>310</v>
      </c>
      <c r="D49" s="72" t="s">
        <v>311</v>
      </c>
    </row>
    <row r="50" spans="1:4" ht="57.6" x14ac:dyDescent="0.3">
      <c r="A50" s="65">
        <v>5</v>
      </c>
      <c r="B50" s="88" t="s">
        <v>312</v>
      </c>
      <c r="C50" s="67" t="s">
        <v>313</v>
      </c>
      <c r="D50" s="68" t="s">
        <v>314</v>
      </c>
    </row>
    <row r="51" spans="1:4" ht="28.8" x14ac:dyDescent="0.3">
      <c r="A51" s="69">
        <v>6</v>
      </c>
      <c r="B51" s="89" t="s">
        <v>315</v>
      </c>
      <c r="C51" s="71" t="s">
        <v>316</v>
      </c>
      <c r="D51" s="72" t="s">
        <v>317</v>
      </c>
    </row>
    <row r="52" spans="1:4" ht="28.8" x14ac:dyDescent="0.3">
      <c r="A52" s="65">
        <v>7</v>
      </c>
      <c r="B52" s="88" t="s">
        <v>318</v>
      </c>
      <c r="C52" s="67" t="s">
        <v>319</v>
      </c>
      <c r="D52" s="68" t="s">
        <v>320</v>
      </c>
    </row>
    <row r="53" spans="1:4" ht="57.6" x14ac:dyDescent="0.3">
      <c r="A53" s="69">
        <v>8</v>
      </c>
      <c r="B53" s="89" t="s">
        <v>321</v>
      </c>
      <c r="C53" s="71" t="s">
        <v>322</v>
      </c>
      <c r="D53" s="72" t="s">
        <v>323</v>
      </c>
    </row>
    <row r="54" spans="1:4" ht="57.6" x14ac:dyDescent="0.3">
      <c r="A54" s="65">
        <v>9</v>
      </c>
      <c r="B54" s="88" t="s">
        <v>324</v>
      </c>
      <c r="C54" s="67" t="s">
        <v>325</v>
      </c>
      <c r="D54" s="68" t="s">
        <v>326</v>
      </c>
    </row>
    <row r="55" spans="1:4" ht="28.8" x14ac:dyDescent="0.3">
      <c r="A55" s="69">
        <v>10</v>
      </c>
      <c r="B55" s="89" t="s">
        <v>327</v>
      </c>
      <c r="C55" s="71" t="s">
        <v>328</v>
      </c>
      <c r="D55" s="72" t="s">
        <v>329</v>
      </c>
    </row>
    <row r="56" spans="1:4" ht="43.2" x14ac:dyDescent="0.3">
      <c r="A56" s="73">
        <v>11</v>
      </c>
      <c r="B56" s="90" t="s">
        <v>330</v>
      </c>
      <c r="C56" s="75" t="s">
        <v>331</v>
      </c>
      <c r="D56" s="76" t="s">
        <v>332</v>
      </c>
    </row>
    <row r="58" spans="1:4" ht="14.55" customHeight="1" x14ac:dyDescent="0.3">
      <c r="A58" s="95" t="s">
        <v>333</v>
      </c>
      <c r="B58" s="95"/>
      <c r="C58" s="95"/>
      <c r="D58" s="95"/>
    </row>
    <row r="59" spans="1:4" ht="58.05" customHeight="1" x14ac:dyDescent="0.3">
      <c r="A59" s="92" t="s">
        <v>334</v>
      </c>
      <c r="B59" s="92"/>
      <c r="C59" s="92"/>
      <c r="D59" s="92"/>
    </row>
  </sheetData>
  <mergeCells count="14">
    <mergeCell ref="A1:D1"/>
    <mergeCell ref="A2:D2"/>
    <mergeCell ref="A4:D4"/>
    <mergeCell ref="A5:D5"/>
    <mergeCell ref="A7:D7"/>
    <mergeCell ref="A43:D43"/>
    <mergeCell ref="A44:D44"/>
    <mergeCell ref="A58:D58"/>
    <mergeCell ref="A59:D59"/>
    <mergeCell ref="A17:D17"/>
    <mergeCell ref="A18:D18"/>
    <mergeCell ref="A30:D30"/>
    <mergeCell ref="A31:D31"/>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workbookViewId="0">
      <selection activeCell="G8" sqref="G8:K12"/>
    </sheetView>
  </sheetViews>
  <sheetFormatPr defaultColWidth="8.77734375" defaultRowHeight="14.4" x14ac:dyDescent="0.3"/>
  <cols>
    <col min="1" max="1" width="8.77734375" customWidth="1"/>
    <col min="2" max="2" width="28.109375" customWidth="1"/>
    <col min="3" max="3" width="31.77734375" customWidth="1"/>
    <col min="4" max="4" width="63" customWidth="1"/>
  </cols>
  <sheetData>
    <row r="1" spans="1:4" ht="31.95" customHeight="1" x14ac:dyDescent="0.3">
      <c r="A1" s="93" t="s">
        <v>167</v>
      </c>
      <c r="B1" s="93"/>
      <c r="C1" s="93"/>
      <c r="D1" s="93"/>
    </row>
    <row r="2" spans="1:4" ht="28.05" customHeight="1" x14ac:dyDescent="0.3">
      <c r="A2" s="94" t="s">
        <v>202</v>
      </c>
      <c r="B2" s="94"/>
      <c r="C2" s="94"/>
      <c r="D2" s="94"/>
    </row>
    <row r="4" spans="1:4" ht="15.6" x14ac:dyDescent="0.3">
      <c r="A4" s="95" t="s">
        <v>168</v>
      </c>
      <c r="B4" s="95"/>
      <c r="C4" s="95"/>
      <c r="D4" s="95"/>
    </row>
    <row r="5" spans="1:4" ht="36.450000000000003" customHeight="1" x14ac:dyDescent="0.3">
      <c r="A5" s="96" t="s">
        <v>200</v>
      </c>
      <c r="B5" s="96"/>
      <c r="C5" s="96"/>
      <c r="D5" s="96"/>
    </row>
    <row r="7" spans="1:4" ht="28.05" customHeight="1" x14ac:dyDescent="0.3">
      <c r="A7" s="62" t="s">
        <v>169</v>
      </c>
      <c r="B7" s="63" t="s">
        <v>170</v>
      </c>
      <c r="C7" s="63" t="s">
        <v>171</v>
      </c>
      <c r="D7" s="64" t="s">
        <v>172</v>
      </c>
    </row>
    <row r="8" spans="1:4" ht="43.2" x14ac:dyDescent="0.3">
      <c r="A8" s="65">
        <v>1</v>
      </c>
      <c r="B8" s="66" t="s">
        <v>173</v>
      </c>
      <c r="C8" s="67" t="s">
        <v>174</v>
      </c>
      <c r="D8" s="68" t="s">
        <v>175</v>
      </c>
    </row>
    <row r="9" spans="1:4" ht="43.2" x14ac:dyDescent="0.3">
      <c r="A9" s="69">
        <v>2</v>
      </c>
      <c r="B9" s="70" t="s">
        <v>13</v>
      </c>
      <c r="C9" s="71" t="s">
        <v>176</v>
      </c>
      <c r="D9" s="72" t="s">
        <v>177</v>
      </c>
    </row>
    <row r="10" spans="1:4" ht="43.2" x14ac:dyDescent="0.3">
      <c r="A10" s="65">
        <v>3</v>
      </c>
      <c r="B10" s="66" t="s">
        <v>178</v>
      </c>
      <c r="C10" s="67" t="s">
        <v>179</v>
      </c>
      <c r="D10" s="68" t="s">
        <v>210</v>
      </c>
    </row>
    <row r="11" spans="1:4" ht="43.2" x14ac:dyDescent="0.3">
      <c r="A11" s="69">
        <v>4</v>
      </c>
      <c r="B11" s="70" t="s">
        <v>180</v>
      </c>
      <c r="C11" s="71" t="s">
        <v>181</v>
      </c>
      <c r="D11" s="72" t="s">
        <v>182</v>
      </c>
    </row>
    <row r="12" spans="1:4" ht="43.2" x14ac:dyDescent="0.3">
      <c r="A12" s="65">
        <v>5</v>
      </c>
      <c r="B12" s="66" t="s">
        <v>35</v>
      </c>
      <c r="C12" s="67" t="s">
        <v>183</v>
      </c>
      <c r="D12" s="68" t="s">
        <v>184</v>
      </c>
    </row>
    <row r="13" spans="1:4" ht="43.2" x14ac:dyDescent="0.3">
      <c r="A13" s="69">
        <v>6</v>
      </c>
      <c r="B13" s="70" t="s">
        <v>185</v>
      </c>
      <c r="C13" s="71" t="s">
        <v>186</v>
      </c>
      <c r="D13" s="72" t="s">
        <v>187</v>
      </c>
    </row>
    <row r="14" spans="1:4" ht="43.2" x14ac:dyDescent="0.3">
      <c r="A14" s="65">
        <v>7</v>
      </c>
      <c r="B14" s="66" t="s">
        <v>188</v>
      </c>
      <c r="C14" s="67" t="s">
        <v>189</v>
      </c>
      <c r="D14" s="68" t="s">
        <v>190</v>
      </c>
    </row>
    <row r="15" spans="1:4" ht="86.4" x14ac:dyDescent="0.3">
      <c r="A15" s="65">
        <v>9</v>
      </c>
      <c r="B15" s="66" t="s">
        <v>191</v>
      </c>
      <c r="C15" s="67" t="s">
        <v>192</v>
      </c>
      <c r="D15" s="68" t="s">
        <v>211</v>
      </c>
    </row>
    <row r="16" spans="1:4" ht="57.6" x14ac:dyDescent="0.3">
      <c r="A16" s="69">
        <v>10</v>
      </c>
      <c r="B16" s="70" t="s">
        <v>193</v>
      </c>
      <c r="C16" s="71" t="s">
        <v>194</v>
      </c>
      <c r="D16" s="72" t="s">
        <v>195</v>
      </c>
    </row>
    <row r="17" spans="1:4" ht="28.8" x14ac:dyDescent="0.3">
      <c r="A17" s="73">
        <v>11</v>
      </c>
      <c r="B17" s="74" t="s">
        <v>196</v>
      </c>
      <c r="C17" s="75" t="s">
        <v>197</v>
      </c>
      <c r="D17" s="76" t="s">
        <v>201</v>
      </c>
    </row>
    <row r="19" spans="1:4" ht="15.6" x14ac:dyDescent="0.3">
      <c r="A19" s="95" t="s">
        <v>198</v>
      </c>
      <c r="B19" s="95"/>
      <c r="C19" s="95"/>
      <c r="D19" s="95"/>
    </row>
    <row r="20" spans="1:4" x14ac:dyDescent="0.3">
      <c r="A20" s="92" t="s">
        <v>199</v>
      </c>
      <c r="B20" s="92"/>
      <c r="C20" s="92"/>
      <c r="D20" s="92"/>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defaultColWidth="8.77734375" defaultRowHeight="14.4" x14ac:dyDescent="0.3"/>
  <cols>
    <col min="1" max="1" width="28.77734375" customWidth="1"/>
    <col min="2" max="2" width="15.77734375" bestFit="1" customWidth="1"/>
    <col min="3" max="3" width="6.44140625" bestFit="1" customWidth="1"/>
    <col min="4" max="4" width="33.109375" bestFit="1" customWidth="1"/>
    <col min="5" max="5" width="25.109375" bestFit="1" customWidth="1"/>
  </cols>
  <sheetData>
    <row r="1" spans="1:5" ht="21" x14ac:dyDescent="0.4">
      <c r="B1" s="42" t="s">
        <v>335</v>
      </c>
    </row>
    <row r="2" spans="1:5" x14ac:dyDescent="0.3">
      <c r="A2" s="97" t="s">
        <v>0</v>
      </c>
      <c r="B2" s="98"/>
      <c r="C2" s="99"/>
      <c r="D2" s="100" t="s">
        <v>1</v>
      </c>
      <c r="E2" s="101"/>
    </row>
    <row r="3" spans="1:5" x14ac:dyDescent="0.3">
      <c r="A3" t="s">
        <v>2</v>
      </c>
      <c r="B3" t="s">
        <v>346</v>
      </c>
      <c r="D3" t="s">
        <v>3</v>
      </c>
      <c r="E3" s="1">
        <v>43515</v>
      </c>
    </row>
    <row r="4" spans="1:5" x14ac:dyDescent="0.3">
      <c r="B4" t="s">
        <v>347</v>
      </c>
      <c r="D4" t="s">
        <v>4</v>
      </c>
      <c r="E4" t="s">
        <v>348</v>
      </c>
    </row>
    <row r="5" spans="1:5" x14ac:dyDescent="0.3">
      <c r="B5" t="s">
        <v>5</v>
      </c>
    </row>
    <row r="6" spans="1:5" x14ac:dyDescent="0.3">
      <c r="D6" s="100" t="s">
        <v>6</v>
      </c>
      <c r="E6" s="101"/>
    </row>
    <row r="7" spans="1:5" x14ac:dyDescent="0.3">
      <c r="D7" t="s">
        <v>7</v>
      </c>
      <c r="E7" t="s">
        <v>349</v>
      </c>
    </row>
    <row r="8" spans="1:5" x14ac:dyDescent="0.3">
      <c r="A8" t="s">
        <v>8</v>
      </c>
      <c r="B8" t="s">
        <v>350</v>
      </c>
      <c r="D8" t="s">
        <v>9</v>
      </c>
      <c r="E8" s="56" t="s">
        <v>351</v>
      </c>
    </row>
    <row r="9" spans="1:5" x14ac:dyDescent="0.3">
      <c r="A9" t="s">
        <v>10</v>
      </c>
      <c r="B9" s="60">
        <v>33548</v>
      </c>
    </row>
    <row r="10" spans="1:5" x14ac:dyDescent="0.3">
      <c r="A10" t="s">
        <v>11</v>
      </c>
      <c r="B10" t="s">
        <v>352</v>
      </c>
    </row>
    <row r="11" spans="1:5" x14ac:dyDescent="0.3">
      <c r="A11" t="s">
        <v>12</v>
      </c>
      <c r="B11" t="s">
        <v>353</v>
      </c>
    </row>
    <row r="16" spans="1:5" x14ac:dyDescent="0.3">
      <c r="A16" s="43" t="s">
        <v>13</v>
      </c>
      <c r="B16" s="44" t="s">
        <v>14</v>
      </c>
      <c r="C16" s="44" t="s">
        <v>15</v>
      </c>
      <c r="D16" s="44" t="s">
        <v>16</v>
      </c>
      <c r="E16" s="45" t="s">
        <v>17</v>
      </c>
    </row>
    <row r="17" spans="1:5" x14ac:dyDescent="0.3">
      <c r="A17" s="40">
        <v>7045550165001</v>
      </c>
      <c r="B17" t="s">
        <v>18</v>
      </c>
      <c r="C17" t="s">
        <v>19</v>
      </c>
      <c r="D17" s="1">
        <v>43515</v>
      </c>
    </row>
    <row r="18" spans="1:5" x14ac:dyDescent="0.3">
      <c r="A18" s="40">
        <v>7045550165002</v>
      </c>
      <c r="B18" t="s">
        <v>20</v>
      </c>
      <c r="C18" t="s">
        <v>19</v>
      </c>
      <c r="D18" s="1">
        <v>43515</v>
      </c>
    </row>
    <row r="20" spans="1:5" x14ac:dyDescent="0.3">
      <c r="A20" s="97" t="s">
        <v>21</v>
      </c>
      <c r="B20" s="98"/>
      <c r="C20" s="98"/>
      <c r="D20" s="98"/>
      <c r="E20" s="101"/>
    </row>
    <row r="21" spans="1:5" x14ac:dyDescent="0.3">
      <c r="A21" t="s">
        <v>22</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2" t="s">
        <v>335</v>
      </c>
    </row>
    <row r="2" spans="1:8" x14ac:dyDescent="0.3">
      <c r="A2" s="46" t="s">
        <v>23</v>
      </c>
      <c r="B2" s="47" t="s">
        <v>24</v>
      </c>
      <c r="C2" s="48" t="s">
        <v>25</v>
      </c>
      <c r="D2" s="46" t="s">
        <v>26</v>
      </c>
      <c r="E2" s="46" t="s">
        <v>27</v>
      </c>
      <c r="F2" s="46" t="s">
        <v>15</v>
      </c>
      <c r="G2" s="49" t="s">
        <v>16</v>
      </c>
      <c r="H2" s="49" t="s">
        <v>28</v>
      </c>
    </row>
    <row r="3" spans="1:8" x14ac:dyDescent="0.3">
      <c r="A3" t="s">
        <v>18</v>
      </c>
      <c r="B3" t="s">
        <v>29</v>
      </c>
      <c r="C3" s="40">
        <v>7045550165001</v>
      </c>
      <c r="D3" t="s">
        <v>335</v>
      </c>
      <c r="E3">
        <v>5</v>
      </c>
      <c r="F3" t="s">
        <v>19</v>
      </c>
      <c r="G3" s="1">
        <v>43515</v>
      </c>
    </row>
    <row r="4" spans="1:8" x14ac:dyDescent="0.3">
      <c r="A4" t="s">
        <v>20</v>
      </c>
      <c r="B4" t="s">
        <v>29</v>
      </c>
      <c r="C4" s="40">
        <v>7045550165002</v>
      </c>
      <c r="D4" t="s">
        <v>335</v>
      </c>
      <c r="E4">
        <v>0</v>
      </c>
      <c r="F4" t="s">
        <v>19</v>
      </c>
      <c r="G4" s="1">
        <v>43515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0"/>
  <sheetViews>
    <sheetView showGridLines="0" workbookViewId="0">
      <selection activeCell="C16" sqref="C16"/>
    </sheetView>
  </sheetViews>
  <sheetFormatPr defaultColWidth="8.77734375" defaultRowHeight="14.4" x14ac:dyDescent="0.3"/>
  <cols>
    <col min="1" max="1" width="15.109375" bestFit="1" customWidth="1"/>
    <col min="2" max="2" width="11.109375" bestFit="1" customWidth="1"/>
    <col min="3" max="3" width="16.77734375" style="40" bestFit="1" customWidth="1"/>
    <col min="4" max="4" width="17.44140625" style="41" customWidth="1"/>
    <col min="5" max="5" width="14.109375" customWidth="1"/>
    <col min="6" max="6" width="23" customWidth="1"/>
  </cols>
  <sheetData>
    <row r="1" spans="1:6" x14ac:dyDescent="0.3">
      <c r="A1" s="50" t="s">
        <v>30</v>
      </c>
      <c r="B1" s="1">
        <v>46266</v>
      </c>
      <c r="C1" s="1"/>
    </row>
    <row r="3" spans="1:6" x14ac:dyDescent="0.3">
      <c r="A3" s="51" t="s">
        <v>31</v>
      </c>
      <c r="B3" s="52" t="s">
        <v>32</v>
      </c>
      <c r="C3" s="53" t="s">
        <v>23</v>
      </c>
      <c r="D3" s="54" t="s">
        <v>33</v>
      </c>
      <c r="E3" s="55"/>
      <c r="F3" s="55" t="s">
        <v>14</v>
      </c>
    </row>
    <row r="4" spans="1:6" x14ac:dyDescent="0.3">
      <c r="A4" t="s">
        <v>354</v>
      </c>
      <c r="B4" s="1">
        <v>46092</v>
      </c>
      <c r="C4" s="40">
        <v>7045550165001</v>
      </c>
      <c r="D4" s="41">
        <v>-8600</v>
      </c>
      <c r="E4" t="s">
        <v>34</v>
      </c>
      <c r="F4" t="s">
        <v>35</v>
      </c>
    </row>
    <row r="5" spans="1:6" x14ac:dyDescent="0.3">
      <c r="A5" t="s">
        <v>354</v>
      </c>
      <c r="B5" s="1">
        <v>46121</v>
      </c>
      <c r="C5" s="40">
        <v>7045550165001</v>
      </c>
      <c r="D5" s="41">
        <v>-8400</v>
      </c>
      <c r="E5" t="s">
        <v>34</v>
      </c>
      <c r="F5" t="s">
        <v>35</v>
      </c>
    </row>
    <row r="6" spans="1:6" x14ac:dyDescent="0.3">
      <c r="A6" t="s">
        <v>354</v>
      </c>
      <c r="B6" s="1">
        <v>46155</v>
      </c>
      <c r="C6" s="40">
        <v>7045550165001</v>
      </c>
      <c r="D6" s="41">
        <v>-8900</v>
      </c>
      <c r="E6" t="s">
        <v>34</v>
      </c>
      <c r="F6" t="s">
        <v>35</v>
      </c>
    </row>
    <row r="7" spans="1:6" x14ac:dyDescent="0.3">
      <c r="A7" t="s">
        <v>354</v>
      </c>
      <c r="B7" s="1">
        <v>46191</v>
      </c>
      <c r="C7" s="40">
        <v>7045550165001</v>
      </c>
      <c r="D7" s="41">
        <v>-9150</v>
      </c>
      <c r="E7" t="s">
        <v>34</v>
      </c>
      <c r="F7" t="s">
        <v>336</v>
      </c>
    </row>
    <row r="8" spans="1:6" x14ac:dyDescent="0.3">
      <c r="A8" t="s">
        <v>354</v>
      </c>
      <c r="B8" s="1">
        <v>46218</v>
      </c>
      <c r="C8" s="40">
        <v>7045550165001</v>
      </c>
      <c r="D8" s="41">
        <v>-8300</v>
      </c>
      <c r="E8" t="s">
        <v>34</v>
      </c>
      <c r="F8" t="s">
        <v>336</v>
      </c>
    </row>
    <row r="10" spans="1:6" x14ac:dyDescent="0.3">
      <c r="D10" s="41">
        <f>SUM(D4:D8)</f>
        <v>-43350</v>
      </c>
      <c r="E10">
        <f>SUM(E4:E8)</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23"/>
  <sheetViews>
    <sheetView tabSelected="1" workbookViewId="0">
      <pane ySplit="1" topLeftCell="A2" activePane="bottomLeft" state="frozen"/>
      <selection pane="bottomLeft" activeCell="M11" sqref="M11"/>
    </sheetView>
  </sheetViews>
  <sheetFormatPr defaultColWidth="8.77734375" defaultRowHeight="14.4" x14ac:dyDescent="0.3"/>
  <cols>
    <col min="1" max="1" width="15.77734375" bestFit="1" customWidth="1"/>
    <col min="2" max="2" width="16.77734375" style="40" bestFit="1" customWidth="1"/>
    <col min="3" max="3" width="6.44140625" bestFit="1" customWidth="1"/>
    <col min="4" max="4" width="15" style="41" bestFit="1" customWidth="1"/>
    <col min="5" max="5" width="10.77734375" bestFit="1" customWidth="1"/>
    <col min="6" max="7" width="10.44140625" style="41" bestFit="1" customWidth="1"/>
    <col min="8" max="8" width="20.44140625" bestFit="1" customWidth="1"/>
    <col min="9" max="9" width="6.44140625" bestFit="1" customWidth="1"/>
    <col min="10" max="10" width="9.44140625" bestFit="1" customWidth="1"/>
    <col min="11" max="11" width="29.109375" bestFit="1"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18.44140625" bestFit="1"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36</v>
      </c>
      <c r="B1" s="40" t="s">
        <v>23</v>
      </c>
      <c r="C1" t="s">
        <v>37</v>
      </c>
      <c r="D1" s="41" t="s">
        <v>38</v>
      </c>
      <c r="E1" t="s">
        <v>32</v>
      </c>
      <c r="F1" s="41" t="s">
        <v>39</v>
      </c>
      <c r="G1" s="41" t="s">
        <v>40</v>
      </c>
      <c r="H1" t="s">
        <v>14</v>
      </c>
      <c r="I1" t="s">
        <v>41</v>
      </c>
      <c r="J1" t="s">
        <v>42</v>
      </c>
      <c r="K1" t="s">
        <v>43</v>
      </c>
      <c r="L1" t="s">
        <v>44</v>
      </c>
      <c r="M1" t="s">
        <v>45</v>
      </c>
      <c r="N1" t="s">
        <v>46</v>
      </c>
      <c r="O1" t="s">
        <v>47</v>
      </c>
      <c r="P1" t="s">
        <v>48</v>
      </c>
      <c r="Q1" t="s">
        <v>49</v>
      </c>
      <c r="R1" t="s">
        <v>50</v>
      </c>
      <c r="S1" t="s">
        <v>51</v>
      </c>
      <c r="T1" t="s">
        <v>52</v>
      </c>
      <c r="U1" t="s">
        <v>53</v>
      </c>
      <c r="V1" t="s">
        <v>54</v>
      </c>
      <c r="W1" t="s">
        <v>55</v>
      </c>
      <c r="X1" t="s">
        <v>56</v>
      </c>
      <c r="Y1" t="s">
        <v>57</v>
      </c>
      <c r="Z1" t="s">
        <v>58</v>
      </c>
      <c r="AA1" t="s">
        <v>59</v>
      </c>
      <c r="AB1" t="s">
        <v>60</v>
      </c>
    </row>
    <row r="2" spans="1:28" x14ac:dyDescent="0.3">
      <c r="A2" t="s">
        <v>335</v>
      </c>
      <c r="B2" s="40">
        <v>7045550165001</v>
      </c>
      <c r="C2" t="s">
        <v>166</v>
      </c>
      <c r="D2" s="61" t="e">
        <f>D1+F2-G2</f>
        <v>#VALUE!</v>
      </c>
      <c r="E2" s="1">
        <v>46090</v>
      </c>
      <c r="F2" s="41">
        <v>4500</v>
      </c>
      <c r="G2" s="59">
        <v>0</v>
      </c>
      <c r="H2" t="s">
        <v>336</v>
      </c>
      <c r="I2" t="s">
        <v>62</v>
      </c>
      <c r="J2" t="s">
        <v>337</v>
      </c>
      <c r="K2" t="s">
        <v>358</v>
      </c>
      <c r="U2" s="1">
        <v>46090</v>
      </c>
      <c r="V2" t="s">
        <v>359</v>
      </c>
      <c r="W2" t="s">
        <v>63</v>
      </c>
      <c r="Y2" t="s">
        <v>335</v>
      </c>
      <c r="Z2" t="s">
        <v>66</v>
      </c>
      <c r="AA2">
        <v>7045550165001</v>
      </c>
      <c r="AB2" t="s">
        <v>360</v>
      </c>
    </row>
    <row r="3" spans="1:28" x14ac:dyDescent="0.3">
      <c r="A3" t="s">
        <v>335</v>
      </c>
      <c r="B3" s="40">
        <v>7045550165001</v>
      </c>
      <c r="C3" t="s">
        <v>166</v>
      </c>
      <c r="D3" s="61" t="e">
        <f>D2+F3-G3</f>
        <v>#VALUE!</v>
      </c>
      <c r="E3" s="1">
        <v>46091</v>
      </c>
      <c r="F3" s="41">
        <v>3800</v>
      </c>
      <c r="G3" s="59">
        <v>0</v>
      </c>
      <c r="H3" t="s">
        <v>338</v>
      </c>
      <c r="I3" t="s">
        <v>62</v>
      </c>
      <c r="J3" t="s">
        <v>337</v>
      </c>
      <c r="K3" t="s">
        <v>361</v>
      </c>
      <c r="U3" s="1">
        <v>46091</v>
      </c>
      <c r="V3" t="s">
        <v>362</v>
      </c>
      <c r="W3" t="s">
        <v>363</v>
      </c>
      <c r="Y3" t="s">
        <v>335</v>
      </c>
      <c r="Z3" t="s">
        <v>66</v>
      </c>
      <c r="AA3">
        <v>7045550165001</v>
      </c>
      <c r="AB3" t="s">
        <v>364</v>
      </c>
    </row>
    <row r="4" spans="1:28" x14ac:dyDescent="0.3">
      <c r="A4" t="s">
        <v>335</v>
      </c>
      <c r="B4" s="40">
        <v>7045550165001</v>
      </c>
      <c r="C4" t="s">
        <v>166</v>
      </c>
      <c r="D4" s="61" t="e">
        <f>D3+F4-G4</f>
        <v>#VALUE!</v>
      </c>
      <c r="E4" s="1">
        <v>46118</v>
      </c>
      <c r="F4" s="41">
        <v>3200</v>
      </c>
      <c r="G4" s="59">
        <v>0</v>
      </c>
      <c r="H4" t="s">
        <v>336</v>
      </c>
      <c r="I4" t="s">
        <v>62</v>
      </c>
      <c r="J4" t="s">
        <v>337</v>
      </c>
      <c r="K4" t="s">
        <v>369</v>
      </c>
      <c r="U4" s="1">
        <v>46118</v>
      </c>
      <c r="V4" t="s">
        <v>370</v>
      </c>
      <c r="W4" t="s">
        <v>65</v>
      </c>
      <c r="Y4" t="s">
        <v>335</v>
      </c>
      <c r="Z4" t="s">
        <v>66</v>
      </c>
      <c r="AA4">
        <v>7045550165001</v>
      </c>
      <c r="AB4" t="s">
        <v>371</v>
      </c>
    </row>
    <row r="5" spans="1:28" x14ac:dyDescent="0.3">
      <c r="A5" t="s">
        <v>335</v>
      </c>
      <c r="B5" s="40">
        <v>7045550165001</v>
      </c>
      <c r="C5" t="s">
        <v>166</v>
      </c>
      <c r="D5" s="61" t="e">
        <f>D4+F5-G5</f>
        <v>#VALUE!</v>
      </c>
      <c r="E5" s="1">
        <v>46092</v>
      </c>
      <c r="F5" s="41">
        <v>0</v>
      </c>
      <c r="G5" s="59">
        <v>8600</v>
      </c>
      <c r="H5" t="s">
        <v>35</v>
      </c>
      <c r="I5" t="s">
        <v>34</v>
      </c>
      <c r="J5" t="s">
        <v>339</v>
      </c>
      <c r="K5" t="s">
        <v>365</v>
      </c>
      <c r="U5" s="1">
        <v>46092</v>
      </c>
      <c r="V5" t="s">
        <v>335</v>
      </c>
      <c r="W5" t="s">
        <v>66</v>
      </c>
      <c r="X5">
        <v>7045550165001</v>
      </c>
      <c r="Y5" t="s">
        <v>366</v>
      </c>
      <c r="Z5" t="s">
        <v>367</v>
      </c>
      <c r="AA5" t="s">
        <v>368</v>
      </c>
      <c r="AB5" t="s">
        <v>360</v>
      </c>
    </row>
    <row r="6" spans="1:28" x14ac:dyDescent="0.3">
      <c r="A6" t="s">
        <v>335</v>
      </c>
      <c r="B6" s="40">
        <v>7045550165001</v>
      </c>
      <c r="C6" t="s">
        <v>166</v>
      </c>
      <c r="D6" s="61" t="e">
        <f>D5+F6-G6</f>
        <v>#VALUE!</v>
      </c>
      <c r="E6" s="1">
        <v>46119</v>
      </c>
      <c r="F6" s="41">
        <v>2900</v>
      </c>
      <c r="G6" s="59">
        <v>0</v>
      </c>
      <c r="H6" t="s">
        <v>338</v>
      </c>
      <c r="I6" t="s">
        <v>62</v>
      </c>
      <c r="J6" t="s">
        <v>337</v>
      </c>
      <c r="K6" t="s">
        <v>372</v>
      </c>
      <c r="U6" s="1">
        <v>46119</v>
      </c>
      <c r="V6" t="s">
        <v>373</v>
      </c>
      <c r="W6" t="s">
        <v>64</v>
      </c>
      <c r="Y6" t="s">
        <v>335</v>
      </c>
      <c r="Z6" t="s">
        <v>66</v>
      </c>
      <c r="AA6">
        <v>7045550165001</v>
      </c>
      <c r="AB6" t="s">
        <v>360</v>
      </c>
    </row>
    <row r="7" spans="1:28" x14ac:dyDescent="0.3">
      <c r="A7" t="s">
        <v>335</v>
      </c>
      <c r="B7" s="40">
        <v>7045550165001</v>
      </c>
      <c r="C7" t="s">
        <v>166</v>
      </c>
      <c r="D7" s="61" t="e">
        <f>D6+F7-G7</f>
        <v>#VALUE!</v>
      </c>
      <c r="E7" s="1">
        <v>46153</v>
      </c>
      <c r="F7" s="41">
        <v>2750</v>
      </c>
      <c r="G7" s="59">
        <v>0</v>
      </c>
      <c r="H7" t="s">
        <v>336</v>
      </c>
      <c r="I7" t="s">
        <v>62</v>
      </c>
      <c r="J7" t="s">
        <v>337</v>
      </c>
      <c r="K7" t="s">
        <v>381</v>
      </c>
      <c r="U7" s="1">
        <v>46153</v>
      </c>
      <c r="V7" t="s">
        <v>382</v>
      </c>
      <c r="W7" t="s">
        <v>383</v>
      </c>
      <c r="Y7" t="s">
        <v>335</v>
      </c>
      <c r="Z7" t="s">
        <v>66</v>
      </c>
      <c r="AA7">
        <v>7045550165001</v>
      </c>
      <c r="AB7" t="s">
        <v>364</v>
      </c>
    </row>
    <row r="8" spans="1:28" x14ac:dyDescent="0.3">
      <c r="A8" t="s">
        <v>335</v>
      </c>
      <c r="B8" s="40">
        <v>7045550165001</v>
      </c>
      <c r="C8" t="s">
        <v>166</v>
      </c>
      <c r="D8" s="61" t="e">
        <f>D7+F8-G8</f>
        <v>#VALUE!</v>
      </c>
      <c r="E8" s="1">
        <v>46154</v>
      </c>
      <c r="F8" s="41">
        <v>2600</v>
      </c>
      <c r="G8" s="59">
        <v>0</v>
      </c>
      <c r="H8" t="s">
        <v>338</v>
      </c>
      <c r="I8" t="s">
        <v>62</v>
      </c>
      <c r="J8" t="s">
        <v>337</v>
      </c>
      <c r="K8" t="s">
        <v>384</v>
      </c>
      <c r="U8" s="1">
        <v>46154</v>
      </c>
      <c r="V8" t="s">
        <v>385</v>
      </c>
      <c r="W8" t="s">
        <v>356</v>
      </c>
      <c r="Y8" t="s">
        <v>335</v>
      </c>
      <c r="Z8" t="s">
        <v>66</v>
      </c>
      <c r="AA8">
        <v>7045550165001</v>
      </c>
      <c r="AB8" t="s">
        <v>371</v>
      </c>
    </row>
    <row r="9" spans="1:28" x14ac:dyDescent="0.3">
      <c r="A9" t="s">
        <v>335</v>
      </c>
      <c r="B9" s="40">
        <v>7045550165001</v>
      </c>
      <c r="C9" t="s">
        <v>166</v>
      </c>
      <c r="D9" s="61" t="e">
        <f>D8+F9-G9</f>
        <v>#VALUE!</v>
      </c>
      <c r="E9" s="1">
        <v>46121</v>
      </c>
      <c r="F9" s="41">
        <v>0</v>
      </c>
      <c r="G9" s="59">
        <v>8400</v>
      </c>
      <c r="H9" t="s">
        <v>35</v>
      </c>
      <c r="I9" t="s">
        <v>34</v>
      </c>
      <c r="J9" t="s">
        <v>339</v>
      </c>
      <c r="K9" t="s">
        <v>374</v>
      </c>
      <c r="U9" s="1">
        <v>46121</v>
      </c>
      <c r="V9" t="s">
        <v>335</v>
      </c>
      <c r="W9" t="s">
        <v>66</v>
      </c>
      <c r="X9">
        <v>7045550165001</v>
      </c>
      <c r="Y9" t="s">
        <v>375</v>
      </c>
      <c r="Z9" t="s">
        <v>376</v>
      </c>
      <c r="AA9" t="s">
        <v>377</v>
      </c>
      <c r="AB9" t="s">
        <v>364</v>
      </c>
    </row>
    <row r="10" spans="1:28" x14ac:dyDescent="0.3">
      <c r="A10" t="s">
        <v>335</v>
      </c>
      <c r="B10" s="40">
        <v>7045550165001</v>
      </c>
      <c r="C10" t="s">
        <v>166</v>
      </c>
      <c r="D10" s="61" t="e">
        <f>D9+F10-G10</f>
        <v>#VALUE!</v>
      </c>
      <c r="E10" s="1">
        <v>46155</v>
      </c>
      <c r="F10" s="41">
        <v>0</v>
      </c>
      <c r="G10" s="59">
        <v>8900</v>
      </c>
      <c r="H10" t="s">
        <v>35</v>
      </c>
      <c r="I10" t="s">
        <v>34</v>
      </c>
      <c r="J10" t="s">
        <v>339</v>
      </c>
      <c r="K10" t="s">
        <v>386</v>
      </c>
      <c r="U10" s="1">
        <v>46155</v>
      </c>
      <c r="V10" t="s">
        <v>335</v>
      </c>
      <c r="W10" t="s">
        <v>66</v>
      </c>
      <c r="X10">
        <v>7045550165001</v>
      </c>
      <c r="Y10" t="s">
        <v>387</v>
      </c>
      <c r="Z10" t="s">
        <v>388</v>
      </c>
      <c r="AA10" t="s">
        <v>389</v>
      </c>
      <c r="AB10" t="s">
        <v>371</v>
      </c>
    </row>
    <row r="11" spans="1:28" x14ac:dyDescent="0.3">
      <c r="A11" t="s">
        <v>335</v>
      </c>
      <c r="B11" s="40">
        <v>7045550165001</v>
      </c>
      <c r="C11" t="s">
        <v>166</v>
      </c>
      <c r="D11" s="61" t="e">
        <f>D10+F11-G11</f>
        <v>#VALUE!</v>
      </c>
      <c r="E11" s="1">
        <v>46188</v>
      </c>
      <c r="F11" s="41">
        <v>2450</v>
      </c>
      <c r="G11" s="59">
        <v>0</v>
      </c>
      <c r="H11" t="s">
        <v>336</v>
      </c>
      <c r="I11" t="s">
        <v>62</v>
      </c>
      <c r="J11" t="s">
        <v>337</v>
      </c>
      <c r="K11" t="s">
        <v>390</v>
      </c>
      <c r="U11" s="1">
        <v>46188</v>
      </c>
      <c r="V11" t="s">
        <v>391</v>
      </c>
      <c r="W11" t="s">
        <v>340</v>
      </c>
      <c r="Y11" t="s">
        <v>335</v>
      </c>
      <c r="Z11" t="s">
        <v>66</v>
      </c>
      <c r="AA11">
        <v>7045550165001</v>
      </c>
      <c r="AB11" t="s">
        <v>360</v>
      </c>
    </row>
    <row r="12" spans="1:28" x14ac:dyDescent="0.3">
      <c r="A12" t="s">
        <v>335</v>
      </c>
      <c r="B12" s="40">
        <v>7045550165001</v>
      </c>
      <c r="C12" t="s">
        <v>166</v>
      </c>
      <c r="D12" s="61" t="e">
        <f>D11+F12-G12</f>
        <v>#VALUE!</v>
      </c>
      <c r="E12" s="1">
        <v>46189</v>
      </c>
      <c r="F12" s="41">
        <v>2300</v>
      </c>
      <c r="G12" s="59">
        <v>0</v>
      </c>
      <c r="H12" t="s">
        <v>338</v>
      </c>
      <c r="I12" t="s">
        <v>62</v>
      </c>
      <c r="J12" t="s">
        <v>337</v>
      </c>
      <c r="K12" t="s">
        <v>392</v>
      </c>
      <c r="U12" s="1">
        <v>46189</v>
      </c>
      <c r="V12" t="s">
        <v>393</v>
      </c>
      <c r="W12" t="s">
        <v>394</v>
      </c>
      <c r="Y12" t="s">
        <v>335</v>
      </c>
      <c r="Z12" t="s">
        <v>66</v>
      </c>
      <c r="AA12">
        <v>7045550165001</v>
      </c>
      <c r="AB12" t="s">
        <v>364</v>
      </c>
    </row>
    <row r="13" spans="1:28" x14ac:dyDescent="0.3">
      <c r="A13" t="s">
        <v>335</v>
      </c>
      <c r="B13" s="40">
        <v>7045550165001</v>
      </c>
      <c r="C13" t="s">
        <v>166</v>
      </c>
      <c r="D13" s="61" t="e">
        <f>D12+F13-G13</f>
        <v>#VALUE!</v>
      </c>
      <c r="E13" s="1">
        <v>46216</v>
      </c>
      <c r="F13" s="41">
        <v>2000</v>
      </c>
      <c r="G13" s="59">
        <v>0</v>
      </c>
      <c r="H13" t="s">
        <v>336</v>
      </c>
      <c r="I13" t="s">
        <v>62</v>
      </c>
      <c r="J13" t="s">
        <v>337</v>
      </c>
      <c r="K13" t="s">
        <v>397</v>
      </c>
      <c r="U13" s="1">
        <v>46216</v>
      </c>
      <c r="V13" t="s">
        <v>398</v>
      </c>
      <c r="W13" t="s">
        <v>367</v>
      </c>
      <c r="Y13" t="s">
        <v>335</v>
      </c>
      <c r="Z13" t="s">
        <v>66</v>
      </c>
      <c r="AA13">
        <v>7045550165001</v>
      </c>
      <c r="AB13" t="s">
        <v>371</v>
      </c>
    </row>
    <row r="14" spans="1:28" x14ac:dyDescent="0.3">
      <c r="A14" t="s">
        <v>335</v>
      </c>
      <c r="B14" s="40">
        <v>7045550165001</v>
      </c>
      <c r="C14" t="s">
        <v>166</v>
      </c>
      <c r="D14" s="61" t="e">
        <f>D13+F14-G14</f>
        <v>#VALUE!</v>
      </c>
      <c r="E14" s="1">
        <v>46191</v>
      </c>
      <c r="F14" s="41">
        <v>0</v>
      </c>
      <c r="G14" s="59">
        <v>9150</v>
      </c>
      <c r="H14" t="s">
        <v>336</v>
      </c>
      <c r="I14" t="s">
        <v>34</v>
      </c>
      <c r="J14" t="s">
        <v>339</v>
      </c>
      <c r="K14" t="s">
        <v>395</v>
      </c>
      <c r="U14" s="1">
        <v>46191</v>
      </c>
      <c r="V14" t="s">
        <v>335</v>
      </c>
      <c r="W14" t="s">
        <v>66</v>
      </c>
      <c r="X14">
        <v>7045550165001</v>
      </c>
      <c r="Y14" t="s">
        <v>396</v>
      </c>
      <c r="Z14" t="s">
        <v>363</v>
      </c>
      <c r="AB14" t="s">
        <v>360</v>
      </c>
    </row>
    <row r="15" spans="1:28" x14ac:dyDescent="0.3">
      <c r="A15" t="s">
        <v>335</v>
      </c>
      <c r="B15" s="40">
        <v>7045550165001</v>
      </c>
      <c r="C15" t="s">
        <v>166</v>
      </c>
      <c r="D15" s="61" t="e">
        <f>D14+F15-G15</f>
        <v>#VALUE!</v>
      </c>
      <c r="E15" s="1">
        <v>46217</v>
      </c>
      <c r="F15" s="41">
        <v>2000</v>
      </c>
      <c r="G15" s="59">
        <v>0</v>
      </c>
      <c r="H15" t="s">
        <v>338</v>
      </c>
      <c r="I15" t="s">
        <v>62</v>
      </c>
      <c r="J15" t="s">
        <v>337</v>
      </c>
      <c r="K15" t="s">
        <v>399</v>
      </c>
      <c r="U15" s="1">
        <v>46217</v>
      </c>
      <c r="V15" t="s">
        <v>400</v>
      </c>
      <c r="W15" t="s">
        <v>388</v>
      </c>
      <c r="Y15" t="s">
        <v>335</v>
      </c>
      <c r="Z15" t="s">
        <v>66</v>
      </c>
      <c r="AA15">
        <v>7045550165001</v>
      </c>
      <c r="AB15" t="s">
        <v>360</v>
      </c>
    </row>
    <row r="16" spans="1:28" x14ac:dyDescent="0.3">
      <c r="A16" t="s">
        <v>335</v>
      </c>
      <c r="B16" s="40">
        <v>7045550165001</v>
      </c>
      <c r="C16" t="s">
        <v>166</v>
      </c>
      <c r="D16" s="61">
        <v>4430</v>
      </c>
      <c r="E16" s="1">
        <v>46084</v>
      </c>
      <c r="F16" s="41">
        <v>3250</v>
      </c>
      <c r="G16" s="59">
        <v>0</v>
      </c>
      <c r="H16" t="s">
        <v>338</v>
      </c>
      <c r="I16" t="s">
        <v>62</v>
      </c>
      <c r="J16" t="s">
        <v>61</v>
      </c>
      <c r="K16" t="s">
        <v>355</v>
      </c>
      <c r="U16" s="1">
        <v>46084</v>
      </c>
      <c r="V16" t="s">
        <v>353</v>
      </c>
      <c r="W16" t="s">
        <v>356</v>
      </c>
      <c r="AB16" t="s">
        <v>357</v>
      </c>
    </row>
    <row r="17" spans="1:28" x14ac:dyDescent="0.3">
      <c r="A17" t="s">
        <v>335</v>
      </c>
      <c r="B17" s="40">
        <v>7045550165001</v>
      </c>
      <c r="C17" t="s">
        <v>166</v>
      </c>
      <c r="D17" s="61">
        <f>D16+F17-G17</f>
        <v>7680</v>
      </c>
      <c r="E17" s="1">
        <v>46115</v>
      </c>
      <c r="F17" s="41">
        <v>3250</v>
      </c>
      <c r="G17" s="59">
        <v>0</v>
      </c>
      <c r="H17" t="s">
        <v>338</v>
      </c>
      <c r="I17" t="s">
        <v>62</v>
      </c>
      <c r="J17" t="s">
        <v>61</v>
      </c>
      <c r="K17" t="s">
        <v>355</v>
      </c>
      <c r="U17" s="1">
        <v>46115</v>
      </c>
      <c r="V17" t="s">
        <v>353</v>
      </c>
      <c r="W17" t="s">
        <v>356</v>
      </c>
      <c r="AB17" t="s">
        <v>357</v>
      </c>
    </row>
    <row r="18" spans="1:28" x14ac:dyDescent="0.3">
      <c r="A18" t="s">
        <v>335</v>
      </c>
      <c r="B18" s="40">
        <v>7045550165001</v>
      </c>
      <c r="C18" t="s">
        <v>166</v>
      </c>
      <c r="D18" s="61">
        <f>D17+F18-G18</f>
        <v>-620</v>
      </c>
      <c r="E18" s="1">
        <v>46218</v>
      </c>
      <c r="F18" s="41">
        <v>0</v>
      </c>
      <c r="G18" s="59">
        <v>8300</v>
      </c>
      <c r="H18" t="s">
        <v>336</v>
      </c>
      <c r="I18" t="s">
        <v>34</v>
      </c>
      <c r="J18" t="s">
        <v>339</v>
      </c>
      <c r="K18" t="s">
        <v>401</v>
      </c>
      <c r="U18" s="1">
        <v>46218</v>
      </c>
      <c r="V18" t="s">
        <v>335</v>
      </c>
      <c r="W18" t="s">
        <v>66</v>
      </c>
      <c r="X18">
        <v>7045550165001</v>
      </c>
      <c r="Y18" t="s">
        <v>402</v>
      </c>
      <c r="Z18" t="s">
        <v>340</v>
      </c>
      <c r="AB18" t="s">
        <v>364</v>
      </c>
    </row>
    <row r="19" spans="1:28" x14ac:dyDescent="0.3">
      <c r="A19" t="s">
        <v>335</v>
      </c>
      <c r="B19" s="40">
        <v>7045550165001</v>
      </c>
      <c r="C19" t="s">
        <v>166</v>
      </c>
      <c r="D19" s="61">
        <f>D18+F19-G19</f>
        <v>2630</v>
      </c>
      <c r="E19" s="1">
        <v>46146</v>
      </c>
      <c r="F19" s="41">
        <v>3250</v>
      </c>
      <c r="G19" s="59">
        <v>0</v>
      </c>
      <c r="H19" t="s">
        <v>338</v>
      </c>
      <c r="I19" t="s">
        <v>62</v>
      </c>
      <c r="J19" t="s">
        <v>61</v>
      </c>
      <c r="K19" t="s">
        <v>355</v>
      </c>
      <c r="U19" s="1">
        <v>46146</v>
      </c>
      <c r="V19" t="s">
        <v>353</v>
      </c>
      <c r="W19" t="s">
        <v>356</v>
      </c>
      <c r="AB19" t="s">
        <v>357</v>
      </c>
    </row>
    <row r="20" spans="1:28" x14ac:dyDescent="0.3">
      <c r="A20" t="s">
        <v>335</v>
      </c>
      <c r="B20" s="40">
        <v>7045550165001</v>
      </c>
      <c r="C20" t="s">
        <v>166</v>
      </c>
      <c r="D20" s="61">
        <f>D19+F20-G20</f>
        <v>5880</v>
      </c>
      <c r="E20" s="1">
        <v>46176</v>
      </c>
      <c r="F20" s="41">
        <v>3250</v>
      </c>
      <c r="G20" s="59">
        <v>0</v>
      </c>
      <c r="H20" t="s">
        <v>338</v>
      </c>
      <c r="I20" t="s">
        <v>62</v>
      </c>
      <c r="J20" t="s">
        <v>61</v>
      </c>
      <c r="K20" t="s">
        <v>355</v>
      </c>
      <c r="U20" s="1">
        <v>46176</v>
      </c>
      <c r="V20" t="s">
        <v>353</v>
      </c>
      <c r="W20" t="s">
        <v>356</v>
      </c>
      <c r="AB20" t="s">
        <v>357</v>
      </c>
    </row>
    <row r="21" spans="1:28" x14ac:dyDescent="0.3">
      <c r="A21" t="s">
        <v>335</v>
      </c>
      <c r="B21" s="40">
        <v>7045550165001</v>
      </c>
      <c r="C21" t="s">
        <v>166</v>
      </c>
      <c r="D21" s="61">
        <f>D20+F21-G21</f>
        <v>9130</v>
      </c>
      <c r="E21" s="1">
        <v>46206</v>
      </c>
      <c r="F21" s="41">
        <v>3250</v>
      </c>
      <c r="G21" s="59">
        <v>0</v>
      </c>
      <c r="H21" t="s">
        <v>338</v>
      </c>
      <c r="I21" t="s">
        <v>62</v>
      </c>
      <c r="J21" t="s">
        <v>61</v>
      </c>
      <c r="K21" t="s">
        <v>355</v>
      </c>
      <c r="U21" s="1">
        <v>46206</v>
      </c>
      <c r="V21" t="s">
        <v>353</v>
      </c>
      <c r="W21" t="s">
        <v>356</v>
      </c>
      <c r="AB21" t="s">
        <v>357</v>
      </c>
    </row>
    <row r="22" spans="1:28" x14ac:dyDescent="0.3">
      <c r="A22" t="s">
        <v>335</v>
      </c>
      <c r="B22" s="40">
        <v>7045550165001</v>
      </c>
      <c r="C22" t="s">
        <v>166</v>
      </c>
      <c r="D22" s="61">
        <f>D21+F22-G22</f>
        <v>7480</v>
      </c>
      <c r="E22" s="1">
        <v>46144</v>
      </c>
      <c r="F22" s="41">
        <v>0</v>
      </c>
      <c r="G22" s="59">
        <v>1650</v>
      </c>
      <c r="H22" t="s">
        <v>338</v>
      </c>
      <c r="I22" t="s">
        <v>34</v>
      </c>
      <c r="J22" t="s">
        <v>61</v>
      </c>
      <c r="K22" t="s">
        <v>378</v>
      </c>
      <c r="U22" s="1">
        <v>46144</v>
      </c>
      <c r="V22" t="s">
        <v>335</v>
      </c>
      <c r="W22" t="s">
        <v>66</v>
      </c>
      <c r="X22">
        <v>7045550165001</v>
      </c>
      <c r="Y22" t="s">
        <v>379</v>
      </c>
      <c r="Z22" t="s">
        <v>356</v>
      </c>
      <c r="AB22" t="s">
        <v>380</v>
      </c>
    </row>
    <row r="23" spans="1:28" x14ac:dyDescent="0.3">
      <c r="A23" t="s">
        <v>335</v>
      </c>
      <c r="B23" s="40">
        <v>7045550165001</v>
      </c>
      <c r="C23" t="s">
        <v>166</v>
      </c>
      <c r="D23" s="61">
        <f>D22+F23-G23</f>
        <v>10730</v>
      </c>
      <c r="E23" s="1">
        <v>46237</v>
      </c>
      <c r="F23" s="41">
        <v>3250</v>
      </c>
      <c r="G23" s="59">
        <v>0</v>
      </c>
      <c r="H23" t="s">
        <v>338</v>
      </c>
      <c r="I23" t="s">
        <v>62</v>
      </c>
      <c r="J23" t="s">
        <v>61</v>
      </c>
      <c r="K23" t="s">
        <v>355</v>
      </c>
      <c r="U23" s="1">
        <v>46237</v>
      </c>
      <c r="V23" t="s">
        <v>353</v>
      </c>
      <c r="W23" t="s">
        <v>356</v>
      </c>
      <c r="AB23" t="s">
        <v>357</v>
      </c>
    </row>
  </sheetData>
  <autoFilter ref="A1:AB23" xr:uid="{5611D810-DAFA-4F31-B6DD-45D854AF5F85}">
    <sortState xmlns:xlrd2="http://schemas.microsoft.com/office/spreadsheetml/2017/richdata2" ref="A5:AB22">
      <sortCondition ref="J1:J23"/>
    </sortState>
  </autoFilter>
  <phoneticPr fontId="15" type="noConversion"/>
  <pageMargins left="0.7" right="0.7" top="0.75" bottom="0.75" header="0.3" footer="0.3"/>
  <pageSetup orientation="portrait" r:id="rId1"/>
  <ignoredErrors>
    <ignoredError sqref="D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6"/>
  <sheetViews>
    <sheetView showGridLines="0" workbookViewId="0">
      <selection activeCell="E24" sqref="E24"/>
    </sheetView>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6" t="s">
        <v>32</v>
      </c>
      <c r="B1" s="47" t="s">
        <v>67</v>
      </c>
      <c r="C1" s="48" t="s">
        <v>68</v>
      </c>
      <c r="D1" s="46" t="s">
        <v>69</v>
      </c>
      <c r="E1" s="46" t="s">
        <v>70</v>
      </c>
      <c r="F1" s="46" t="s">
        <v>71</v>
      </c>
      <c r="G1" s="49" t="s">
        <v>72</v>
      </c>
      <c r="H1" s="49" t="s">
        <v>73</v>
      </c>
      <c r="I1" s="46" t="s">
        <v>74</v>
      </c>
      <c r="J1" s="47" t="s">
        <v>75</v>
      </c>
      <c r="K1" s="48" t="s">
        <v>76</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2" spans="1:16384" x14ac:dyDescent="0.3">
      <c r="A2" s="1">
        <v>46092</v>
      </c>
      <c r="B2" t="s">
        <v>335</v>
      </c>
      <c r="C2" t="s">
        <v>403</v>
      </c>
      <c r="D2" t="s">
        <v>66</v>
      </c>
      <c r="E2" s="40" t="s">
        <v>404</v>
      </c>
      <c r="F2" t="s">
        <v>360</v>
      </c>
      <c r="G2" t="s">
        <v>366</v>
      </c>
      <c r="H2" t="s">
        <v>405</v>
      </c>
      <c r="I2" t="s">
        <v>367</v>
      </c>
      <c r="J2" t="s">
        <v>368</v>
      </c>
      <c r="K2" t="s">
        <v>360</v>
      </c>
    </row>
    <row r="3" spans="1:16384" x14ac:dyDescent="0.3">
      <c r="A3" s="1">
        <v>46121</v>
      </c>
      <c r="B3" t="s">
        <v>335</v>
      </c>
      <c r="C3" t="s">
        <v>403</v>
      </c>
      <c r="D3" t="s">
        <v>66</v>
      </c>
      <c r="E3" s="40" t="s">
        <v>404</v>
      </c>
      <c r="F3" t="s">
        <v>364</v>
      </c>
      <c r="G3" t="s">
        <v>375</v>
      </c>
      <c r="H3" t="s">
        <v>406</v>
      </c>
      <c r="I3" t="s">
        <v>376</v>
      </c>
      <c r="J3" t="s">
        <v>377</v>
      </c>
      <c r="K3" t="s">
        <v>364</v>
      </c>
    </row>
    <row r="4" spans="1:16384" x14ac:dyDescent="0.3">
      <c r="A4" s="1">
        <v>46155</v>
      </c>
      <c r="B4" t="s">
        <v>335</v>
      </c>
      <c r="C4" t="s">
        <v>403</v>
      </c>
      <c r="D4" t="s">
        <v>66</v>
      </c>
      <c r="E4" s="40" t="s">
        <v>404</v>
      </c>
      <c r="F4" t="s">
        <v>371</v>
      </c>
      <c r="G4" t="s">
        <v>387</v>
      </c>
      <c r="H4" t="s">
        <v>407</v>
      </c>
      <c r="I4" t="s">
        <v>388</v>
      </c>
      <c r="J4" t="s">
        <v>389</v>
      </c>
      <c r="K4" t="s">
        <v>371</v>
      </c>
    </row>
    <row r="6" spans="1:16384" x14ac:dyDescent="0.3">
      <c r="A6" t="s">
        <v>408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2"/>
  <sheetViews>
    <sheetView showGridLines="0" workbookViewId="0">
      <selection activeCell="K33" sqref="K33"/>
    </sheetView>
  </sheetViews>
  <sheetFormatPr defaultColWidth="8.77734375" defaultRowHeight="14.4" x14ac:dyDescent="0.3"/>
  <cols>
    <col min="1" max="4" width="14.44140625" customWidth="1"/>
    <col min="5" max="5" width="3.109375" customWidth="1"/>
    <col min="6" max="9" width="14.44140625" customWidth="1"/>
  </cols>
  <sheetData>
    <row r="1" spans="1:9" ht="23.4" x14ac:dyDescent="0.3">
      <c r="A1" s="93" t="s">
        <v>409</v>
      </c>
      <c r="B1" s="102"/>
      <c r="C1" s="102"/>
      <c r="D1" s="102"/>
      <c r="E1" s="102"/>
      <c r="F1" s="102"/>
      <c r="G1" s="102"/>
      <c r="H1" s="102"/>
      <c r="I1" s="102"/>
    </row>
    <row r="2" spans="1:9" x14ac:dyDescent="0.3">
      <c r="A2" s="103" t="s">
        <v>410</v>
      </c>
      <c r="B2" s="102"/>
      <c r="C2" s="102"/>
      <c r="D2" s="102"/>
      <c r="E2" s="102"/>
      <c r="F2" s="102"/>
      <c r="G2" s="102"/>
      <c r="H2" s="102"/>
      <c r="I2" s="102"/>
    </row>
    <row r="3" spans="1:9" ht="15.6" x14ac:dyDescent="0.3">
      <c r="A3" s="104" t="s">
        <v>411</v>
      </c>
      <c r="B3" s="102"/>
      <c r="C3" s="102"/>
      <c r="D3" s="102"/>
      <c r="E3" s="102"/>
      <c r="F3" s="102"/>
      <c r="G3" s="102"/>
      <c r="H3" s="102"/>
      <c r="I3" s="102"/>
    </row>
    <row r="5" spans="1:9" ht="15.6" x14ac:dyDescent="0.3">
      <c r="A5" s="91" t="s">
        <v>412</v>
      </c>
      <c r="B5" s="91" t="s">
        <v>413</v>
      </c>
      <c r="C5" s="91" t="s">
        <v>414</v>
      </c>
      <c r="D5" s="91" t="s">
        <v>415</v>
      </c>
      <c r="E5" s="91" t="s">
        <v>416</v>
      </c>
      <c r="F5" s="91" t="s">
        <v>417</v>
      </c>
      <c r="G5" s="91" t="s">
        <v>418</v>
      </c>
      <c r="H5" s="91" t="s">
        <v>419</v>
      </c>
    </row>
    <row r="6" spans="1:9" x14ac:dyDescent="0.3">
      <c r="A6" t="s">
        <v>420</v>
      </c>
      <c r="B6" s="1">
        <v>46092</v>
      </c>
      <c r="C6" t="s">
        <v>421</v>
      </c>
      <c r="D6" t="s">
        <v>366</v>
      </c>
      <c r="E6" t="s">
        <v>422</v>
      </c>
      <c r="F6" t="s">
        <v>360</v>
      </c>
      <c r="G6">
        <v>8600</v>
      </c>
      <c r="H6" t="s">
        <v>423</v>
      </c>
    </row>
    <row r="7" spans="1:9" x14ac:dyDescent="0.3">
      <c r="A7" t="s">
        <v>424</v>
      </c>
      <c r="B7" s="1">
        <v>46121</v>
      </c>
      <c r="C7" t="s">
        <v>421</v>
      </c>
      <c r="D7" t="s">
        <v>375</v>
      </c>
      <c r="E7" t="s">
        <v>425</v>
      </c>
      <c r="F7" t="s">
        <v>364</v>
      </c>
      <c r="G7">
        <v>8400</v>
      </c>
      <c r="H7" t="s">
        <v>423</v>
      </c>
    </row>
    <row r="8" spans="1:9" x14ac:dyDescent="0.3">
      <c r="A8" t="s">
        <v>426</v>
      </c>
      <c r="B8" s="1">
        <v>46155</v>
      </c>
      <c r="C8" t="s">
        <v>421</v>
      </c>
      <c r="D8" t="s">
        <v>387</v>
      </c>
      <c r="E8" t="s">
        <v>427</v>
      </c>
      <c r="F8" t="s">
        <v>371</v>
      </c>
      <c r="G8">
        <v>8900</v>
      </c>
      <c r="H8" t="s">
        <v>423</v>
      </c>
    </row>
    <row r="9" spans="1:9" x14ac:dyDescent="0.3">
      <c r="A9" t="s">
        <v>428</v>
      </c>
      <c r="B9" s="1">
        <v>46191</v>
      </c>
      <c r="C9" t="s">
        <v>429</v>
      </c>
      <c r="D9" t="s">
        <v>396</v>
      </c>
      <c r="E9" t="s">
        <v>430</v>
      </c>
      <c r="F9" t="s">
        <v>360</v>
      </c>
      <c r="G9">
        <v>9150</v>
      </c>
      <c r="H9" t="s">
        <v>423</v>
      </c>
    </row>
    <row r="10" spans="1:9" x14ac:dyDescent="0.3">
      <c r="A10" t="s">
        <v>431</v>
      </c>
      <c r="B10" s="1">
        <v>46218</v>
      </c>
      <c r="C10" t="s">
        <v>429</v>
      </c>
      <c r="D10" t="s">
        <v>402</v>
      </c>
      <c r="E10" t="s">
        <v>432</v>
      </c>
      <c r="F10" t="s">
        <v>364</v>
      </c>
      <c r="G10">
        <v>8300</v>
      </c>
      <c r="H10" t="s">
        <v>423</v>
      </c>
    </row>
    <row r="12" spans="1:9" x14ac:dyDescent="0.3">
      <c r="A12" t="s">
        <v>433</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defaultColWidth="8.77734375" defaultRowHeight="14.4" x14ac:dyDescent="0.3"/>
  <sheetData>
    <row r="1" spans="1:1" x14ac:dyDescent="0.3">
      <c r="A1" t="s">
        <v>77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defaultColWidth="8.77734375" defaultRowHeight="14.4" x14ac:dyDescent="0.3"/>
  <cols>
    <col min="1" max="1" width="159.77734375" customWidth="1"/>
  </cols>
  <sheetData>
    <row r="1" spans="1:1" ht="409.5" customHeight="1" x14ac:dyDescent="0.3">
      <c r="A1" s="77"/>
    </row>
    <row r="2" spans="1:1" x14ac:dyDescent="0.3">
      <c r="A2" s="29"/>
    </row>
    <row r="3" spans="1:1" x14ac:dyDescent="0.3">
      <c r="A3" s="58"/>
    </row>
    <row r="4" spans="1:1" x14ac:dyDescent="0.3">
      <c r="A4" s="29"/>
    </row>
    <row r="5" spans="1:1" x14ac:dyDescent="0.3">
      <c r="A5" s="58"/>
    </row>
    <row r="6" spans="1:1" x14ac:dyDescent="0.3">
      <c r="A6" s="29"/>
    </row>
    <row r="7" spans="1:1" x14ac:dyDescent="0.3">
      <c r="A7" s="58"/>
    </row>
    <row r="8" spans="1:1" x14ac:dyDescent="0.3">
      <c r="A8" s="29"/>
    </row>
    <row r="9" spans="1:1" x14ac:dyDescent="0.3">
      <c r="A9" s="5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G18" sqref="G18"/>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107" t="s">
        <v>78</v>
      </c>
      <c r="C1" s="108"/>
      <c r="D1" s="108"/>
      <c r="E1" s="108"/>
      <c r="F1" s="108"/>
      <c r="G1" s="108"/>
      <c r="H1" s="108"/>
      <c r="I1" s="108"/>
      <c r="J1" s="108"/>
      <c r="K1" s="108"/>
      <c r="L1" s="108"/>
      <c r="M1" s="108"/>
      <c r="N1" s="109"/>
    </row>
    <row r="2" spans="2:14" ht="15" customHeight="1" x14ac:dyDescent="0.3">
      <c r="B2" s="110"/>
      <c r="C2" s="111"/>
      <c r="D2" s="111"/>
      <c r="E2" s="111"/>
      <c r="F2" s="111"/>
      <c r="G2" s="111"/>
      <c r="H2" s="111"/>
      <c r="I2" s="111"/>
      <c r="J2" s="111"/>
      <c r="K2" s="111"/>
      <c r="L2" s="111"/>
      <c r="M2" s="111"/>
      <c r="N2" s="112"/>
    </row>
    <row r="3" spans="2:14" ht="21" customHeight="1" x14ac:dyDescent="0.3">
      <c r="B3" s="113"/>
      <c r="C3" s="114"/>
      <c r="D3" s="114"/>
      <c r="E3" s="114"/>
      <c r="F3" s="114"/>
      <c r="G3" s="114"/>
      <c r="H3" s="114"/>
      <c r="I3" s="114"/>
      <c r="J3" s="114"/>
      <c r="K3" s="114"/>
      <c r="L3" s="114"/>
      <c r="M3" s="114"/>
      <c r="N3" s="115"/>
    </row>
    <row r="4" spans="2:14" ht="21" customHeight="1" x14ac:dyDescent="0.3">
      <c r="B4" s="2"/>
      <c r="C4" s="2"/>
      <c r="D4" s="2"/>
      <c r="E4" s="2"/>
      <c r="F4" s="2"/>
      <c r="G4" s="2"/>
      <c r="H4" s="2"/>
      <c r="I4" s="2"/>
      <c r="J4" s="2"/>
      <c r="K4" s="2"/>
      <c r="L4" s="2"/>
      <c r="M4" s="2"/>
      <c r="N4" s="2"/>
    </row>
    <row r="5" spans="2:14" ht="21" customHeight="1" x14ac:dyDescent="0.3">
      <c r="B5" s="3" t="s">
        <v>79</v>
      </c>
      <c r="C5" s="2"/>
      <c r="D5" s="2"/>
      <c r="E5" s="4" t="s">
        <v>80</v>
      </c>
      <c r="F5" s="2"/>
      <c r="G5" s="2"/>
      <c r="H5" s="2"/>
      <c r="I5" s="2"/>
      <c r="J5" s="2"/>
      <c r="K5" s="2"/>
      <c r="L5" s="2"/>
      <c r="M5" s="2"/>
      <c r="N5" s="2"/>
    </row>
    <row r="6" spans="2:14" ht="21" customHeight="1" x14ac:dyDescent="0.3">
      <c r="B6" s="116" t="s">
        <v>354</v>
      </c>
      <c r="C6" s="117"/>
      <c r="D6" s="2"/>
      <c r="E6" s="118"/>
      <c r="F6" s="119"/>
      <c r="G6" s="2"/>
      <c r="H6" s="2"/>
      <c r="I6" s="2"/>
      <c r="J6" s="2"/>
      <c r="K6" s="2"/>
      <c r="L6" s="2"/>
      <c r="M6" s="2"/>
      <c r="N6" s="2"/>
    </row>
    <row r="7" spans="2:14" ht="21" customHeight="1" x14ac:dyDescent="0.3">
      <c r="B7" s="120"/>
      <c r="C7" s="121"/>
      <c r="D7" s="2"/>
      <c r="E7" s="122"/>
      <c r="F7" s="123"/>
      <c r="G7" s="2"/>
      <c r="H7" s="2"/>
      <c r="I7" s="2"/>
      <c r="J7" s="2"/>
      <c r="K7" s="2"/>
      <c r="L7" s="2"/>
      <c r="M7" s="2"/>
      <c r="N7" s="2"/>
    </row>
    <row r="8" spans="2:14" ht="21" customHeight="1" x14ac:dyDescent="0.3">
      <c r="B8" s="105"/>
      <c r="C8" s="106"/>
      <c r="D8" s="2"/>
      <c r="E8" s="2"/>
      <c r="F8" s="2"/>
      <c r="G8" s="2"/>
      <c r="H8" s="2"/>
      <c r="I8" s="2"/>
      <c r="J8" s="2"/>
      <c r="K8" s="2"/>
      <c r="L8" s="2"/>
      <c r="M8" s="2"/>
      <c r="N8" s="2"/>
    </row>
    <row r="9" spans="2:14" ht="21" customHeight="1" x14ac:dyDescent="0.3">
      <c r="B9" s="3" t="s">
        <v>81</v>
      </c>
      <c r="C9" s="2"/>
      <c r="D9" s="2"/>
      <c r="E9" s="5" t="s">
        <v>82</v>
      </c>
      <c r="F9" s="2"/>
      <c r="G9" s="2"/>
      <c r="H9" s="2"/>
      <c r="I9" s="2"/>
      <c r="J9" s="2"/>
      <c r="K9" s="2"/>
      <c r="L9" s="2"/>
      <c r="M9" s="2"/>
      <c r="N9" s="2"/>
    </row>
    <row r="10" spans="2:14" ht="21" customHeight="1" x14ac:dyDescent="0.3">
      <c r="B10" s="126" t="s">
        <v>335</v>
      </c>
      <c r="C10" s="127"/>
      <c r="D10" s="2"/>
      <c r="E10" s="128">
        <v>7045550165001</v>
      </c>
      <c r="F10" s="129"/>
      <c r="G10" s="2"/>
      <c r="H10" s="2"/>
      <c r="I10" s="2"/>
      <c r="J10" s="2"/>
      <c r="K10" s="2"/>
      <c r="L10" s="2"/>
      <c r="M10" s="2"/>
      <c r="N10" s="2"/>
    </row>
    <row r="11" spans="2:14" ht="21" customHeight="1" x14ac:dyDescent="0.3">
      <c r="B11" s="130"/>
      <c r="C11" s="131"/>
      <c r="D11" s="2"/>
      <c r="E11" s="132"/>
      <c r="F11" s="133"/>
      <c r="G11" s="2"/>
      <c r="H11" s="2"/>
      <c r="I11" s="2"/>
      <c r="J11" s="2"/>
      <c r="K11" s="2"/>
      <c r="L11" s="2"/>
      <c r="M11" s="2"/>
      <c r="N11" s="2"/>
    </row>
    <row r="12" spans="2:14" ht="21" customHeight="1" x14ac:dyDescent="0.3">
      <c r="B12" s="134"/>
      <c r="C12" s="135"/>
      <c r="D12" s="2"/>
      <c r="E12" s="122"/>
      <c r="F12" s="123"/>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83</v>
      </c>
      <c r="C14" s="2"/>
      <c r="D14" s="2"/>
      <c r="E14" s="2"/>
      <c r="F14" s="2"/>
      <c r="G14" s="2"/>
      <c r="H14" s="2"/>
      <c r="I14" s="2"/>
      <c r="J14" s="2"/>
      <c r="K14" s="2"/>
      <c r="L14" s="2"/>
      <c r="M14" s="2"/>
      <c r="N14" s="2"/>
    </row>
    <row r="15" spans="2:14" ht="18" x14ac:dyDescent="0.3">
      <c r="B15" s="6"/>
      <c r="C15" s="7" t="s">
        <v>84</v>
      </c>
      <c r="D15" s="7" t="s">
        <v>85</v>
      </c>
      <c r="E15" s="7" t="s">
        <v>47</v>
      </c>
      <c r="F15" s="7"/>
      <c r="G15" s="8"/>
      <c r="H15" s="8"/>
      <c r="I15" s="8"/>
      <c r="J15" s="8"/>
      <c r="K15" s="8"/>
      <c r="L15" s="8"/>
      <c r="M15" s="8"/>
      <c r="N15" s="8"/>
    </row>
    <row r="16" spans="2:14" ht="21" customHeight="1" x14ac:dyDescent="0.3">
      <c r="B16" s="5"/>
      <c r="C16" t="s">
        <v>434</v>
      </c>
      <c r="D16" t="s">
        <v>435</v>
      </c>
      <c r="E16" t="s">
        <v>436</v>
      </c>
      <c r="F16" s="2"/>
      <c r="G16" s="2"/>
      <c r="H16" s="2"/>
      <c r="I16" s="2"/>
      <c r="J16" s="2"/>
      <c r="K16" s="2"/>
      <c r="L16" s="2"/>
      <c r="M16" s="2"/>
      <c r="N16" s="2"/>
    </row>
    <row r="17" spans="2:14" ht="21" customHeight="1" x14ac:dyDescent="0.3">
      <c r="B17" s="2"/>
      <c r="F17" s="2"/>
      <c r="G17" s="2"/>
      <c r="H17" s="2"/>
      <c r="I17" s="2"/>
      <c r="J17" s="2"/>
      <c r="K17" s="2"/>
      <c r="L17" s="2"/>
      <c r="M17" s="2"/>
      <c r="N17" s="2"/>
    </row>
    <row r="18" spans="2:14" ht="21" customHeight="1" x14ac:dyDescent="0.3">
      <c r="B18" s="2"/>
      <c r="F18" s="2"/>
      <c r="G18" s="2"/>
      <c r="H18" s="2"/>
      <c r="I18" s="2"/>
      <c r="J18" s="2"/>
      <c r="K18" s="2"/>
      <c r="L18" s="2"/>
      <c r="M18" s="2"/>
      <c r="N18" s="2"/>
    </row>
    <row r="19" spans="2:14" ht="21" customHeight="1" x14ac:dyDescent="0.3">
      <c r="B19" s="2"/>
      <c r="F19" s="2"/>
      <c r="G19" s="2"/>
      <c r="H19" s="2"/>
      <c r="I19" s="2"/>
      <c r="J19" s="2"/>
      <c r="K19" s="2"/>
      <c r="L19" s="2"/>
      <c r="M19" s="2"/>
      <c r="N19" s="2"/>
    </row>
    <row r="20" spans="2:14" ht="14.4" x14ac:dyDescent="0.3"/>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86</v>
      </c>
      <c r="D23" s="15"/>
      <c r="N23" s="16"/>
    </row>
    <row r="24" spans="2:14" ht="15" thickBot="1" x14ac:dyDescent="0.35">
      <c r="B24" s="13"/>
      <c r="C24" s="15"/>
      <c r="D24" s="15"/>
      <c r="N24" s="16"/>
    </row>
    <row r="25" spans="2:14" ht="15" thickBot="1" x14ac:dyDescent="0.35">
      <c r="B25" s="13"/>
      <c r="C25" s="17" t="s">
        <v>87</v>
      </c>
      <c r="D25" s="17"/>
      <c r="E25" s="18"/>
      <c r="F25" s="17"/>
      <c r="G25" s="17"/>
      <c r="H25" s="17"/>
      <c r="I25" s="17"/>
      <c r="J25" s="17"/>
      <c r="K25" s="17"/>
      <c r="L25" s="17"/>
      <c r="M25" s="17"/>
      <c r="N25" s="19"/>
    </row>
    <row r="26" spans="2:14" ht="15.75" customHeight="1" thickBot="1" x14ac:dyDescent="0.35">
      <c r="B26" s="13"/>
      <c r="C26" s="20" t="s">
        <v>88</v>
      </c>
      <c r="D26" s="17"/>
      <c r="E26" s="17"/>
      <c r="F26" s="17"/>
      <c r="G26" s="21" t="s">
        <v>89</v>
      </c>
      <c r="H26" s="1">
        <v>46090</v>
      </c>
      <c r="I26" s="21" t="s">
        <v>90</v>
      </c>
      <c r="J26" s="1">
        <v>46218</v>
      </c>
      <c r="M26" s="17"/>
      <c r="N26" s="19"/>
    </row>
    <row r="27" spans="2:14" ht="15.75" customHeight="1" thickBot="1" x14ac:dyDescent="0.35">
      <c r="B27" s="13"/>
      <c r="C27" s="20" t="s">
        <v>91</v>
      </c>
      <c r="D27" s="20"/>
      <c r="E27" s="20"/>
      <c r="F27" s="57"/>
      <c r="G27" s="20"/>
      <c r="H27" s="20"/>
      <c r="I27" s="20"/>
      <c r="J27" s="17"/>
      <c r="K27" s="17"/>
      <c r="L27" s="17"/>
      <c r="M27" s="17"/>
      <c r="N27" s="19"/>
    </row>
    <row r="28" spans="2:14" ht="14.4" x14ac:dyDescent="0.3">
      <c r="B28" s="13"/>
      <c r="C28" s="22"/>
      <c r="D28" s="22"/>
      <c r="E28" s="22"/>
      <c r="F28" s="22"/>
      <c r="G28" s="22"/>
      <c r="H28" s="22"/>
      <c r="I28" s="22"/>
      <c r="J28" s="22"/>
      <c r="K28" s="22"/>
      <c r="L28" s="22"/>
      <c r="M28" s="22"/>
      <c r="N28" s="23"/>
    </row>
    <row r="29" spans="2:14" ht="15" thickBot="1" x14ac:dyDescent="0.35">
      <c r="B29" s="13"/>
      <c r="C29" s="24"/>
      <c r="D29" s="24"/>
      <c r="E29" s="24"/>
      <c r="F29" s="24"/>
      <c r="G29" s="24"/>
      <c r="H29" s="24"/>
      <c r="I29" s="24"/>
      <c r="J29" s="24"/>
      <c r="K29" s="24"/>
      <c r="L29" s="24"/>
      <c r="M29" s="24"/>
      <c r="N29" s="16"/>
    </row>
    <row r="30" spans="2:14" ht="15" x14ac:dyDescent="0.3">
      <c r="B30" s="13"/>
      <c r="C30" s="14" t="s">
        <v>92</v>
      </c>
      <c r="D30" s="15"/>
      <c r="N30" s="16"/>
    </row>
    <row r="31" spans="2:14" ht="14.4" x14ac:dyDescent="0.3">
      <c r="B31" s="13"/>
      <c r="N31" s="16"/>
    </row>
    <row r="32" spans="2:14" ht="14.4" x14ac:dyDescent="0.3">
      <c r="B32" s="13"/>
      <c r="C32" s="15" t="s">
        <v>93</v>
      </c>
      <c r="E32" s="15"/>
      <c r="H32" s="15" t="s">
        <v>94</v>
      </c>
      <c r="L32" s="15"/>
      <c r="N32" s="16"/>
    </row>
    <row r="33" spans="2:14" ht="15" thickBot="1" x14ac:dyDescent="0.35">
      <c r="B33" s="13"/>
      <c r="C33" s="15" t="s">
        <v>95</v>
      </c>
      <c r="E33" s="15"/>
      <c r="H33" s="15" t="s">
        <v>96</v>
      </c>
      <c r="L33" s="136"/>
      <c r="M33" s="136"/>
      <c r="N33" s="16"/>
    </row>
    <row r="34" spans="2:14" ht="15" thickBot="1" x14ac:dyDescent="0.35">
      <c r="B34" s="13"/>
      <c r="C34" s="15" t="s">
        <v>97</v>
      </c>
      <c r="E34" s="15"/>
      <c r="H34" s="15" t="s">
        <v>98</v>
      </c>
      <c r="I34" s="137"/>
      <c r="J34" s="138"/>
      <c r="N34" s="16"/>
    </row>
    <row r="35" spans="2:14" ht="15" thickBot="1" x14ac:dyDescent="0.35">
      <c r="B35" s="13"/>
      <c r="C35" s="24"/>
      <c r="N35" s="16"/>
    </row>
    <row r="36" spans="2:14" ht="15" x14ac:dyDescent="0.3">
      <c r="B36" s="26"/>
      <c r="C36" s="14" t="s">
        <v>99</v>
      </c>
      <c r="D36" s="27"/>
      <c r="E36" s="27"/>
      <c r="F36" s="27"/>
      <c r="G36" s="27"/>
      <c r="H36" s="27"/>
      <c r="I36" s="27"/>
      <c r="J36" s="27"/>
      <c r="K36" s="27"/>
      <c r="L36" s="27"/>
      <c r="M36" s="27"/>
      <c r="N36" s="16"/>
    </row>
    <row r="37" spans="2:14" ht="14.4" x14ac:dyDescent="0.3">
      <c r="B37" s="13"/>
      <c r="N37" s="16"/>
    </row>
    <row r="38" spans="2:14" ht="15" customHeight="1" x14ac:dyDescent="0.3">
      <c r="B38" s="13"/>
      <c r="C38" s="15" t="s">
        <v>100</v>
      </c>
      <c r="F38" s="15" t="s">
        <v>101</v>
      </c>
      <c r="H38" s="15"/>
      <c r="N38" s="16"/>
    </row>
    <row r="39" spans="2:14" ht="14.4" x14ac:dyDescent="0.3">
      <c r="B39" s="13"/>
      <c r="C39" s="15" t="s">
        <v>102</v>
      </c>
      <c r="F39" s="15" t="s">
        <v>103</v>
      </c>
      <c r="H39" s="15"/>
      <c r="N39" s="16"/>
    </row>
    <row r="40" spans="2:14" ht="14.4" x14ac:dyDescent="0.3">
      <c r="B40" s="13"/>
      <c r="C40" s="15" t="s">
        <v>104</v>
      </c>
      <c r="F40" s="15" t="s">
        <v>105</v>
      </c>
      <c r="H40" s="15"/>
      <c r="N40" s="16"/>
    </row>
    <row r="41" spans="2:14" ht="14.4" x14ac:dyDescent="0.3">
      <c r="B41" s="13"/>
      <c r="C41" s="15" t="s">
        <v>106</v>
      </c>
      <c r="F41" s="15" t="s">
        <v>107</v>
      </c>
      <c r="H41" s="15"/>
      <c r="I41" s="139"/>
      <c r="J41" s="139"/>
      <c r="N41" s="16"/>
    </row>
    <row r="42" spans="2:14" ht="14.4" x14ac:dyDescent="0.3">
      <c r="B42" s="13"/>
      <c r="C42" s="15" t="s">
        <v>108</v>
      </c>
      <c r="F42" s="15" t="s">
        <v>109</v>
      </c>
      <c r="G42" s="15"/>
      <c r="N42" s="16"/>
    </row>
    <row r="43" spans="2:14" ht="15" thickBot="1" x14ac:dyDescent="0.35">
      <c r="B43" s="13"/>
      <c r="C43" s="15" t="s">
        <v>110</v>
      </c>
      <c r="F43" s="15" t="s">
        <v>111</v>
      </c>
      <c r="G43" s="15"/>
      <c r="N43" s="16"/>
    </row>
    <row r="44" spans="2:14" ht="15" thickBot="1" x14ac:dyDescent="0.35">
      <c r="B44" s="13"/>
      <c r="C44" s="15" t="s">
        <v>112</v>
      </c>
      <c r="D44" s="15"/>
      <c r="E44" s="15"/>
      <c r="F44" s="15" t="s">
        <v>98</v>
      </c>
      <c r="G44" s="140"/>
      <c r="H44" s="141"/>
      <c r="N44" s="16"/>
    </row>
    <row r="45" spans="2:14" ht="15.6" thickBot="1" x14ac:dyDescent="0.35">
      <c r="B45" s="13"/>
      <c r="C45" s="14"/>
      <c r="D45" s="15"/>
      <c r="E45" s="15"/>
      <c r="F45" s="15"/>
      <c r="G45" s="25"/>
      <c r="H45" s="25"/>
      <c r="N45" s="16"/>
    </row>
    <row r="46" spans="2:14" ht="15" x14ac:dyDescent="0.3">
      <c r="B46" s="26"/>
      <c r="C46" s="28" t="s">
        <v>113</v>
      </c>
      <c r="D46" s="27"/>
      <c r="E46" s="27"/>
      <c r="F46" s="27"/>
      <c r="G46" s="27"/>
      <c r="H46" s="27"/>
      <c r="I46" s="27"/>
      <c r="J46" s="27"/>
      <c r="K46" s="27"/>
      <c r="L46" s="27"/>
      <c r="M46" s="27"/>
      <c r="N46" s="16"/>
    </row>
    <row r="47" spans="2:14" ht="14.4" x14ac:dyDescent="0.3">
      <c r="B47" s="13"/>
      <c r="N47" s="16"/>
    </row>
    <row r="48" spans="2:14" ht="14.4" x14ac:dyDescent="0.3">
      <c r="B48" s="13"/>
      <c r="C48" s="15" t="s">
        <v>114</v>
      </c>
      <c r="E48" s="15" t="s">
        <v>115</v>
      </c>
      <c r="H48" s="15" t="s">
        <v>116</v>
      </c>
      <c r="N48" s="16"/>
    </row>
    <row r="49" spans="2:14" ht="14.4" x14ac:dyDescent="0.3">
      <c r="B49" s="13"/>
      <c r="C49" s="15" t="s">
        <v>117</v>
      </c>
      <c r="E49" s="15" t="s">
        <v>118</v>
      </c>
      <c r="H49" s="15" t="s">
        <v>119</v>
      </c>
      <c r="N49" s="16"/>
    </row>
    <row r="50" spans="2:14" ht="15" thickBot="1" x14ac:dyDescent="0.35">
      <c r="B50" s="13"/>
      <c r="C50" s="15" t="s">
        <v>120</v>
      </c>
      <c r="E50" s="15" t="s">
        <v>121</v>
      </c>
      <c r="H50" s="15" t="s">
        <v>122</v>
      </c>
      <c r="N50" s="16"/>
    </row>
    <row r="51" spans="2:14" ht="15" thickBot="1" x14ac:dyDescent="0.35">
      <c r="B51" s="13"/>
      <c r="C51" s="15" t="s">
        <v>123</v>
      </c>
      <c r="E51" s="15" t="s">
        <v>124</v>
      </c>
      <c r="H51" s="15" t="s">
        <v>125</v>
      </c>
      <c r="I51" s="124"/>
      <c r="J51" s="125"/>
      <c r="N51" s="16"/>
    </row>
    <row r="52" spans="2:14" ht="14.4" x14ac:dyDescent="0.3">
      <c r="B52" s="13"/>
      <c r="C52" s="15" t="s">
        <v>126</v>
      </c>
      <c r="E52" s="15" t="s">
        <v>127</v>
      </c>
      <c r="G52" s="15"/>
      <c r="N52" s="16"/>
    </row>
    <row r="53" spans="2:14" ht="14.4" x14ac:dyDescent="0.3">
      <c r="B53" s="13"/>
      <c r="C53" s="15" t="s">
        <v>128</v>
      </c>
      <c r="E53" s="15" t="s">
        <v>129</v>
      </c>
      <c r="G53" s="15"/>
      <c r="N53" s="16"/>
    </row>
    <row r="54" spans="2:14" ht="14.4" x14ac:dyDescent="0.3">
      <c r="B54" s="13"/>
      <c r="C54" s="15" t="s">
        <v>130</v>
      </c>
      <c r="D54" s="15"/>
      <c r="E54" s="15"/>
      <c r="G54" s="15"/>
      <c r="N54" s="16"/>
    </row>
    <row r="55" spans="2:14" ht="14.4" x14ac:dyDescent="0.3">
      <c r="B55" s="13"/>
      <c r="C55" s="15" t="s">
        <v>131</v>
      </c>
      <c r="N55" s="16"/>
    </row>
    <row r="56" spans="2:14" ht="14.4" x14ac:dyDescent="0.3">
      <c r="B56" s="13"/>
      <c r="C56" s="15" t="s">
        <v>132</v>
      </c>
      <c r="N56" s="16"/>
    </row>
    <row r="57" spans="2:14" ht="14.4" x14ac:dyDescent="0.3">
      <c r="B57" s="13"/>
      <c r="C57" s="15" t="s">
        <v>133</v>
      </c>
      <c r="D57" s="29"/>
      <c r="N57" s="16"/>
    </row>
    <row r="58" spans="2:14" ht="15" thickBot="1" x14ac:dyDescent="0.35">
      <c r="B58" s="13"/>
      <c r="C58" s="24"/>
      <c r="D58" s="24"/>
      <c r="E58" s="24"/>
      <c r="F58" s="24"/>
      <c r="G58" s="24"/>
      <c r="H58" s="24"/>
      <c r="I58" s="24"/>
      <c r="J58" s="24"/>
      <c r="K58" s="24"/>
      <c r="L58" s="24"/>
      <c r="M58" s="24"/>
      <c r="N58" s="16"/>
    </row>
    <row r="59" spans="2:14" ht="15" x14ac:dyDescent="0.3">
      <c r="B59" s="13"/>
      <c r="C59" s="14" t="s">
        <v>134</v>
      </c>
      <c r="D59" s="30"/>
      <c r="N59" s="16"/>
    </row>
    <row r="60" spans="2:14" ht="14.4" x14ac:dyDescent="0.3">
      <c r="B60" s="13"/>
      <c r="C60" s="31"/>
      <c r="D60" s="30"/>
      <c r="N60" s="16"/>
    </row>
    <row r="61" spans="2:14" ht="14.4" x14ac:dyDescent="0.3">
      <c r="B61" s="13"/>
      <c r="C61" s="15" t="s">
        <v>135</v>
      </c>
      <c r="E61" s="15" t="s">
        <v>136</v>
      </c>
      <c r="H61" s="15" t="s">
        <v>137</v>
      </c>
      <c r="N61" s="16"/>
    </row>
    <row r="62" spans="2:14" ht="14.4" x14ac:dyDescent="0.3">
      <c r="B62" s="13"/>
      <c r="C62" s="15" t="s">
        <v>138</v>
      </c>
      <c r="E62" s="15" t="s">
        <v>139</v>
      </c>
      <c r="H62" s="15" t="s">
        <v>140</v>
      </c>
      <c r="N62" s="16"/>
    </row>
    <row r="63" spans="2:14" ht="14.4" x14ac:dyDescent="0.3">
      <c r="B63" s="13"/>
      <c r="C63" s="15" t="s">
        <v>141</v>
      </c>
      <c r="E63" s="15" t="s">
        <v>142</v>
      </c>
      <c r="H63" s="15" t="s">
        <v>143</v>
      </c>
      <c r="N63" s="16"/>
    </row>
    <row r="64" spans="2:14" ht="14.4" x14ac:dyDescent="0.3">
      <c r="B64" s="13"/>
      <c r="C64" s="15" t="s">
        <v>144</v>
      </c>
      <c r="E64" s="15" t="s">
        <v>145</v>
      </c>
      <c r="H64" s="15" t="s">
        <v>146</v>
      </c>
      <c r="N64" s="16"/>
    </row>
    <row r="65" spans="2:14" ht="15" thickBot="1" x14ac:dyDescent="0.35">
      <c r="B65" s="13"/>
      <c r="C65" s="15" t="s">
        <v>147</v>
      </c>
      <c r="E65" s="15" t="s">
        <v>148</v>
      </c>
      <c r="H65" s="15" t="s">
        <v>149</v>
      </c>
      <c r="N65" s="16"/>
    </row>
    <row r="66" spans="2:14" ht="15" thickBot="1" x14ac:dyDescent="0.35">
      <c r="B66" s="13"/>
      <c r="C66" s="15" t="s">
        <v>150</v>
      </c>
      <c r="E66" s="15" t="s">
        <v>151</v>
      </c>
      <c r="H66" s="124"/>
      <c r="I66" s="125"/>
      <c r="N66" s="16"/>
    </row>
    <row r="67" spans="2:14" ht="14.4" x14ac:dyDescent="0.3">
      <c r="B67" s="13"/>
      <c r="C67" s="15" t="s">
        <v>152</v>
      </c>
      <c r="E67" s="15" t="s">
        <v>153</v>
      </c>
      <c r="N67" s="16"/>
    </row>
    <row r="68" spans="2:14" ht="14.4" x14ac:dyDescent="0.3">
      <c r="B68" s="13"/>
      <c r="C68" s="15" t="s">
        <v>154</v>
      </c>
      <c r="E68" s="15" t="s">
        <v>155</v>
      </c>
      <c r="N68" s="16"/>
    </row>
    <row r="69" spans="2:14" ht="14.4" x14ac:dyDescent="0.3">
      <c r="B69" s="13"/>
      <c r="D69" s="31"/>
      <c r="N69" s="16"/>
    </row>
    <row r="70" spans="2:14" ht="15" thickBot="1" x14ac:dyDescent="0.35">
      <c r="B70" s="13"/>
      <c r="C70" s="24"/>
      <c r="D70" s="24"/>
      <c r="E70" s="24"/>
      <c r="F70" s="24"/>
      <c r="G70" s="24"/>
      <c r="H70" s="24"/>
      <c r="I70" s="24"/>
      <c r="J70" s="24"/>
      <c r="K70" s="24"/>
      <c r="L70" s="24"/>
      <c r="M70" s="24"/>
      <c r="N70" s="16"/>
    </row>
    <row r="71" spans="2:14" ht="15" x14ac:dyDescent="0.3">
      <c r="B71" s="13"/>
      <c r="C71" s="14" t="s">
        <v>156</v>
      </c>
      <c r="D71" s="30"/>
      <c r="N71" s="16"/>
    </row>
    <row r="72" spans="2:14" ht="14.4" x14ac:dyDescent="0.3">
      <c r="B72" s="13"/>
      <c r="C72" s="31"/>
      <c r="D72" s="31"/>
      <c r="N72" s="16"/>
    </row>
    <row r="73" spans="2:14" s="33" customFormat="1" ht="14.4" x14ac:dyDescent="0.3">
      <c r="B73" s="32"/>
      <c r="C73" s="15" t="s">
        <v>157</v>
      </c>
      <c r="D73"/>
      <c r="E73" s="15" t="s">
        <v>158</v>
      </c>
      <c r="G73"/>
      <c r="H73" s="15" t="s">
        <v>159</v>
      </c>
      <c r="N73" s="34"/>
    </row>
    <row r="74" spans="2:14" s="33" customFormat="1" ht="14.4" x14ac:dyDescent="0.3">
      <c r="B74" s="32"/>
      <c r="C74" s="15" t="s">
        <v>160</v>
      </c>
      <c r="D74"/>
      <c r="E74" s="15" t="s">
        <v>161</v>
      </c>
      <c r="G74"/>
      <c r="H74" s="15" t="s">
        <v>162</v>
      </c>
      <c r="N74" s="34"/>
    </row>
    <row r="75" spans="2:14" s="33" customFormat="1" ht="14.4" x14ac:dyDescent="0.3">
      <c r="B75" s="13"/>
      <c r="C75" s="15" t="s">
        <v>163</v>
      </c>
      <c r="D75"/>
      <c r="E75" s="15" t="s">
        <v>164</v>
      </c>
      <c r="G75"/>
      <c r="H75" s="15" t="s">
        <v>165</v>
      </c>
      <c r="N75" s="34"/>
    </row>
    <row r="76" spans="2:14" s="33" customFormat="1" ht="14.4" x14ac:dyDescent="0.3">
      <c r="B76" s="32"/>
      <c r="G76"/>
      <c r="H76" s="15" t="s">
        <v>125</v>
      </c>
      <c r="N76" s="34"/>
    </row>
    <row r="77" spans="2:14" ht="15" thickBot="1" x14ac:dyDescent="0.35">
      <c r="B77" s="13"/>
      <c r="C77" s="24"/>
      <c r="D77" s="35"/>
      <c r="E77" s="24"/>
      <c r="F77" s="24"/>
      <c r="G77" s="24"/>
      <c r="H77" s="24"/>
      <c r="I77" s="24"/>
      <c r="J77" s="24"/>
      <c r="K77" s="24"/>
      <c r="L77" s="24"/>
      <c r="M77" s="24"/>
      <c r="N77" s="16"/>
    </row>
    <row r="78" spans="2:14" ht="14.4" x14ac:dyDescent="0.3">
      <c r="B78" s="13"/>
      <c r="D78" s="31"/>
      <c r="N78" s="16"/>
    </row>
    <row r="79" spans="2:14" ht="14.4" x14ac:dyDescent="0.3">
      <c r="B79" s="36"/>
      <c r="C79" s="37"/>
      <c r="D79" s="38"/>
      <c r="E79" s="37"/>
      <c r="F79" s="37"/>
      <c r="G79" s="37"/>
      <c r="H79" s="37"/>
      <c r="I79" s="37"/>
      <c r="J79" s="37"/>
      <c r="K79" s="37"/>
      <c r="L79" s="37"/>
      <c r="M79" s="37"/>
      <c r="N79" s="39"/>
    </row>
    <row r="80" spans="2:14" ht="14.4" x14ac:dyDescent="0.3">
      <c r="D80" s="31"/>
    </row>
    <row r="81" spans="3:4" ht="14.4" hidden="1" x14ac:dyDescent="0.3">
      <c r="D81" s="31"/>
    </row>
    <row r="82" spans="3:4" ht="14.4" hidden="1" x14ac:dyDescent="0.3">
      <c r="D82" s="31"/>
    </row>
    <row r="83" spans="3:4" ht="14.4" hidden="1" x14ac:dyDescent="0.3">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4" workbookViewId="0">
      <selection activeCell="E31" sqref="E31"/>
    </sheetView>
  </sheetViews>
  <sheetFormatPr defaultColWidth="8.77734375" defaultRowHeight="14.4" x14ac:dyDescent="0.3"/>
  <cols>
    <col min="1" max="1" width="10" customWidth="1"/>
    <col min="2" max="2" width="8.109375" customWidth="1"/>
    <col min="3" max="3" width="80.77734375" customWidth="1"/>
  </cols>
  <sheetData>
    <row r="1" spans="1:3" ht="31.95" customHeight="1" x14ac:dyDescent="0.3">
      <c r="A1" s="144" t="s">
        <v>209</v>
      </c>
      <c r="B1" s="144"/>
      <c r="C1" s="144"/>
    </row>
    <row r="2" spans="1:3" ht="24" customHeight="1" x14ac:dyDescent="0.3">
      <c r="A2" s="145" t="s">
        <v>208</v>
      </c>
      <c r="B2" s="145"/>
      <c r="C2" s="145"/>
    </row>
    <row r="3" spans="1:3" x14ac:dyDescent="0.3">
      <c r="A3" s="78"/>
      <c r="B3" s="78"/>
      <c r="C3" s="78"/>
    </row>
    <row r="4" spans="1:3" ht="24" customHeight="1" x14ac:dyDescent="0.3">
      <c r="A4" s="79" t="s">
        <v>203</v>
      </c>
      <c r="B4" s="80" t="s">
        <v>204</v>
      </c>
      <c r="C4" s="80" t="s">
        <v>205</v>
      </c>
    </row>
    <row r="5" spans="1:3" ht="24" customHeight="1" x14ac:dyDescent="0.3">
      <c r="A5" s="142" t="s">
        <v>206</v>
      </c>
      <c r="B5" s="143"/>
      <c r="C5" s="143"/>
    </row>
    <row r="6" spans="1:3" ht="15.6" x14ac:dyDescent="0.3">
      <c r="A6" s="86"/>
      <c r="B6" s="81" t="s">
        <v>341</v>
      </c>
      <c r="C6" s="82" t="s">
        <v>437</v>
      </c>
    </row>
    <row r="7" spans="1:3" ht="43.2" x14ac:dyDescent="0.3">
      <c r="A7" s="86"/>
      <c r="B7" s="81" t="s">
        <v>342</v>
      </c>
      <c r="C7" s="82" t="s">
        <v>438</v>
      </c>
    </row>
    <row r="8" spans="1:3" ht="15.6" x14ac:dyDescent="0.3">
      <c r="A8" s="86"/>
      <c r="B8" s="81" t="s">
        <v>343</v>
      </c>
      <c r="C8" s="82" t="s">
        <v>439</v>
      </c>
    </row>
    <row r="9" spans="1:3" x14ac:dyDescent="0.3">
      <c r="A9" s="83"/>
      <c r="B9" s="84"/>
      <c r="C9" s="85"/>
    </row>
    <row r="10" spans="1:3" ht="24" customHeight="1" x14ac:dyDescent="0.3">
      <c r="A10" s="142" t="s">
        <v>440</v>
      </c>
      <c r="B10" s="143"/>
      <c r="C10" s="143"/>
    </row>
    <row r="11" spans="1:3" ht="43.2" x14ac:dyDescent="0.3">
      <c r="A11" s="86"/>
      <c r="B11" s="81" t="s">
        <v>341</v>
      </c>
      <c r="C11" s="82" t="s">
        <v>441</v>
      </c>
    </row>
    <row r="12" spans="1:3" ht="15.6" x14ac:dyDescent="0.3">
      <c r="A12" s="86"/>
      <c r="B12" s="81" t="s">
        <v>342</v>
      </c>
      <c r="C12" s="82" t="s">
        <v>442</v>
      </c>
    </row>
    <row r="13" spans="1:3" ht="15.6" x14ac:dyDescent="0.3">
      <c r="A13" s="86"/>
      <c r="B13" s="81" t="s">
        <v>343</v>
      </c>
      <c r="C13" s="82" t="s">
        <v>344</v>
      </c>
    </row>
    <row r="14" spans="1:3" x14ac:dyDescent="0.3">
      <c r="A14" s="83"/>
      <c r="B14" s="84"/>
      <c r="C14" s="85"/>
    </row>
    <row r="15" spans="1:3" ht="24" customHeight="1" x14ac:dyDescent="0.3">
      <c r="A15" s="142" t="s">
        <v>443</v>
      </c>
      <c r="B15" s="143"/>
      <c r="C15" s="143"/>
    </row>
    <row r="16" spans="1:3" ht="15.6" x14ac:dyDescent="0.3">
      <c r="A16" s="86"/>
      <c r="B16" s="81" t="s">
        <v>341</v>
      </c>
      <c r="C16" s="82" t="s">
        <v>444</v>
      </c>
    </row>
    <row r="17" spans="1:3" ht="28.8" x14ac:dyDescent="0.3">
      <c r="A17" s="86"/>
      <c r="B17" s="81" t="s">
        <v>342</v>
      </c>
      <c r="C17" s="82" t="s">
        <v>445</v>
      </c>
    </row>
    <row r="18" spans="1:3" ht="15.6" x14ac:dyDescent="0.3">
      <c r="A18" s="86"/>
      <c r="B18" s="81" t="s">
        <v>343</v>
      </c>
      <c r="C18" s="82" t="s">
        <v>446</v>
      </c>
    </row>
    <row r="19" spans="1:3" x14ac:dyDescent="0.3">
      <c r="A19" s="83"/>
      <c r="B19" s="84"/>
      <c r="C19" s="85"/>
    </row>
    <row r="20" spans="1:3" ht="24" customHeight="1" x14ac:dyDescent="0.3">
      <c r="A20" s="142" t="s">
        <v>447</v>
      </c>
      <c r="B20" s="143"/>
      <c r="C20" s="143"/>
    </row>
    <row r="21" spans="1:3" ht="15.6" x14ac:dyDescent="0.3">
      <c r="A21" s="86"/>
      <c r="B21" s="81" t="s">
        <v>341</v>
      </c>
      <c r="C21" s="82" t="s">
        <v>448</v>
      </c>
    </row>
    <row r="22" spans="1:3" ht="43.2" x14ac:dyDescent="0.3">
      <c r="A22" s="86"/>
      <c r="B22" s="81" t="s">
        <v>342</v>
      </c>
      <c r="C22" s="82" t="s">
        <v>449</v>
      </c>
    </row>
    <row r="23" spans="1:3" ht="15.6" x14ac:dyDescent="0.3">
      <c r="A23" s="86"/>
      <c r="B23" s="81" t="s">
        <v>343</v>
      </c>
      <c r="C23" s="82" t="s">
        <v>450</v>
      </c>
    </row>
    <row r="24" spans="1:3" x14ac:dyDescent="0.3">
      <c r="A24" s="83"/>
      <c r="B24" s="84"/>
      <c r="C24" s="85"/>
    </row>
    <row r="25" spans="1:3" ht="24" customHeight="1" x14ac:dyDescent="0.3">
      <c r="A25" s="142" t="s">
        <v>207</v>
      </c>
      <c r="B25" s="143"/>
      <c r="C25" s="143"/>
    </row>
    <row r="26" spans="1:3" ht="15.6" x14ac:dyDescent="0.3">
      <c r="A26" s="86"/>
      <c r="B26" s="81" t="s">
        <v>341</v>
      </c>
      <c r="C26" s="82" t="s">
        <v>451</v>
      </c>
    </row>
    <row r="27" spans="1:3" ht="15.6" x14ac:dyDescent="0.3">
      <c r="A27" s="86"/>
      <c r="B27" s="81" t="s">
        <v>342</v>
      </c>
      <c r="C27" s="82" t="s">
        <v>452</v>
      </c>
    </row>
    <row r="28" spans="1:3" ht="28.8" x14ac:dyDescent="0.3">
      <c r="A28" s="86"/>
      <c r="B28" s="81" t="s">
        <v>343</v>
      </c>
      <c r="C28" s="82" t="s">
        <v>453</v>
      </c>
    </row>
    <row r="29" spans="1:3" x14ac:dyDescent="0.3">
      <c r="A29" s="83"/>
      <c r="B29" s="84"/>
      <c r="C29" s="85"/>
    </row>
    <row r="30" spans="1:3" ht="24" customHeight="1" x14ac:dyDescent="0.3">
      <c r="A30" s="142" t="s">
        <v>454</v>
      </c>
      <c r="B30" s="143"/>
      <c r="C30" s="143"/>
    </row>
    <row r="31" spans="1:3" ht="15.6" x14ac:dyDescent="0.3">
      <c r="A31" s="86"/>
      <c r="B31" s="81" t="s">
        <v>341</v>
      </c>
      <c r="C31" s="87">
        <v>48000</v>
      </c>
    </row>
    <row r="32" spans="1:3" ht="15.6" x14ac:dyDescent="0.3">
      <c r="A32" s="86"/>
      <c r="B32" s="81" t="s">
        <v>342</v>
      </c>
      <c r="C32" s="87">
        <v>28500</v>
      </c>
    </row>
    <row r="33" spans="1:3" ht="15.6" x14ac:dyDescent="0.3">
      <c r="A33" s="86"/>
      <c r="B33" s="81" t="s">
        <v>343</v>
      </c>
      <c r="C33" s="87">
        <v>43350</v>
      </c>
    </row>
    <row r="34" spans="1:3" ht="15.6" x14ac:dyDescent="0.3">
      <c r="A34" s="86"/>
      <c r="B34" s="81" t="s">
        <v>345</v>
      </c>
      <c r="C34" s="87">
        <v>19500</v>
      </c>
    </row>
    <row r="35" spans="1:3" x14ac:dyDescent="0.3">
      <c r="A35" s="83"/>
      <c r="B35" s="84"/>
      <c r="C35" s="85"/>
    </row>
    <row r="36" spans="1:3" ht="24" customHeight="1" x14ac:dyDescent="0.3">
      <c r="A36" s="142" t="s">
        <v>455</v>
      </c>
      <c r="B36" s="143"/>
      <c r="C36" s="143"/>
    </row>
    <row r="37" spans="1:3" ht="15.6" x14ac:dyDescent="0.3">
      <c r="A37" s="86"/>
      <c r="B37" s="81" t="s">
        <v>341</v>
      </c>
      <c r="C37" s="82" t="s">
        <v>456</v>
      </c>
    </row>
    <row r="38" spans="1:3" ht="15.6" x14ac:dyDescent="0.3">
      <c r="A38" s="86"/>
      <c r="B38" s="81" t="s">
        <v>342</v>
      </c>
      <c r="C38" s="82" t="s">
        <v>457</v>
      </c>
    </row>
    <row r="39" spans="1:3" ht="15.6" x14ac:dyDescent="0.3">
      <c r="A39" s="86"/>
      <c r="B39" s="81" t="s">
        <v>343</v>
      </c>
      <c r="C39" s="82" t="s">
        <v>458</v>
      </c>
    </row>
    <row r="40" spans="1:3" ht="15.6" x14ac:dyDescent="0.3">
      <c r="A40" s="86"/>
      <c r="B40" s="81" t="s">
        <v>345</v>
      </c>
      <c r="C40" s="82" t="s">
        <v>459</v>
      </c>
    </row>
    <row r="41" spans="1:3" x14ac:dyDescent="0.3">
      <c r="A41" s="83"/>
      <c r="B41" s="84"/>
      <c r="C41" s="85"/>
    </row>
    <row r="42" spans="1:3" ht="24" customHeight="1" x14ac:dyDescent="0.3">
      <c r="A42" s="142" t="s">
        <v>460</v>
      </c>
      <c r="B42" s="143"/>
      <c r="C42" s="143"/>
    </row>
    <row r="43" spans="1:3" ht="15.6" x14ac:dyDescent="0.3">
      <c r="A43" s="86"/>
      <c r="B43" s="81" t="s">
        <v>341</v>
      </c>
      <c r="C43" s="82" t="s">
        <v>461</v>
      </c>
    </row>
    <row r="44" spans="1:3" ht="43.2" x14ac:dyDescent="0.3">
      <c r="A44" s="86"/>
      <c r="B44" s="81" t="s">
        <v>342</v>
      </c>
      <c r="C44" s="82" t="s">
        <v>462</v>
      </c>
    </row>
    <row r="45" spans="1:3" ht="15.6" x14ac:dyDescent="0.3">
      <c r="A45" s="86"/>
      <c r="B45" s="81" t="s">
        <v>343</v>
      </c>
      <c r="C45" s="82" t="s">
        <v>463</v>
      </c>
    </row>
    <row r="46" spans="1:3" ht="15.6" x14ac:dyDescent="0.3">
      <c r="A46" s="86"/>
      <c r="B46" s="81" t="s">
        <v>345</v>
      </c>
      <c r="C46" s="82" t="s">
        <v>464</v>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2.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2026-09-24T18:03:02Z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