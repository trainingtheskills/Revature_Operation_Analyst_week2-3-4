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hlga\OneDrive\Desktop\AML\USA Batch - D8.30PM\Case Study\KPMG_-_Project_Case_study2_-_\"/>
    </mc:Choice>
  </mc:AlternateContent>
  <xr:revisionPtr revIDLastSave="0" documentId="8_{511D3CA7-3F87-4F7A-844B-7E7DD2A1C789}" xr6:coauthVersionLast="47" xr6:coauthVersionMax="47" xr10:uidLastSave="{00000000-0000-0000-0000-000000000000}"/>
  <bookViews>
    <workbookView xWindow="-108" yWindow="-108" windowWidth="23256" windowHeight="12456" tabRatio="869" firstSheet="3" activeTab="9"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4" l="1"/>
  <c r="D4" i="4" s="1"/>
  <c r="D5" i="4" s="1"/>
  <c r="D6" i="4" s="1"/>
  <c r="D7" i="4" s="1"/>
  <c r="D8" i="4" s="1"/>
  <c r="D9" i="4" s="1"/>
  <c r="D10" i="4" s="1"/>
  <c r="D11" i="4" s="1"/>
  <c r="D12" i="4" s="1"/>
  <c r="D13" i="4" s="1"/>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D36" i="4" s="1"/>
  <c r="D37" i="4" s="1"/>
  <c r="D38" i="4" s="1"/>
  <c r="D39" i="4" s="1"/>
  <c r="D40" i="4" s="1"/>
  <c r="D41" i="4" s="1"/>
  <c r="D42" i="4" s="1"/>
  <c r="D43" i="4" s="1"/>
  <c r="D44" i="4" s="1"/>
  <c r="D45" i="4" s="1"/>
  <c r="D46" i="4" s="1"/>
  <c r="D47" i="4" s="1"/>
  <c r="D48" i="4" s="1"/>
  <c r="D49" i="4" s="1"/>
  <c r="E11" i="5"/>
  <c r="D1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<sst xmlns="http://schemas.openxmlformats.org/spreadsheetml/2006/main" count="1060" uniqueCount="473">
  <si>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</si>
  <si>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</si>
  <si>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</si>
  <si>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</si>
  <si>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</si>
  <si>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</si>
  <si>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</si>
  <si>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</si>
  <si>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</si>
  <si>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</si>
  <si>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</si>
  <si>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</si>
  <si>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</si>
  <si>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</si>
  <si>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</si>
  <si>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</si>
  <si>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</si>
  <si>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</si>
  <si>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</si>
  <si>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</si>
  <si>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</si>
  <si>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</si>
  <si>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</si>
  <si>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</si>
  <si>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</si>
  <si>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</si>
  <si>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</si>
  <si>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</si>
  <si>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</si>
  <si>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</si>
  <si>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</si>
  <si>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</si>
  <si>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</si>
  <si>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</si>
  <si>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</si>
  <si>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</si>
  <si>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</si>
  <si>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</si>
  <si>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</si>
  <si>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</si>
  <si>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</si>
  <si>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</si>
  <si>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</si>
  <si>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</si>
  <si>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</si>
  <si>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</si>
  <si>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</si>
  <si>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</si>
  <si>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</si>
  <si>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</si>
  <si>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</si>
  <si>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</si>
  <si>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</si>
  <si>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</si>
  <si>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</si>
  <si>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</si>
  <si>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</si>
  <si>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</si>
  <si>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</si>
  <si>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</si>
  <si>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</si>
  <si>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</si>
  <si>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Debit Card</t>
  </si>
  <si>
    <t>Untagged</t>
  </si>
  <si>
    <t>C</t>
  </si>
  <si>
    <t>PNC Bank</t>
  </si>
  <si>
    <t>Bank of America</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</si>
  <si>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</si>
  <si>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</si>
  <si>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</si>
  <si>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</si>
  <si>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</si>
  <si>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</si>
  <si>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</si>
  <si>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</si>
  <si>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</si>
  <si>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</si>
  <si>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</si>
  <si>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</si>
  <si>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</si>
  <si>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</si>
  <si>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</si>
  <si>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</si>
  <si>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</si>
  <si>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</si>
  <si>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</si>
  <si>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</si>
  <si>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</si>
  <si>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</si>
  <si>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</si>
  <si>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</si>
  <si>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</si>
  <si>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</si>
  <si>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</si>
  <si>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</si>
  <si>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</si>
  <si>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</si>
  <si>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</si>
  <si>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</si>
  <si>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</si>
  <si>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</si>
  <si>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</si>
  <si>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</si>
  <si>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</si>
  <si>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</si>
  <si>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</si>
  <si>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</si>
  <si>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</si>
  <si>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</si>
  <si>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</si>
  <si>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</si>
  <si>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</si>
  <si>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</si>
  <si>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</si>
  <si>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</si>
  <si>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</si>
  <si>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</si>
  <si>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</si>
  <si>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</si>
  <si>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</si>
  <si>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</si>
  <si>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</si>
  <si>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</si>
  <si>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</si>
  <si>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</si>
  <si>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</si>
  <si>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</si>
  <si>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</si>
  <si>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</si>
  <si>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</si>
  <si>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</si>
  <si>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</si>
  <si>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</si>
  <si>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</si>
  <si>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</si>
  <si>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</si>
  <si>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</si>
  <si>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</si>
  <si>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</si>
  <si>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</si>
  <si>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</si>
  <si>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</si>
  <si>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</si>
  <si>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</si>
  <si>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</si>
  <si>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</si>
  <si>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</si>
  <si>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</si>
  <si>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</si>
  <si>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</si>
  <si>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</si>
  <si>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</si>
  <si>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</si>
  <si>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</si>
  <si>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</si>
  <si>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</si>
  <si>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</si>
  <si>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</si>
  <si>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</si>
  <si>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</si>
  <si>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</si>
  <si>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</si>
  <si>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</si>
  <si>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</si>
  <si>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</si>
  <si>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</si>
  <si>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</si>
  <si>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</si>
  <si>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</si>
  <si>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</si>
  <si>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</si>
  <si>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</si>
  <si>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</si>
  <si>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</si>
  <si>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</si>
  <si>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</si>
  <si>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</si>
  <si>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</si>
  <si>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</si>
  <si>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</si>
  <si>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</si>
  <si>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</si>
  <si>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</si>
  <si>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</si>
  <si>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Review originator and beneficiary names, addresses, banks, account numbers, countries, and comments. Compare wire details to Transactions and assess vague, inconsistent, repeated, or unsupported purposes.</t>
  </si>
  <si>
    <t>Support_Docs</t>
  </si>
  <si>
    <t>Supporting documents</t>
  </si>
  <si>
    <t>Review the wire advices and any other available support. Compare remitters, beneficiaries, dates, amounts, and account information to the transaction records; note missing or inconsistent support.</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</si>
  <si>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</si>
  <si>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</si>
  <si>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</si>
  <si>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</si>
  <si>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</si>
  <si>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</si>
  <si>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</si>
  <si>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</si>
  <si>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</si>
  <si>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</si>
  <si>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</si>
  <si>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</si>
  <si>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</si>
  <si>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</si>
  <si>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Follow the steps, document the evidence reviewed, and base the final disposition on the full activity pattern.</t>
  </si>
  <si>
    <t>SELECT</t>
  </si>
  <si>
    <t>OPTION</t>
  </si>
  <si>
    <t>ANSWER</t>
  </si>
  <si>
    <t>1. What is the primary red flag that initiates the suspicion in this account?</t>
  </si>
  <si>
    <t>5. What is the most appropriate next step for the analyst upon completing this review?</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</si>
  <si>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</si>
  <si>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</si>
  <si>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</si>
  <si>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</si>
  <si>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</si>
  <si>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Case Study 27 — Marcus Delgado.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</si>
  <si>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</si>
  <si>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</si>
  <si>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</si>
  <si>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</si>
  <si>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</si>
  <si>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</si>
  <si>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</si>
  <si>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</si>
  <si>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</si>
  <si>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</si>
  <si>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</si>
  <si>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</si>
  <si>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payroll credits, recurring living-expense debits, incoming wires and outgoing wires. Then look at credits alone, then debits alone. Read the description in column K and the counterparty in columns V and Y for every non-routine row, and use column D to see how the balance builds up and is drawn down.</t>
  </si>
  <si>
    <t>Originator and beneficiary detail for each wire: names, addresses, banks, account numbers and the stated purpose on each side.</t>
  </si>
  <si>
    <t>Tie each wire back to Event Details and to the Transactions row. Record the beneficiary name, country and stated purpose for each one, and note whether the beneficiaries differ while the destination stays the same (or the reverse).</t>
  </si>
  <si>
    <t>Wire transfer advices for each alerted wire, reproduced from the Wire tab.</t>
  </si>
  <si>
    <t>Match the remitter, beneficiary, amount and value date on each advice to the corresponding row in the Transactions and Wire tabs. Note any stated purpose that is not supported by documentation held on file.</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</si>
  <si>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</si>
  <si>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</si>
  <si>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</si>
  <si>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</si>
  <si>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</si>
  <si>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</si>
  <si>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</si>
  <si>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</si>
  <si>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</si>
  <si>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</si>
  <si>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</si>
  <si>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Wire transfer pattern</t>
  </si>
  <si>
    <t>The value of each wire, the jurisdiction on each side, how many wires fall in the period, and the interval between each incoming wire and the outgoing wire that follows it.</t>
  </si>
  <si>
    <t>Funds received from an entity in one offshore jurisdiction and forwarded to an entity in another within a few days, with only a small residual retained, is pass-through activity. Record the interval in days and the amount retained on each occasion.</t>
  </si>
  <si>
    <t>Who funds the account</t>
  </si>
  <si>
    <t>Count the distinct remitters; compare surnames with the customer's; check the banks used and any stated relationship.</t>
  </si>
  <si>
    <t>Counterparties with no relationship to the customer on either side of the account indicate that the account holder is a conduit rather than the source or the destination of the funds.</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</si>
  <si>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</si>
  <si>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</si>
  <si>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</si>
  <si>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</si>
  <si>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</si>
  <si>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</si>
  <si>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</si>
  <si>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</si>
  <si>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</si>
  <si>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</si>
  <si>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</si>
  <si>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</si>
  <si>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</si>
  <si>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</si>
  <si>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</si>
  <si>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</si>
  <si>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</si>
  <si>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</si>
  <si>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</si>
  <si>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</si>
  <si>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</si>
  <si>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</si>
  <si>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</si>
  <si>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</si>
  <si>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</si>
  <si>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</si>
  <si>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</si>
  <si>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</si>
  <si>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</si>
  <si>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</si>
  <si>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</si>
  <si>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</si>
  <si>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</si>
  <si>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</si>
  <si>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</si>
  <si>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</si>
  <si>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</si>
  <si>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</si>
  <si>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</si>
  <si>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</si>
  <si>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</si>
  <si>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</si>
  <si>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</si>
  <si>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</si>
  <si>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</si>
  <si>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</si>
  <si>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</si>
  <si>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</si>
  <si>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</si>
  <si>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</si>
  <si>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</si>
  <si>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</si>
  <si>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</si>
  <si>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</si>
  <si>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</si>
  <si>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</si>
  <si>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</si>
  <si>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</si>
  <si>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</si>
  <si>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</si>
  <si>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</si>
  <si>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</si>
  <si>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</si>
  <si>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</si>
  <si>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</si>
  <si>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</si>
  <si>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</si>
  <si>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</si>
  <si>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</si>
  <si>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</si>
  <si>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</si>
  <si>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</si>
  <si>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</si>
  <si>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</si>
  <si>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</si>
  <si>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</si>
  <si>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</si>
  <si>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</si>
  <si>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</si>
  <si>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</si>
  <si>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</si>
  <si>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</si>
  <si>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</si>
  <si>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</si>
  <si>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</si>
  <si>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</si>
  <si>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</si>
  <si>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Marcus Delgado</t>
  </si>
  <si>
    <t>Group 1</t>
  </si>
  <si>
    <t>ACH</t>
  </si>
  <si>
    <t>Group 2</t>
  </si>
  <si>
    <t>Citizens Bank</t>
  </si>
  <si>
    <t>Project</t>
  </si>
  <si>
    <t>Equipment</t>
  </si>
  <si>
    <t>Consulting Retainer</t>
  </si>
  <si>
    <t>a.</t>
  </si>
  <si>
    <t>b.</t>
  </si>
  <si>
    <t>c.</t>
  </si>
  <si>
    <t>It indicates that the account should be closed immediately due to high risk.</t>
  </si>
  <si>
    <t>Elder financial exploitation.</t>
  </si>
  <si>
    <t>The transfers were all sent on weekdays.</t>
  </si>
  <si>
    <t>d.</t>
  </si>
  <si>
    <t>2417 W Hillsborough Ave</t>
  </si>
  <si>
    <t>Tampa, FL 33603</t>
  </si>
  <si>
    <t>813-555-0142</t>
  </si>
  <si>
    <t>(813) 555-0142</t>
  </si>
  <si>
    <t>265-88-4107</t>
  </si>
  <si>
    <t>m.delgado.fl@email.com</t>
  </si>
  <si>
    <t>Warehouse Operations Supervisor</t>
  </si>
  <si>
    <t>Bayshore Precision Fabricators, Inc.</t>
  </si>
  <si>
    <t>Large Wire In</t>
  </si>
  <si>
    <t>Payroll Credit - Bayshore Precision Fabricators</t>
  </si>
  <si>
    <t>Truist Bank</t>
  </si>
  <si>
    <t>Monthly payroll credit</t>
  </si>
  <si>
    <t>Rent Payment - Bayview Ridge Apartments</t>
  </si>
  <si>
    <t>Bayview Ridge Apartments LLC</t>
  </si>
  <si>
    <t>Monthly rent</t>
  </si>
  <si>
    <t>Auto Loan Payment - Suncoast Credit Union</t>
  </si>
  <si>
    <t>Suncoast Credit Union</t>
  </si>
  <si>
    <t>Auto loan instalment</t>
  </si>
  <si>
    <t>TECO Energy - Electric Bill</t>
  </si>
  <si>
    <t>TECO Energy</t>
  </si>
  <si>
    <t>Utility bill</t>
  </si>
  <si>
    <t>Publix Super Market #0728</t>
  </si>
  <si>
    <t>4356 2290 7714 5582</t>
  </si>
  <si>
    <t>Progressive Insurance - Auto Premium</t>
  </si>
  <si>
    <t>Progressive Casualty Insurance Co</t>
  </si>
  <si>
    <t>Auto insurance premium</t>
  </si>
  <si>
    <t>Incoming International Wire - Nera Point Holdings Ltd</t>
  </si>
  <si>
    <t>Nera Point Holdings Ltd</t>
  </si>
  <si>
    <t>BMI Offshore Bank Ltd</t>
  </si>
  <si>
    <t>SC58BMI0004471203</t>
  </si>
  <si>
    <t>Outgoing International Wire - Corozal Linden Partners Ltd</t>
  </si>
  <si>
    <t>Corozal Linden Partners Ltd</t>
  </si>
  <si>
    <t>Belize Bank International Ltd</t>
  </si>
  <si>
    <t>BZ47BBI0002298114</t>
  </si>
  <si>
    <t>Project Settlement</t>
  </si>
  <si>
    <t>Chase Card Services - Credit Card Payment</t>
  </si>
  <si>
    <t>Chase Card Services</t>
  </si>
  <si>
    <t>JPMorgan Chase</t>
  </si>
  <si>
    <t>Credit card payment</t>
  </si>
  <si>
    <t>Incoming International Wire - Ardenne Vale Trading Ltd</t>
  </si>
  <si>
    <t>Ardenne Vale Trading Ltd</t>
  </si>
  <si>
    <t>Al Salam Bank Seychelles Ltd</t>
  </si>
  <si>
    <t>SC22ASB0007719845</t>
  </si>
  <si>
    <t>Contract Advance</t>
  </si>
  <si>
    <t>Outgoing International Wire - Westhaven Cay Ltd</t>
  </si>
  <si>
    <t>Westhaven Cay Ltd</t>
  </si>
  <si>
    <t>Bank of Nevis International Ltd</t>
  </si>
  <si>
    <t>KN63BNI0006640572</t>
  </si>
  <si>
    <t>Advance Payment</t>
  </si>
  <si>
    <t>Incoming International Wire - Solmere Pacific Ltd</t>
  </si>
  <si>
    <t>Solmere Pacific Ltd</t>
  </si>
  <si>
    <t>SC91BMI0005583367</t>
  </si>
  <si>
    <t>Service Fee Remittance</t>
  </si>
  <si>
    <t>Outgoing International Wire - Calderon Reef Trading Ltd</t>
  </si>
  <si>
    <t>Calderon Reef Trading Ltd</t>
  </si>
  <si>
    <t>Heritage International Bank &amp; Trust Ltd</t>
  </si>
  <si>
    <t>BZ15HIB0001174429</t>
  </si>
  <si>
    <t>Equipment Settlement</t>
  </si>
  <si>
    <t>Victoria, Mahe, Seychelles</t>
  </si>
  <si>
    <t>2417 W Hillsborough Ave, Tampa, FL 33603</t>
  </si>
  <si>
    <t>8135550142001</t>
  </si>
  <si>
    <t>Retainer</t>
  </si>
  <si>
    <t>Belize City, Belize</t>
  </si>
  <si>
    <t>Advance</t>
  </si>
  <si>
    <t>Charlestown, Nevis, St Kitts and Nevis</t>
  </si>
  <si>
    <t>Service fee</t>
  </si>
  <si>
    <t>SUPPORTING DOCUMENTS - WIRE TRANSFER ADVICES</t>
  </si>
  <si>
    <t>Wire transfer advices for the six alerted international wires, reproduced from the Wire tab for case-study review.</t>
  </si>
  <si>
    <t>TRAINING SAMPLE - NOT A NEGOTIABLE INSTRUMENT</t>
  </si>
  <si>
    <t>Advice No.</t>
  </si>
  <si>
    <t>Value Date</t>
  </si>
  <si>
    <t>Direction</t>
  </si>
  <si>
    <t>Remitter</t>
  </si>
  <si>
    <t>Remitter Bank / Account</t>
  </si>
  <si>
    <t>Beneficiary</t>
  </si>
  <si>
    <t>Beneficiary Bank / Account</t>
  </si>
  <si>
    <t>Stated Purpose</t>
  </si>
  <si>
    <t>Amount (USD)</t>
  </si>
  <si>
    <t>ADV-2026-101</t>
  </si>
  <si>
    <t>Incoming</t>
  </si>
  <si>
    <t>BMI Offshore Bank Ltd / SC58BMI0004471203</t>
  </si>
  <si>
    <t>Bank of America / 8135550142001</t>
  </si>
  <si>
    <t>ADV-2026-102</t>
  </si>
  <si>
    <t>Outgoing</t>
  </si>
  <si>
    <t>Belize Bank International Ltd / BZ47BBI0002298114</t>
  </si>
  <si>
    <t>ADV-2026-103</t>
  </si>
  <si>
    <t>Al Salam Bank Seychelles Ltd / SC22ASB0007719845</t>
  </si>
  <si>
    <t>ADV-2026-104</t>
  </si>
  <si>
    <t>Bank of Nevis International Ltd / KN63BNI0006640572</t>
  </si>
  <si>
    <t>ADV-2026-105</t>
  </si>
  <si>
    <t>BMI Offshore Bank Ltd / SC91BMI0005583367</t>
  </si>
  <si>
    <t>ADV-2026-106</t>
  </si>
  <si>
    <t>Heritage International Bank &amp; Trust Ltd / BZ15HIB0001174429</t>
  </si>
  <si>
    <t>Large Wire In / Large Wire Out</t>
  </si>
  <si>
    <t>FL-TPA-02</t>
  </si>
  <si>
    <t>Tampa</t>
  </si>
  <si>
    <t>FL</t>
  </si>
  <si>
    <t>The customer's occupation as a Warehouse Operations Supervisor and his address in Tampa, FL.</t>
  </si>
  <si>
    <t>Three incoming wire transfers of $11,800 to $12,950 received from entities in the Seychelles, each forwarded within three to five days to entities in Belize and St Kitts and Nevis, on an account otherwise funded only by payroll.</t>
  </si>
  <si>
    <t>The use of a debit card for grocery purchases at Publix Super Market.</t>
  </si>
  <si>
    <t>2. Why is the customer's salaried income of approximately $4,600 per month a critical piece of information in this investigation?</t>
  </si>
  <si>
    <t>It establishes the expected level and source of account activity, and nothing on file explains the $37,150 received from entities in the Seychelles.</t>
  </si>
  <si>
    <t>It shows the customer can afford to send international wire transfers.</t>
  </si>
  <si>
    <t>3. Funds are received from an entity in one offshore jurisdiction and forwarded to an entity in a different offshore jurisdiction within three to five days, with $150 retained on each occasion. This pattern is best described as:</t>
  </si>
  <si>
    <t>Normal international remittance activity between family members.</t>
  </si>
  <si>
    <t>Pass-through activity, with the account used as an intermediary between two unrelated foreign parties.</t>
  </si>
  <si>
    <t>4. Which combination of factors regarding the six wire transfers makes them most suspicious?</t>
  </si>
  <si>
    <t>The wire amounts are all below $25,000.</t>
  </si>
  <si>
    <t>The counterparties in the Seychelles, Belize and St Kitts and Nevis have no corporate registry record, website or public presence, and the stated purposes are commercial although no business is recorded for the customer.</t>
  </si>
  <si>
    <t>Close the alert, as the wire narrations state plausible business reasons such as “Consulting Retainer” and “Project Settlement.”</t>
  </si>
  <si>
    <t>Contact the customer to ask for clarification on the source of the incoming wires.</t>
  </si>
  <si>
    <t>Escalate the case and recommend filing a Suspicious Activity Report (SAR) based on the combined red flags.</t>
  </si>
  <si>
    <t>6. What is the total dollar amount of the incoming wire transfers received over the six-month review period?</t>
  </si>
  <si>
    <t>7. From which jurisdiction were the three incoming wire transfers received?</t>
  </si>
  <si>
    <t>Belize</t>
  </si>
  <si>
    <t>St Kitts and Nevis</t>
  </si>
  <si>
    <t>Seychelles</t>
  </si>
  <si>
    <t>Cayman Islands</t>
  </si>
  <si>
    <t>8. Payroll credits over the six months totalled $27,779.51 and living-expense debits totalled $24,101.98. What does this comparison show?</t>
  </si>
  <si>
    <t>The customer was living beyond his means and required the wire funds.</t>
  </si>
  <si>
    <t>The salary covered the recorded living expenses, and the wire funds were not applied to any household or living cost.</t>
  </si>
  <si>
    <t>The living expenses were funded by the incoming wire transfers.</t>
  </si>
  <si>
    <t>The customer was accumulating the wire funds as savings in the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</si>
</sst>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_(* #,##0.00_);_(* \(#,##0.00\);_(* &quot;-&quot;??_);_(@_)"/>
    <numFmt numFmtId="166" formatCode="&quot;$&quot;#,##0.00"/>
    <numFmt numFmtId="167"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1"/>
      <color theme="1"/>
      <name val="Aptos"/>
    </font>
    <font>
      <b/>
      <sz val="12"/>
      <color rgb="FF17365D"/>
      <name val="Aptos"/>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165" fontId="1" fillId="0" borderId="0" applyFont="0" applyFill="0" applyBorder="0" applyAlignment="0" applyProtection="0"/>
    <xf numFmtId="0" fontId="13" fillId="0" borderId="0" applyNumberFormat="0" applyFill="0" applyBorder="0" applyAlignment="0" applyProtection="0"/>
  </cellStyleXfs>
  <cellXfs count="146">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6"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5"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5"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165" fontId="0" fillId="4" borderId="0" xfId="1" applyFont="1" applyFill="1"/>
    <xf numFmtId="14" fontId="0" fillId="0" borderId="0" xfId="0" applyNumberFormat="1" applyAlignment="1">
      <alignment horizontal="left"/>
    </xf>
    <xf numFmtId="167"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28" fillId="0" borderId="32" xfId="0" applyFont="1" applyBorder="1" applyAlignment="1">
      <alignment wrapText="1"/>
    </xf>
    <xf numFmtId="0" fontId="32" fillId="9" borderId="31" xfId="0" applyFont="1" applyFill="1" applyBorder="1" applyAlignment="1">
      <alignment horizontal="center" vertical="center"/>
    </xf>
    <xf numFmtId="164"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25" fillId="11" borderId="0" xfId="0" applyFont="1" applyFill="1" applyAlignment="1">
      <alignment horizontal="center" vertical="center"/>
    </xf>
    <xf numFmtId="0" fontId="24" fillId="10" borderId="0" xfId="0" applyFont="1" applyFill="1" applyAlignment="1">
      <alignment wrapText="1"/>
    </xf>
    <xf numFmtId="0" fontId="18" fillId="5" borderId="0" xfId="0" applyFont="1" applyFill="1" applyAlignment="1">
      <alignment vertical="center"/>
    </xf>
    <xf numFmtId="0" fontId="20" fillId="0" borderId="0" xfId="0" applyFont="1" applyAlignment="1">
      <alignment wrapText="1"/>
    </xf>
    <xf numFmtId="0" fontId="21" fillId="6" borderId="0" xfId="0" applyFont="1" applyFill="1"/>
    <xf numFmtId="0" fontId="22" fillId="7" borderId="0" xfId="0" applyFont="1" applyFill="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0" fillId="0" borderId="0" xfId="0"/>
    <xf numFmtId="0" fontId="19" fillId="0" borderId="0" xfId="0" applyFont="1" applyAlignment="1">
      <alignment horizontal="center"/>
    </xf>
    <xf numFmtId="0" fontId="25" fillId="11" borderId="0" xfId="0" applyFont="1" applyFill="1" applyAlignment="1">
      <alignment horizontal="center" vertical="center"/>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556260</xdr:colOff>
          <xdr:row>32</xdr:row>
          <xdr:rowOff>15240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556260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556260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556260</xdr:colOff>
          <xdr:row>32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556260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556260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556260</xdr:colOff>
          <xdr:row>38</xdr:row>
          <xdr:rowOff>15240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556260</xdr:colOff>
          <xdr:row>40</xdr:row>
          <xdr:rowOff>15240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556260</xdr:colOff>
          <xdr:row>41</xdr:row>
          <xdr:rowOff>15240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556260</xdr:colOff>
          <xdr:row>42</xdr:row>
          <xdr:rowOff>15240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556260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556260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556260</xdr:colOff>
          <xdr:row>63</xdr:row>
          <xdr:rowOff>15240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556260</xdr:colOff>
          <xdr:row>62</xdr:row>
          <xdr:rowOff>15240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556260</xdr:colOff>
          <xdr:row>64</xdr:row>
          <xdr:rowOff>15240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556260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556260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556260</xdr:colOff>
          <xdr:row>67</xdr:row>
          <xdr:rowOff>15240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556260</xdr:colOff>
          <xdr:row>68</xdr:row>
          <xdr:rowOff>15240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556260</xdr:colOff>
          <xdr:row>61</xdr:row>
          <xdr:rowOff>15240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556260</xdr:colOff>
          <xdr:row>62</xdr:row>
          <xdr:rowOff>15240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556260</xdr:colOff>
          <xdr:row>63</xdr:row>
          <xdr:rowOff>15240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556260</xdr:colOff>
          <xdr:row>64</xdr:row>
          <xdr:rowOff>15240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556260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556260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556260</xdr:colOff>
          <xdr:row>67</xdr:row>
          <xdr:rowOff>15240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556260</xdr:colOff>
          <xdr:row>68</xdr:row>
          <xdr:rowOff>15240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556260</xdr:colOff>
          <xdr:row>61</xdr:row>
          <xdr:rowOff>15240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556260</xdr:colOff>
          <xdr:row>62</xdr:row>
          <xdr:rowOff>15240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556260</xdr:colOff>
          <xdr:row>63</xdr:row>
          <xdr:rowOff>15240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556260</xdr:colOff>
          <xdr:row>64</xdr:row>
          <xdr:rowOff>15240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556260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556260</xdr:colOff>
          <xdr:row>73</xdr:row>
          <xdr:rowOff>15240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556260</xdr:colOff>
          <xdr:row>76</xdr:row>
          <xdr:rowOff>15240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556260</xdr:colOff>
          <xdr:row>75</xdr:row>
          <xdr:rowOff>15240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556260</xdr:colOff>
          <xdr:row>74</xdr:row>
          <xdr:rowOff>15240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556260</xdr:colOff>
          <xdr:row>75</xdr:row>
          <xdr:rowOff>15240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556260</xdr:colOff>
          <xdr:row>73</xdr:row>
          <xdr:rowOff>15240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38</xdr:row>
          <xdr:rowOff>0</xdr:rowOff>
        </xdr:from>
        <xdr:to>
          <xdr:col>5</xdr:col>
          <xdr:colOff>53340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39</xdr:row>
          <xdr:rowOff>0</xdr:rowOff>
        </xdr:from>
        <xdr:to>
          <xdr:col>5</xdr:col>
          <xdr:colOff>53340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40</xdr:row>
          <xdr:rowOff>0</xdr:rowOff>
        </xdr:from>
        <xdr:to>
          <xdr:col>5</xdr:col>
          <xdr:colOff>53340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41</xdr:row>
          <xdr:rowOff>0</xdr:rowOff>
        </xdr:from>
        <xdr:to>
          <xdr:col>5</xdr:col>
          <xdr:colOff>53340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42</xdr:row>
          <xdr:rowOff>0</xdr:rowOff>
        </xdr:from>
        <xdr:to>
          <xdr:col>5</xdr:col>
          <xdr:colOff>53340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556260</xdr:colOff>
          <xdr:row>39</xdr:row>
          <xdr:rowOff>15240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556260</xdr:colOff>
          <xdr:row>48</xdr:row>
          <xdr:rowOff>15240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556260</xdr:colOff>
          <xdr:row>49</xdr:row>
          <xdr:rowOff>15240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556260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556260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556260</xdr:colOff>
          <xdr:row>52</xdr:row>
          <xdr:rowOff>15240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556260</xdr:colOff>
          <xdr:row>53</xdr:row>
          <xdr:rowOff>15240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556260</xdr:colOff>
          <xdr:row>54</xdr:row>
          <xdr:rowOff>15240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556260</xdr:colOff>
          <xdr:row>55</xdr:row>
          <xdr:rowOff>15240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556260</xdr:colOff>
          <xdr:row>56</xdr:row>
          <xdr:rowOff>15240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556260</xdr:colOff>
          <xdr:row>57</xdr:row>
          <xdr:rowOff>15240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556260</xdr:colOff>
          <xdr:row>48</xdr:row>
          <xdr:rowOff>15240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556260</xdr:colOff>
          <xdr:row>49</xdr:row>
          <xdr:rowOff>15240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556260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556260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556260</xdr:colOff>
          <xdr:row>52</xdr:row>
          <xdr:rowOff>15240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556260</xdr:colOff>
          <xdr:row>53</xdr:row>
          <xdr:rowOff>15240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556260</xdr:colOff>
          <xdr:row>48</xdr:row>
          <xdr:rowOff>15240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556260</xdr:colOff>
          <xdr:row>49</xdr:row>
          <xdr:rowOff>15240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556260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556260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m.delgado.fl@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topLeftCell="A53" workbookViewId="0">
      <selection activeCell="D54" sqref="D54"/>
    </sheetView>
  </sheetViews>
  <sheetFormatPr defaultColWidth="8.77734375" defaultRowHeight="14.4" x14ac:dyDescent="0.3"/>
  <cols>
    <col min="1" max="1" width="8.6640625" customWidth="1"/>
    <col min="2" max="2" width="28.109375" customWidth="1"/>
    <col min="3" max="3" width="31.77734375" customWidth="1"/>
    <col min="4" max="4" width="63" customWidth="1"/>
  </cols>
  <sheetData>
    <row r="1" spans="1:4" ht="14.55" customHeight="1" x14ac:dyDescent="0.3">
      <c r="A1" s="93" t="s">
        <v>212</v>
      </c>
      <c r="B1" s="93"/>
      <c r="C1" s="93"/>
      <c r="D1" s="93"/>
    </row>
    <row r="2" spans="1:4" ht="43.5" customHeight="1" x14ac:dyDescent="0.3">
      <c r="A2" s="94" t="s">
        <v>213</v>
      </c>
      <c r="B2" s="94"/>
      <c r="C2" s="94"/>
      <c r="D2" s="94"/>
    </row>
    <row r="4" spans="1:4" ht="14.55" customHeight="1" x14ac:dyDescent="0.3">
      <c r="A4" s="95" t="s">
        <v>214</v>
      </c>
      <c r="B4" s="95"/>
      <c r="C4" s="95"/>
      <c r="D4" s="95"/>
    </row>
    <row r="5" spans="1:4" ht="58.05" customHeight="1" x14ac:dyDescent="0.3">
      <c r="A5" s="96" t="s">
        <v>215</v>
      </c>
      <c r="B5" s="96"/>
      <c r="C5" s="96"/>
      <c r="D5" s="96"/>
    </row>
    <row r="7" spans="1:4" ht="14.55" customHeight="1" x14ac:dyDescent="0.3">
      <c r="A7" s="95" t="s">
        <v>216</v>
      </c>
      <c r="B7" s="95"/>
      <c r="C7" s="95"/>
      <c r="D7" s="95"/>
    </row>
    <row r="8" spans="1:4" ht="28.05" customHeight="1" x14ac:dyDescent="0.3">
      <c r="A8" s="62" t="s">
        <v>169</v>
      </c>
      <c r="B8" s="63" t="s">
        <v>170</v>
      </c>
      <c r="C8" s="63" t="s">
        <v>217</v>
      </c>
      <c r="D8" s="64" t="s">
        <v>218</v>
      </c>
    </row>
    <row r="9" spans="1:4" ht="72" x14ac:dyDescent="0.3">
      <c r="A9" s="65">
        <v>1</v>
      </c>
      <c r="B9" s="88" t="s">
        <v>173</v>
      </c>
      <c r="C9" s="67" t="s">
        <v>219</v>
      </c>
      <c r="D9" s="68" t="s">
        <v>220</v>
      </c>
    </row>
    <row r="10" spans="1:4" ht="43.2" x14ac:dyDescent="0.3">
      <c r="A10" s="69">
        <v>2</v>
      </c>
      <c r="B10" s="89" t="s">
        <v>13</v>
      </c>
      <c r="C10" s="71" t="s">
        <v>221</v>
      </c>
      <c r="D10" s="72" t="s">
        <v>222</v>
      </c>
    </row>
    <row r="11" spans="1:4" ht="57.6" x14ac:dyDescent="0.3">
      <c r="A11" s="65">
        <v>3</v>
      </c>
      <c r="B11" s="88" t="s">
        <v>178</v>
      </c>
      <c r="C11" s="67" t="s">
        <v>223</v>
      </c>
      <c r="D11" s="68" t="s">
        <v>224</v>
      </c>
    </row>
    <row r="12" spans="1:4" ht="86.4" x14ac:dyDescent="0.3">
      <c r="A12" s="69">
        <v>4</v>
      </c>
      <c r="B12" s="89" t="s">
        <v>180</v>
      </c>
      <c r="C12" s="71" t="s">
        <v>225</v>
      </c>
      <c r="D12" s="72" t="s">
        <v>226</v>
      </c>
    </row>
    <row r="13" spans="1:4" ht="57.6" x14ac:dyDescent="0.3">
      <c r="A13" s="65">
        <v>5</v>
      </c>
      <c r="B13" s="88" t="s">
        <v>36</v>
      </c>
      <c r="C13" s="67" t="s">
        <v>227</v>
      </c>
      <c r="D13" s="68" t="s">
        <v>228</v>
      </c>
    </row>
    <row r="14" spans="1:4" ht="43.2" x14ac:dyDescent="0.3">
      <c r="A14" s="69">
        <v>6</v>
      </c>
      <c r="B14" s="89" t="s">
        <v>185</v>
      </c>
      <c r="C14" s="71" t="s">
        <v>229</v>
      </c>
      <c r="D14" s="72" t="s">
        <v>230</v>
      </c>
    </row>
    <row r="15" spans="1:4" ht="57.6" x14ac:dyDescent="0.3">
      <c r="A15" s="73">
        <v>7</v>
      </c>
      <c r="B15" s="90" t="s">
        <v>188</v>
      </c>
      <c r="C15" s="75" t="s">
        <v>231</v>
      </c>
      <c r="D15" s="76" t="s">
        <v>232</v>
      </c>
    </row>
    <row r="17" spans="1:4" ht="14.55" customHeight="1" x14ac:dyDescent="0.3">
      <c r="A17" s="95" t="s">
        <v>233</v>
      </c>
      <c r="B17" s="95"/>
      <c r="C17" s="95"/>
      <c r="D17" s="95"/>
    </row>
    <row r="18" spans="1:4" ht="28.95" customHeight="1" x14ac:dyDescent="0.3">
      <c r="A18" s="96" t="s">
        <v>234</v>
      </c>
      <c r="B18" s="96"/>
      <c r="C18" s="96"/>
      <c r="D18" s="96"/>
    </row>
    <row r="19" spans="1:4" ht="28.05" customHeight="1" x14ac:dyDescent="0.3">
      <c r="A19" s="62" t="s">
        <v>235</v>
      </c>
      <c r="B19" s="63" t="s">
        <v>236</v>
      </c>
      <c r="C19" s="63" t="s">
        <v>237</v>
      </c>
      <c r="D19" s="64" t="s">
        <v>238</v>
      </c>
    </row>
    <row r="20" spans="1:4" ht="43.2" x14ac:dyDescent="0.3">
      <c r="A20" s="65">
        <v>1</v>
      </c>
      <c r="B20" s="88" t="s">
        <v>239</v>
      </c>
      <c r="C20" s="67" t="s">
        <v>240</v>
      </c>
      <c r="D20" s="68" t="s">
        <v>241</v>
      </c>
    </row>
    <row r="21" spans="1:4" ht="72" x14ac:dyDescent="0.3">
      <c r="A21" s="69">
        <v>2</v>
      </c>
      <c r="B21" s="89" t="s">
        <v>242</v>
      </c>
      <c r="C21" s="71" t="s">
        <v>243</v>
      </c>
      <c r="D21" s="72" t="s">
        <v>244</v>
      </c>
    </row>
    <row r="22" spans="1:4" ht="57.6" x14ac:dyDescent="0.3">
      <c r="A22" s="65">
        <v>3</v>
      </c>
      <c r="B22" s="88" t="s">
        <v>245</v>
      </c>
      <c r="C22" s="67" t="s">
        <v>246</v>
      </c>
      <c r="D22" s="68" t="s">
        <v>247</v>
      </c>
    </row>
    <row r="23" spans="1:4" ht="57.6" x14ac:dyDescent="0.3">
      <c r="A23" s="69">
        <v>4</v>
      </c>
      <c r="B23" s="89" t="s">
        <v>248</v>
      </c>
      <c r="C23" s="71" t="s">
        <v>249</v>
      </c>
      <c r="D23" s="72" t="s">
        <v>250</v>
      </c>
    </row>
    <row r="24" spans="1:4" ht="43.2" x14ac:dyDescent="0.3">
      <c r="A24" s="65">
        <v>5</v>
      </c>
      <c r="B24" s="88" t="s">
        <v>251</v>
      </c>
      <c r="C24" s="67" t="s">
        <v>252</v>
      </c>
      <c r="D24" s="68" t="s">
        <v>253</v>
      </c>
    </row>
    <row r="25" spans="1:4" ht="57.6" x14ac:dyDescent="0.3">
      <c r="A25" s="69">
        <v>6</v>
      </c>
      <c r="B25" s="89" t="s">
        <v>254</v>
      </c>
      <c r="C25" s="71" t="s">
        <v>255</v>
      </c>
      <c r="D25" s="72" t="s">
        <v>256</v>
      </c>
    </row>
    <row r="26" spans="1:4" ht="72" x14ac:dyDescent="0.3">
      <c r="A26" s="65">
        <v>7</v>
      </c>
      <c r="B26" s="88" t="s">
        <v>257</v>
      </c>
      <c r="C26" s="67" t="s">
        <v>258</v>
      </c>
      <c r="D26" s="68" t="s">
        <v>259</v>
      </c>
    </row>
    <row r="27" spans="1:4" ht="43.2" x14ac:dyDescent="0.3">
      <c r="A27" s="69">
        <v>8</v>
      </c>
      <c r="B27" s="89" t="s">
        <v>260</v>
      </c>
      <c r="C27" s="71" t="s">
        <v>261</v>
      </c>
      <c r="D27" s="72" t="s">
        <v>262</v>
      </c>
    </row>
    <row r="28" spans="1:4" ht="72" x14ac:dyDescent="0.3">
      <c r="A28" s="73">
        <v>9</v>
      </c>
      <c r="B28" s="90" t="s">
        <v>263</v>
      </c>
      <c r="C28" s="75" t="s">
        <v>264</v>
      </c>
      <c r="D28" s="76" t="s">
        <v>265</v>
      </c>
    </row>
    <row r="30" spans="1:4" ht="14.55" customHeight="1" x14ac:dyDescent="0.3">
      <c r="A30" s="95" t="s">
        <v>266</v>
      </c>
      <c r="B30" s="95"/>
      <c r="C30" s="95"/>
      <c r="D30" s="95"/>
    </row>
    <row r="31" spans="1:4" ht="43.5" customHeight="1" x14ac:dyDescent="0.3">
      <c r="A31" s="96" t="s">
        <v>267</v>
      </c>
      <c r="B31" s="96"/>
      <c r="C31" s="96"/>
      <c r="D31" s="96"/>
    </row>
    <row r="32" spans="1:4" ht="28.05" customHeight="1" x14ac:dyDescent="0.3">
      <c r="A32" s="62" t="s">
        <v>268</v>
      </c>
      <c r="B32" s="63" t="s">
        <v>269</v>
      </c>
      <c r="C32" s="63" t="s">
        <v>270</v>
      </c>
      <c r="D32" s="64" t="s">
        <v>271</v>
      </c>
    </row>
    <row r="33" spans="1:4" ht="28.8" x14ac:dyDescent="0.3">
      <c r="A33" s="65">
        <v>1</v>
      </c>
      <c r="B33" s="88" t="s">
        <v>272</v>
      </c>
      <c r="C33" s="67" t="s">
        <v>273</v>
      </c>
      <c r="D33" s="68" t="s">
        <v>274</v>
      </c>
    </row>
    <row r="34" spans="1:4" ht="28.8" x14ac:dyDescent="0.3">
      <c r="A34" s="69">
        <v>2</v>
      </c>
      <c r="B34" s="89" t="s">
        <v>275</v>
      </c>
      <c r="C34" s="71" t="s">
        <v>276</v>
      </c>
      <c r="D34" s="72" t="s">
        <v>277</v>
      </c>
    </row>
    <row r="35" spans="1:4" ht="57.6" x14ac:dyDescent="0.3">
      <c r="A35" s="65">
        <v>3</v>
      </c>
      <c r="B35" s="88" t="s">
        <v>278</v>
      </c>
      <c r="C35" s="67" t="s">
        <v>279</v>
      </c>
      <c r="D35" s="68" t="s">
        <v>280</v>
      </c>
    </row>
    <row r="36" spans="1:4" ht="43.2" x14ac:dyDescent="0.3">
      <c r="A36" s="69">
        <v>4</v>
      </c>
      <c r="B36" s="89" t="s">
        <v>281</v>
      </c>
      <c r="C36" s="71" t="s">
        <v>282</v>
      </c>
      <c r="D36" s="72" t="s">
        <v>283</v>
      </c>
    </row>
    <row r="37" spans="1:4" ht="57.6" x14ac:dyDescent="0.3">
      <c r="A37" s="65">
        <v>5</v>
      </c>
      <c r="B37" s="88" t="s">
        <v>284</v>
      </c>
      <c r="C37" s="67" t="s">
        <v>285</v>
      </c>
      <c r="D37" s="68" t="s">
        <v>286</v>
      </c>
    </row>
    <row r="38" spans="1:4" ht="43.2" x14ac:dyDescent="0.3">
      <c r="A38" s="69">
        <v>6</v>
      </c>
      <c r="B38" s="89" t="s">
        <v>287</v>
      </c>
      <c r="C38" s="71" t="s">
        <v>288</v>
      </c>
      <c r="D38" s="72" t="s">
        <v>289</v>
      </c>
    </row>
    <row r="39" spans="1:4" ht="43.2" x14ac:dyDescent="0.3">
      <c r="A39" s="65">
        <v>7</v>
      </c>
      <c r="B39" s="88" t="s">
        <v>290</v>
      </c>
      <c r="C39" s="67" t="s">
        <v>291</v>
      </c>
      <c r="D39" s="68" t="s">
        <v>292</v>
      </c>
    </row>
    <row r="40" spans="1:4" ht="28.8" x14ac:dyDescent="0.3">
      <c r="A40" s="73">
        <v>8</v>
      </c>
      <c r="B40" s="90" t="s">
        <v>293</v>
      </c>
      <c r="C40" s="75" t="s">
        <v>294</v>
      </c>
      <c r="D40" s="76" t="s">
        <v>295</v>
      </c>
    </row>
    <row r="41" spans="1:4" ht="43.5" customHeight="1" x14ac:dyDescent="0.3">
      <c r="A41" s="92" t="s">
        <v>296</v>
      </c>
      <c r="B41" s="92"/>
      <c r="C41" s="92"/>
      <c r="D41" s="92"/>
    </row>
    <row r="43" spans="1:4" ht="14.55" customHeight="1" x14ac:dyDescent="0.3">
      <c r="A43" s="95" t="s">
        <v>297</v>
      </c>
      <c r="B43" s="95"/>
      <c r="C43" s="95"/>
      <c r="D43" s="95"/>
    </row>
    <row r="44" spans="1:4" ht="28.95" customHeight="1" x14ac:dyDescent="0.3">
      <c r="A44" s="96" t="s">
        <v>298</v>
      </c>
      <c r="B44" s="96"/>
      <c r="C44" s="96"/>
      <c r="D44" s="96"/>
    </row>
    <row r="45" spans="1:4" ht="28.05" customHeight="1" x14ac:dyDescent="0.3">
      <c r="A45" s="62" t="s">
        <v>235</v>
      </c>
      <c r="B45" s="63" t="s">
        <v>299</v>
      </c>
      <c r="C45" s="63" t="s">
        <v>300</v>
      </c>
      <c r="D45" s="64" t="s">
        <v>301</v>
      </c>
    </row>
    <row r="46" spans="1:4" ht="28.8" x14ac:dyDescent="0.3">
      <c r="A46" s="65">
        <v>1</v>
      </c>
      <c r="B46" s="88" t="s">
        <v>79</v>
      </c>
      <c r="C46" s="67" t="s">
        <v>302</v>
      </c>
      <c r="D46" s="68" t="s">
        <v>303</v>
      </c>
    </row>
    <row r="47" spans="1:4" ht="28.8" x14ac:dyDescent="0.3">
      <c r="A47" s="69">
        <v>2</v>
      </c>
      <c r="B47" s="89" t="s">
        <v>304</v>
      </c>
      <c r="C47" s="71" t="s">
        <v>305</v>
      </c>
      <c r="D47" s="72" t="s">
        <v>306</v>
      </c>
    </row>
    <row r="48" spans="1:4" ht="28.8" x14ac:dyDescent="0.3">
      <c r="A48" s="65">
        <v>3</v>
      </c>
      <c r="B48" s="88" t="s">
        <v>81</v>
      </c>
      <c r="C48" s="67" t="s">
        <v>307</v>
      </c>
      <c r="D48" s="68" t="s">
        <v>308</v>
      </c>
    </row>
    <row r="49" spans="1:4" ht="28.8" x14ac:dyDescent="0.3">
      <c r="A49" s="69">
        <v>4</v>
      </c>
      <c r="B49" s="89" t="s">
        <v>309</v>
      </c>
      <c r="C49" s="71" t="s">
        <v>310</v>
      </c>
      <c r="D49" s="72" t="s">
        <v>311</v>
      </c>
    </row>
    <row r="50" spans="1:4" ht="57.6" x14ac:dyDescent="0.3">
      <c r="A50" s="65">
        <v>5</v>
      </c>
      <c r="B50" s="88" t="s">
        <v>312</v>
      </c>
      <c r="C50" s="67" t="s">
        <v>313</v>
      </c>
      <c r="D50" s="68" t="s">
        <v>314</v>
      </c>
    </row>
    <row r="51" spans="1:4" ht="28.8" x14ac:dyDescent="0.3">
      <c r="A51" s="69">
        <v>6</v>
      </c>
      <c r="B51" s="89" t="s">
        <v>315</v>
      </c>
      <c r="C51" s="71" t="s">
        <v>316</v>
      </c>
      <c r="D51" s="72" t="s">
        <v>317</v>
      </c>
    </row>
    <row r="52" spans="1:4" ht="28.8" x14ac:dyDescent="0.3">
      <c r="A52" s="65">
        <v>7</v>
      </c>
      <c r="B52" s="88" t="s">
        <v>318</v>
      </c>
      <c r="C52" s="67" t="s">
        <v>319</v>
      </c>
      <c r="D52" s="68" t="s">
        <v>320</v>
      </c>
    </row>
    <row r="53" spans="1:4" ht="57.6" x14ac:dyDescent="0.3">
      <c r="A53" s="69">
        <v>8</v>
      </c>
      <c r="B53" s="89" t="s">
        <v>321</v>
      </c>
      <c r="C53" s="71" t="s">
        <v>322</v>
      </c>
      <c r="D53" s="72" t="s">
        <v>323</v>
      </c>
    </row>
    <row r="54" spans="1:4" ht="57.6" x14ac:dyDescent="0.3">
      <c r="A54" s="65">
        <v>9</v>
      </c>
      <c r="B54" s="88" t="s">
        <v>324</v>
      </c>
      <c r="C54" s="67" t="s">
        <v>325</v>
      </c>
      <c r="D54" s="68" t="s">
        <v>326</v>
      </c>
    </row>
    <row r="55" spans="1:4" ht="28.8" x14ac:dyDescent="0.3">
      <c r="A55" s="69">
        <v>10</v>
      </c>
      <c r="B55" s="89" t="s">
        <v>327</v>
      </c>
      <c r="C55" s="71" t="s">
        <v>328</v>
      </c>
      <c r="D55" s="72" t="s">
        <v>329</v>
      </c>
    </row>
    <row r="56" spans="1:4" ht="43.2" x14ac:dyDescent="0.3">
      <c r="A56" s="73">
        <v>11</v>
      </c>
      <c r="B56" s="90" t="s">
        <v>330</v>
      </c>
      <c r="C56" s="75" t="s">
        <v>331</v>
      </c>
      <c r="D56" s="76" t="s">
        <v>332</v>
      </c>
    </row>
    <row r="58" spans="1:4" ht="14.55" customHeight="1" x14ac:dyDescent="0.3">
      <c r="A58" s="95" t="s">
        <v>333</v>
      </c>
      <c r="B58" s="95"/>
      <c r="C58" s="95"/>
      <c r="D58" s="95"/>
    </row>
    <row r="59" spans="1:4" ht="58.05" customHeight="1" x14ac:dyDescent="0.3">
      <c r="A59" s="92" t="s">
        <v>334</v>
      </c>
      <c r="B59" s="92"/>
      <c r="C59" s="92"/>
      <c r="D59" s="92"/>
    </row>
  </sheetData>
  <mergeCells count="14">
    <mergeCell ref="A43:D43"/>
    <mergeCell ref="A44:D44"/>
    <mergeCell ref="A58:D58"/>
    <mergeCell ref="A59:D59"/>
    <mergeCell ref="A17:D17"/>
    <mergeCell ref="A18:D18"/>
    <mergeCell ref="A30:D30"/>
    <mergeCell ref="A31:D31"/>
    <mergeCell ref="A41:D41"/>
    <mergeCell ref="A1:D1"/>
    <mergeCell ref="A2:D2"/>
    <mergeCell ref="A4:D4"/>
    <mergeCell ref="A5:D5"/>
    <mergeCell ref="A7:D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workbookViewId="0">
      <selection activeCell="C31" sqref="C31"/>
    </sheetView>
  </sheetViews>
  <sheetFormatPr defaultColWidth="8.77734375" defaultRowHeight="14.4" x14ac:dyDescent="0.3"/>
  <cols>
    <col min="1" max="1" width="8.77734375" customWidth="1"/>
    <col min="2" max="2" width="28.109375" customWidth="1"/>
    <col min="3" max="3" width="31.77734375" customWidth="1"/>
    <col min="4" max="4" width="63" customWidth="1"/>
  </cols>
  <sheetData>
    <row r="1" spans="1:4" ht="31.95" customHeight="1" x14ac:dyDescent="0.3">
      <c r="A1" s="93" t="s">
        <v>167</v>
      </c>
      <c r="B1" s="93"/>
      <c r="C1" s="93"/>
      <c r="D1" s="93"/>
    </row>
    <row r="2" spans="1:4" ht="28.05" customHeight="1" x14ac:dyDescent="0.3">
      <c r="A2" s="94" t="s">
        <v>202</v>
      </c>
      <c r="B2" s="94"/>
      <c r="C2" s="94"/>
      <c r="D2" s="94"/>
    </row>
    <row r="4" spans="1:4" ht="15.6" x14ac:dyDescent="0.3">
      <c r="A4" s="95" t="s">
        <v>168</v>
      </c>
      <c r="B4" s="95"/>
      <c r="C4" s="95"/>
      <c r="D4" s="95"/>
    </row>
    <row r="5" spans="1:4" ht="36.450000000000003" customHeight="1" x14ac:dyDescent="0.3">
      <c r="A5" s="96" t="s">
        <v>200</v>
      </c>
      <c r="B5" s="96"/>
      <c r="C5" s="96"/>
      <c r="D5" s="96"/>
    </row>
    <row r="7" spans="1:4" ht="28.05" customHeight="1" x14ac:dyDescent="0.3">
      <c r="A7" s="62" t="s">
        <v>169</v>
      </c>
      <c r="B7" s="63" t="s">
        <v>170</v>
      </c>
      <c r="C7" s="63" t="s">
        <v>171</v>
      </c>
      <c r="D7" s="64" t="s">
        <v>172</v>
      </c>
    </row>
    <row r="8" spans="1:4" ht="43.2" x14ac:dyDescent="0.3">
      <c r="A8" s="65">
        <v>1</v>
      </c>
      <c r="B8" s="66" t="s">
        <v>173</v>
      </c>
      <c r="C8" s="67" t="s">
        <v>174</v>
      </c>
      <c r="D8" s="68" t="s">
        <v>175</v>
      </c>
    </row>
    <row r="9" spans="1:4" ht="43.2" x14ac:dyDescent="0.3">
      <c r="A9" s="69">
        <v>2</v>
      </c>
      <c r="B9" s="70" t="s">
        <v>13</v>
      </c>
      <c r="C9" s="71" t="s">
        <v>176</v>
      </c>
      <c r="D9" s="72" t="s">
        <v>177</v>
      </c>
    </row>
    <row r="10" spans="1:4" ht="43.2" x14ac:dyDescent="0.3">
      <c r="A10" s="65">
        <v>3</v>
      </c>
      <c r="B10" s="66" t="s">
        <v>178</v>
      </c>
      <c r="C10" s="67" t="s">
        <v>179</v>
      </c>
      <c r="D10" s="68" t="s">
        <v>210</v>
      </c>
    </row>
    <row r="11" spans="1:4" ht="43.2" x14ac:dyDescent="0.3">
      <c r="A11" s="69">
        <v>4</v>
      </c>
      <c r="B11" s="70" t="s">
        <v>180</v>
      </c>
      <c r="C11" s="71" t="s">
        <v>181</v>
      </c>
      <c r="D11" s="72" t="s">
        <v>182</v>
      </c>
    </row>
    <row r="12" spans="1:4" ht="43.2" x14ac:dyDescent="0.3">
      <c r="A12" s="65">
        <v>5</v>
      </c>
      <c r="B12" s="66" t="s">
        <v>36</v>
      </c>
      <c r="C12" s="67" t="s">
        <v>183</v>
      </c>
      <c r="D12" s="68" t="s">
        <v>184</v>
      </c>
    </row>
    <row r="13" spans="1:4" ht="43.2" x14ac:dyDescent="0.3">
      <c r="A13" s="69">
        <v>6</v>
      </c>
      <c r="B13" s="70" t="s">
        <v>185</v>
      </c>
      <c r="C13" s="71" t="s">
        <v>186</v>
      </c>
      <c r="D13" s="72" t="s">
        <v>187</v>
      </c>
    </row>
    <row r="14" spans="1:4" ht="43.2" x14ac:dyDescent="0.3">
      <c r="A14" s="65">
        <v>7</v>
      </c>
      <c r="B14" s="66" t="s">
        <v>188</v>
      </c>
      <c r="C14" s="67" t="s">
        <v>189</v>
      </c>
      <c r="D14" s="68" t="s">
        <v>190</v>
      </c>
    </row>
    <row r="15" spans="1:4" ht="86.4" x14ac:dyDescent="0.3">
      <c r="A15" s="65">
        <v>9</v>
      </c>
      <c r="B15" s="66" t="s">
        <v>191</v>
      </c>
      <c r="C15" s="67" t="s">
        <v>192</v>
      </c>
      <c r="D15" s="68" t="s">
        <v>211</v>
      </c>
    </row>
    <row r="16" spans="1:4" ht="57.6" x14ac:dyDescent="0.3">
      <c r="A16" s="69">
        <v>10</v>
      </c>
      <c r="B16" s="70" t="s">
        <v>193</v>
      </c>
      <c r="C16" s="71" t="s">
        <v>194</v>
      </c>
      <c r="D16" s="72" t="s">
        <v>195</v>
      </c>
    </row>
    <row r="17" spans="1:4" ht="28.8" x14ac:dyDescent="0.3">
      <c r="A17" s="73">
        <v>11</v>
      </c>
      <c r="B17" s="74" t="s">
        <v>196</v>
      </c>
      <c r="C17" s="75" t="s">
        <v>197</v>
      </c>
      <c r="D17" s="76" t="s">
        <v>201</v>
      </c>
    </row>
    <row r="19" spans="1:4" ht="15.6" x14ac:dyDescent="0.3">
      <c r="A19" s="95" t="s">
        <v>198</v>
      </c>
      <c r="B19" s="95"/>
      <c r="C19" s="95"/>
      <c r="D19" s="95"/>
    </row>
    <row r="20" spans="1:4" x14ac:dyDescent="0.3">
      <c r="A20" s="92" t="s">
        <v>199</v>
      </c>
      <c r="B20" s="92"/>
      <c r="C20" s="92"/>
      <c r="D20" s="92"/>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A27" sqref="A27"/>
    </sheetView>
  </sheetViews>
  <sheetFormatPr defaultColWidth="8.77734375" defaultRowHeight="14.4" x14ac:dyDescent="0.3"/>
  <cols>
    <col min="1" max="1" width="28.77734375" customWidth="1"/>
    <col min="2" max="2" width="15.77734375" bestFit="1" customWidth="1"/>
    <col min="3" max="3" width="6.44140625" bestFit="1" customWidth="1"/>
    <col min="4" max="4" width="33.109375" bestFit="1" customWidth="1"/>
    <col min="5" max="5" width="25.109375" bestFit="1" customWidth="1"/>
  </cols>
  <sheetData>
    <row r="1" spans="1:5" ht="21" x14ac:dyDescent="0.4">
      <c r="B1" s="42" t="s">
        <v>335</v>
      </c>
    </row>
    <row r="2" spans="1:5" x14ac:dyDescent="0.3">
      <c r="A2" s="97" t="s">
        <v>0</v>
      </c>
      <c r="B2" s="98"/>
      <c r="C2" s="99"/>
      <c r="D2" s="100" t="s">
        <v>1</v>
      </c>
      <c r="E2" s="101"/>
    </row>
    <row r="3" spans="1:5" x14ac:dyDescent="0.3">
      <c r="A3" t="s">
        <v>2</v>
      </c>
      <c r="B3" t="s">
        <v>350</v>
      </c>
      <c r="D3" t="s">
        <v>3</v>
      </c>
      <c r="E3" s="1">
        <v>42835</v>
      </c>
    </row>
    <row r="4" spans="1:5" x14ac:dyDescent="0.3">
      <c r="B4" t="s">
        <v>351</v>
      </c>
      <c r="D4" t="s">
        <v>4</v>
      </c>
      <c r="E4" t="s">
        <v>352</v>
      </c>
    </row>
    <row r="5" spans="1:5" x14ac:dyDescent="0.3">
      <c r="B5" t="s">
        <v>5</v>
      </c>
    </row>
    <row r="6" spans="1:5" x14ac:dyDescent="0.3">
      <c r="D6" s="100" t="s">
        <v>6</v>
      </c>
      <c r="E6" s="101"/>
    </row>
    <row r="7" spans="1:5" x14ac:dyDescent="0.3">
      <c r="D7" t="s">
        <v>7</v>
      </c>
      <c r="E7" t="s">
        <v>353</v>
      </c>
    </row>
    <row r="8" spans="1:5" x14ac:dyDescent="0.3">
      <c r="A8" t="s">
        <v>8</v>
      </c>
      <c r="B8" t="s">
        <v>354</v>
      </c>
      <c r="D8" t="s">
        <v>9</v>
      </c>
      <c r="E8" s="56" t="s">
        <v>355</v>
      </c>
    </row>
    <row r="9" spans="1:5" x14ac:dyDescent="0.3">
      <c r="A9" t="s">
        <v>10</v>
      </c>
      <c r="B9" s="60">
        <v>32338</v>
      </c>
    </row>
    <row r="10" spans="1:5" x14ac:dyDescent="0.3">
      <c r="A10" t="s">
        <v>11</v>
      </c>
      <c r="B10" t="s">
        <v>356</v>
      </c>
    </row>
    <row r="11" spans="1:5" x14ac:dyDescent="0.3">
      <c r="A11" t="s">
        <v>12</v>
      </c>
      <c r="B11" t="s">
        <v>357</v>
      </c>
    </row>
    <row r="16" spans="1:5" x14ac:dyDescent="0.3">
      <c r="A16" s="43" t="s">
        <v>13</v>
      </c>
      <c r="B16" s="44" t="s">
        <v>14</v>
      </c>
      <c r="C16" s="44" t="s">
        <v>15</v>
      </c>
      <c r="D16" s="44" t="s">
        <v>16</v>
      </c>
      <c r="E16" s="45" t="s">
        <v>17</v>
      </c>
    </row>
    <row r="17" spans="1:5" x14ac:dyDescent="0.3">
      <c r="A17" s="40">
        <v>8135550142001</v>
      </c>
      <c r="B17" t="s">
        <v>18</v>
      </c>
      <c r="C17" t="s">
        <v>19</v>
      </c>
      <c r="D17" s="1">
        <v>42835</v>
      </c>
    </row>
    <row r="18" spans="1:5" x14ac:dyDescent="0.3">
      <c r="A18" s="40">
        <v>8135550142002</v>
      </c>
      <c r="B18" t="s">
        <v>20</v>
      </c>
      <c r="C18" t="s">
        <v>19</v>
      </c>
      <c r="D18" s="1">
        <v>42835</v>
      </c>
    </row>
    <row r="20" spans="1:5" x14ac:dyDescent="0.3">
      <c r="A20" s="97" t="s">
        <v>21</v>
      </c>
      <c r="B20" s="98"/>
      <c r="C20" s="98"/>
      <c r="D20" s="98"/>
      <c r="E20" s="101"/>
    </row>
    <row r="21" spans="1:5" x14ac:dyDescent="0.3">
      <c r="A21" t="s">
        <v>22</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defaultColWidth="8.77734375" defaultRowHeight="14.4" x14ac:dyDescent="0.3"/>
  <cols>
    <col min="1" max="1" width="8.109375" bestFit="1" customWidth="1"/>
    <col min="2" max="2" width="12.77734375" bestFit="1" customWidth="1"/>
    <col min="3" max="3" width="16.77734375" bestFit="1" customWidth="1"/>
    <col min="4" max="4" width="15.77734375" bestFit="1" customWidth="1"/>
    <col min="5" max="5" width="26.44140625" bestFit="1" customWidth="1"/>
    <col min="6" max="6" width="6.44140625" bestFit="1" customWidth="1"/>
    <col min="7" max="7" width="10.44140625" bestFit="1" customWidth="1"/>
    <col min="8" max="8" width="11.44140625" bestFit="1" customWidth="1"/>
  </cols>
  <sheetData>
    <row r="1" spans="1:8" ht="21.6" thickBot="1" x14ac:dyDescent="0.45">
      <c r="C1" s="42" t="s">
        <v>335</v>
      </c>
    </row>
    <row r="2" spans="1:8" x14ac:dyDescent="0.3">
      <c r="A2" s="46" t="s">
        <v>23</v>
      </c>
      <c r="B2" s="47" t="s">
        <v>24</v>
      </c>
      <c r="C2" s="48" t="s">
        <v>25</v>
      </c>
      <c r="D2" s="46" t="s">
        <v>26</v>
      </c>
      <c r="E2" s="46" t="s">
        <v>27</v>
      </c>
      <c r="F2" s="46" t="s">
        <v>15</v>
      </c>
      <c r="G2" s="49" t="s">
        <v>16</v>
      </c>
      <c r="H2" s="49" t="s">
        <v>28</v>
      </c>
    </row>
    <row r="3" spans="1:8" x14ac:dyDescent="0.3">
      <c r="A3" t="s">
        <v>18</v>
      </c>
      <c r="B3" t="s">
        <v>29</v>
      </c>
      <c r="C3" s="40">
        <v>8135550142001</v>
      </c>
      <c r="D3" t="s">
        <v>335</v>
      </c>
      <c r="E3">
        <v>6</v>
      </c>
      <c r="F3" t="s">
        <v>19</v>
      </c>
      <c r="G3" s="1">
        <v>42835</v>
      </c>
    </row>
    <row r="4" spans="1:8" x14ac:dyDescent="0.3">
      <c r="A4" t="s">
        <v>20</v>
      </c>
      <c r="B4" t="s">
        <v>29</v>
      </c>
      <c r="C4" s="40">
        <v>8135550142002</v>
      </c>
      <c r="D4" t="s">
        <v>335</v>
      </c>
      <c r="E4">
        <v>0</v>
      </c>
      <c r="F4" t="s">
        <v>19</v>
      </c>
      <c r="G4" s="1">
        <v>42835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1"/>
  <sheetViews>
    <sheetView showGridLines="0" workbookViewId="0">
      <selection activeCell="C16" sqref="C16"/>
    </sheetView>
  </sheetViews>
  <sheetFormatPr defaultColWidth="8.77734375" defaultRowHeight="14.4" x14ac:dyDescent="0.3"/>
  <cols>
    <col min="1" max="1" width="15.109375" bestFit="1" customWidth="1"/>
    <col min="2" max="2" width="11.109375" bestFit="1" customWidth="1"/>
    <col min="3" max="3" width="16.77734375" style="40" bestFit="1" customWidth="1"/>
    <col min="4" max="4" width="17.44140625" style="41" customWidth="1"/>
    <col min="5" max="5" width="14.109375" customWidth="1"/>
    <col min="6" max="6" width="23" customWidth="1"/>
  </cols>
  <sheetData>
    <row r="1" spans="1:6" x14ac:dyDescent="0.3">
      <c r="A1" s="50" t="s">
        <v>30</v>
      </c>
      <c r="B1" s="1">
        <v>46266</v>
      </c>
      <c r="C1" s="1"/>
    </row>
    <row r="3" spans="1:6" x14ac:dyDescent="0.3">
      <c r="A3" s="51" t="s">
        <v>31</v>
      </c>
      <c r="B3" s="52" t="s">
        <v>32</v>
      </c>
      <c r="C3" s="53" t="s">
        <v>23</v>
      </c>
      <c r="D3" s="54" t="s">
        <v>33</v>
      </c>
      <c r="E3" s="55"/>
      <c r="F3" s="55" t="s">
        <v>14</v>
      </c>
    </row>
    <row r="4" spans="1:6" x14ac:dyDescent="0.3">
      <c r="A4" t="s">
        <v>358</v>
      </c>
      <c r="B4" s="1">
        <v>46100</v>
      </c>
      <c r="C4" s="40">
        <v>8135550142001</v>
      </c>
      <c r="D4" s="41">
        <v>12400</v>
      </c>
      <c r="E4" t="s">
        <v>64</v>
      </c>
      <c r="F4" t="s">
        <v>36</v>
      </c>
    </row>
    <row r="5" spans="1:6" x14ac:dyDescent="0.3">
      <c r="A5" t="s">
        <v>34</v>
      </c>
      <c r="B5" s="1">
        <v>46105</v>
      </c>
      <c r="C5" s="40">
        <v>8135550142001</v>
      </c>
      <c r="D5" s="41">
        <v>-12250</v>
      </c>
      <c r="E5" t="s">
        <v>35</v>
      </c>
      <c r="F5" t="s">
        <v>36</v>
      </c>
    </row>
    <row r="6" spans="1:6" x14ac:dyDescent="0.3">
      <c r="A6" t="s">
        <v>358</v>
      </c>
      <c r="B6" s="1">
        <v>46156</v>
      </c>
      <c r="C6" s="40">
        <v>8135550142001</v>
      </c>
      <c r="D6" s="41">
        <v>11800</v>
      </c>
      <c r="E6" t="s">
        <v>64</v>
      </c>
      <c r="F6" t="s">
        <v>36</v>
      </c>
    </row>
    <row r="7" spans="1:6" x14ac:dyDescent="0.3">
      <c r="A7" t="s">
        <v>34</v>
      </c>
      <c r="B7" s="1">
        <v>46161</v>
      </c>
      <c r="C7" s="40">
        <v>8135550142001</v>
      </c>
      <c r="D7" s="41">
        <v>-11650</v>
      </c>
      <c r="E7" t="s">
        <v>35</v>
      </c>
      <c r="F7" t="s">
        <v>36</v>
      </c>
    </row>
    <row r="8" spans="1:6" x14ac:dyDescent="0.3">
      <c r="A8" t="s">
        <v>358</v>
      </c>
      <c r="B8" s="1">
        <v>46224</v>
      </c>
      <c r="C8" s="40">
        <v>8135550142001</v>
      </c>
      <c r="D8" s="41">
        <v>12950</v>
      </c>
      <c r="E8" t="s">
        <v>64</v>
      </c>
      <c r="F8" t="s">
        <v>36</v>
      </c>
    </row>
    <row r="9" spans="1:6" x14ac:dyDescent="0.3">
      <c r="A9" t="s">
        <v>34</v>
      </c>
      <c r="B9" s="1">
        <v>46227</v>
      </c>
      <c r="C9" s="40">
        <v>8135550142001</v>
      </c>
      <c r="D9" s="41">
        <v>-12800</v>
      </c>
      <c r="E9" t="s">
        <v>35</v>
      </c>
      <c r="F9" t="s">
        <v>36</v>
      </c>
    </row>
    <row r="11" spans="1:6" x14ac:dyDescent="0.3">
      <c r="D11" s="41">
        <f>SUM(D4:D9)</f>
        <v>450</v>
      </c>
      <c r="E11">
        <f>SUM(E4:E9)</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49"/>
  <sheetViews>
    <sheetView workbookViewId="0">
      <pane ySplit="1" topLeftCell="A2" activePane="bottomLeft" state="frozen"/>
      <selection pane="bottomLeft" activeCell="H39" sqref="H39"/>
    </sheetView>
  </sheetViews>
  <sheetFormatPr defaultColWidth="8.77734375" defaultRowHeight="14.4" x14ac:dyDescent="0.3"/>
  <cols>
    <col min="1" max="1" width="15.77734375" bestFit="1" customWidth="1"/>
    <col min="2" max="2" width="16.77734375" style="40" bestFit="1" customWidth="1"/>
    <col min="3" max="3" width="6.44140625" bestFit="1" customWidth="1"/>
    <col min="4" max="4" width="15" style="41" bestFit="1" customWidth="1"/>
    <col min="5" max="5" width="10.77734375" bestFit="1" customWidth="1"/>
    <col min="6" max="7" width="10.44140625" style="41" bestFit="1" customWidth="1"/>
    <col min="8" max="8" width="20.44140625" bestFit="1" customWidth="1"/>
    <col min="9" max="9" width="6.44140625" bestFit="1" customWidth="1"/>
    <col min="10" max="10" width="9.44140625" bestFit="1" customWidth="1"/>
    <col min="11" max="11" width="29.109375" bestFit="1" customWidth="1"/>
    <col min="12" max="12" width="22" customWidth="1"/>
    <col min="13" max="13" width="11.4414062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44140625" bestFit="1" customWidth="1"/>
    <col min="21" max="21" width="11.77734375" bestFit="1" customWidth="1"/>
    <col min="22" max="22" width="18.44140625" bestFit="1" customWidth="1"/>
    <col min="23" max="23" width="15.44140625" bestFit="1" customWidth="1"/>
    <col min="24" max="24" width="25.109375" bestFit="1" customWidth="1"/>
    <col min="25" max="25" width="17.44140625" bestFit="1" customWidth="1"/>
    <col min="26" max="26" width="17.109375" bestFit="1" customWidth="1"/>
    <col min="27" max="27" width="20.109375" bestFit="1" customWidth="1"/>
    <col min="28" max="28" width="18.44140625" bestFit="1" customWidth="1"/>
  </cols>
  <sheetData>
    <row r="1" spans="1:28" x14ac:dyDescent="0.3">
      <c r="A1" t="s">
        <v>37</v>
      </c>
      <c r="B1" s="40" t="s">
        <v>23</v>
      </c>
      <c r="C1" t="s">
        <v>38</v>
      </c>
      <c r="D1" s="41" t="s">
        <v>39</v>
      </c>
      <c r="E1" t="s">
        <v>32</v>
      </c>
      <c r="F1" s="41" t="s">
        <v>40</v>
      </c>
      <c r="G1" s="41" t="s">
        <v>41</v>
      </c>
      <c r="H1" t="s">
        <v>14</v>
      </c>
      <c r="I1" t="s">
        <v>42</v>
      </c>
      <c r="J1" t="s">
        <v>43</v>
      </c>
      <c r="K1" t="s">
        <v>44</v>
      </c>
      <c r="L1" t="s">
        <v>45</v>
      </c>
      <c r="M1" t="s">
        <v>46</v>
      </c>
      <c r="N1" t="s">
        <v>47</v>
      </c>
      <c r="O1" t="s">
        <v>48</v>
      </c>
      <c r="P1" t="s">
        <v>49</v>
      </c>
      <c r="Q1" t="s">
        <v>50</v>
      </c>
      <c r="R1" t="s">
        <v>51</v>
      </c>
      <c r="S1" t="s">
        <v>52</v>
      </c>
      <c r="T1" t="s">
        <v>53</v>
      </c>
      <c r="U1" t="s">
        <v>54</v>
      </c>
      <c r="V1" t="s">
        <v>55</v>
      </c>
      <c r="W1" t="s">
        <v>56</v>
      </c>
      <c r="X1" t="s">
        <v>57</v>
      </c>
      <c r="Y1" t="s">
        <v>58</v>
      </c>
      <c r="Z1" t="s">
        <v>59</v>
      </c>
      <c r="AA1" t="s">
        <v>60</v>
      </c>
      <c r="AB1" t="s">
        <v>61</v>
      </c>
    </row>
    <row r="2" spans="1:28" x14ac:dyDescent="0.3">
      <c r="A2" t="s">
        <v>335</v>
      </c>
      <c r="B2" s="40">
        <v>8135550142001</v>
      </c>
      <c r="C2" t="s">
        <v>166</v>
      </c>
      <c r="D2" s="61">
        <v>7462.4</v>
      </c>
      <c r="E2" s="1">
        <v>46083</v>
      </c>
      <c r="F2" s="41">
        <v>4612.3999999999996</v>
      </c>
      <c r="G2" s="59">
        <v>0</v>
      </c>
      <c r="H2" t="s">
        <v>337</v>
      </c>
      <c r="I2" t="s">
        <v>64</v>
      </c>
      <c r="J2" t="s">
        <v>63</v>
      </c>
      <c r="K2" t="s">
        <v>359</v>
      </c>
      <c r="U2" s="1">
        <v>46083</v>
      </c>
      <c r="V2" t="s">
        <v>357</v>
      </c>
      <c r="W2" t="s">
        <v>360</v>
      </c>
      <c r="AB2" t="s">
        <v>361</v>
      </c>
    </row>
    <row r="3" spans="1:28" x14ac:dyDescent="0.3">
      <c r="A3" t="s">
        <v>335</v>
      </c>
      <c r="B3" s="40">
        <v>8135550142001</v>
      </c>
      <c r="C3" t="s">
        <v>166</v>
      </c>
      <c r="D3" s="61">
        <f t="shared" ref="D3:D49" si="0">D2+F3-G3</f>
        <v>5512.4</v>
      </c>
      <c r="E3" s="1">
        <v>46084</v>
      </c>
      <c r="F3" s="41">
        <v>0</v>
      </c>
      <c r="G3" s="59">
        <v>1950</v>
      </c>
      <c r="H3" t="s">
        <v>337</v>
      </c>
      <c r="I3" t="s">
        <v>35</v>
      </c>
      <c r="J3" t="s">
        <v>63</v>
      </c>
      <c r="K3" t="s">
        <v>362</v>
      </c>
      <c r="U3" s="1">
        <v>46084</v>
      </c>
      <c r="V3" t="s">
        <v>335</v>
      </c>
      <c r="W3" t="s">
        <v>66</v>
      </c>
      <c r="X3">
        <v>8135550142001</v>
      </c>
      <c r="Y3" t="s">
        <v>363</v>
      </c>
      <c r="Z3" t="s">
        <v>360</v>
      </c>
      <c r="AB3" t="s">
        <v>364</v>
      </c>
    </row>
    <row r="4" spans="1:28" x14ac:dyDescent="0.3">
      <c r="A4" t="s">
        <v>335</v>
      </c>
      <c r="B4" s="40">
        <v>8135550142001</v>
      </c>
      <c r="C4" t="s">
        <v>166</v>
      </c>
      <c r="D4" s="61">
        <f t="shared" si="0"/>
        <v>5025.2</v>
      </c>
      <c r="E4" s="1">
        <v>46090</v>
      </c>
      <c r="F4" s="41">
        <v>0</v>
      </c>
      <c r="G4" s="59">
        <v>487.2</v>
      </c>
      <c r="H4" t="s">
        <v>337</v>
      </c>
      <c r="I4" t="s">
        <v>35</v>
      </c>
      <c r="J4" t="s">
        <v>63</v>
      </c>
      <c r="K4" t="s">
        <v>365</v>
      </c>
      <c r="U4" s="1">
        <v>46090</v>
      </c>
      <c r="V4" t="s">
        <v>335</v>
      </c>
      <c r="W4" t="s">
        <v>66</v>
      </c>
      <c r="X4">
        <v>8135550142001</v>
      </c>
      <c r="Y4" t="s">
        <v>366</v>
      </c>
      <c r="Z4" t="s">
        <v>366</v>
      </c>
      <c r="AB4" t="s">
        <v>367</v>
      </c>
    </row>
    <row r="5" spans="1:28" x14ac:dyDescent="0.3">
      <c r="A5" t="s">
        <v>335</v>
      </c>
      <c r="B5" s="40">
        <v>8135550142001</v>
      </c>
      <c r="C5" t="s">
        <v>166</v>
      </c>
      <c r="D5" s="61">
        <f t="shared" si="0"/>
        <v>4810.3499999999995</v>
      </c>
      <c r="E5" s="1">
        <v>46093</v>
      </c>
      <c r="F5" s="41">
        <v>0</v>
      </c>
      <c r="G5" s="59">
        <v>214.85</v>
      </c>
      <c r="H5" t="s">
        <v>337</v>
      </c>
      <c r="I5" t="s">
        <v>35</v>
      </c>
      <c r="J5" t="s">
        <v>63</v>
      </c>
      <c r="K5" t="s">
        <v>368</v>
      </c>
      <c r="U5" s="1">
        <v>46093</v>
      </c>
      <c r="V5" t="s">
        <v>335</v>
      </c>
      <c r="W5" t="s">
        <v>66</v>
      </c>
      <c r="X5">
        <v>8135550142001</v>
      </c>
      <c r="Y5" t="s">
        <v>369</v>
      </c>
      <c r="Z5" t="s">
        <v>339</v>
      </c>
      <c r="AB5" t="s">
        <v>370</v>
      </c>
    </row>
    <row r="6" spans="1:28" x14ac:dyDescent="0.3">
      <c r="A6" t="s">
        <v>335</v>
      </c>
      <c r="B6" s="40">
        <v>8135550142001</v>
      </c>
      <c r="C6" t="s">
        <v>166</v>
      </c>
      <c r="D6" s="61">
        <f t="shared" si="0"/>
        <v>4408.1799999999994</v>
      </c>
      <c r="E6" s="1">
        <v>46097</v>
      </c>
      <c r="F6" s="41">
        <v>0</v>
      </c>
      <c r="G6" s="59">
        <v>402.17</v>
      </c>
      <c r="H6" t="s">
        <v>62</v>
      </c>
      <c r="I6" t="s">
        <v>35</v>
      </c>
      <c r="J6" t="s">
        <v>63</v>
      </c>
      <c r="K6" t="s">
        <v>371</v>
      </c>
      <c r="L6" t="s">
        <v>372</v>
      </c>
      <c r="U6" s="1">
        <v>46097</v>
      </c>
    </row>
    <row r="7" spans="1:28" x14ac:dyDescent="0.3">
      <c r="A7" t="s">
        <v>335</v>
      </c>
      <c r="B7" s="40">
        <v>8135550142001</v>
      </c>
      <c r="C7" t="s">
        <v>166</v>
      </c>
      <c r="D7" s="61">
        <f t="shared" si="0"/>
        <v>4239.7299999999996</v>
      </c>
      <c r="E7" s="1">
        <v>46099</v>
      </c>
      <c r="F7" s="41">
        <v>0</v>
      </c>
      <c r="G7" s="59">
        <v>168.45</v>
      </c>
      <c r="H7" t="s">
        <v>337</v>
      </c>
      <c r="I7" t="s">
        <v>35</v>
      </c>
      <c r="J7" t="s">
        <v>63</v>
      </c>
      <c r="K7" t="s">
        <v>373</v>
      </c>
      <c r="U7" s="1">
        <v>46099</v>
      </c>
      <c r="V7" t="s">
        <v>335</v>
      </c>
      <c r="W7" t="s">
        <v>66</v>
      </c>
      <c r="X7">
        <v>8135550142001</v>
      </c>
      <c r="Y7" t="s">
        <v>374</v>
      </c>
      <c r="Z7" t="s">
        <v>65</v>
      </c>
      <c r="AB7" t="s">
        <v>375</v>
      </c>
    </row>
    <row r="8" spans="1:28" x14ac:dyDescent="0.3">
      <c r="A8" t="s">
        <v>335</v>
      </c>
      <c r="B8" s="40">
        <v>8135550142001</v>
      </c>
      <c r="C8" t="s">
        <v>166</v>
      </c>
      <c r="D8" s="61">
        <f t="shared" si="0"/>
        <v>16639.73</v>
      </c>
      <c r="E8" s="1">
        <v>46100</v>
      </c>
      <c r="F8" s="41">
        <v>12400</v>
      </c>
      <c r="G8" s="59">
        <v>0</v>
      </c>
      <c r="H8" t="s">
        <v>36</v>
      </c>
      <c r="I8" t="s">
        <v>64</v>
      </c>
      <c r="J8" t="s">
        <v>336</v>
      </c>
      <c r="K8" t="s">
        <v>376</v>
      </c>
      <c r="U8" s="1">
        <v>46100</v>
      </c>
      <c r="V8" t="s">
        <v>377</v>
      </c>
      <c r="W8" t="s">
        <v>378</v>
      </c>
      <c r="X8" t="s">
        <v>379</v>
      </c>
      <c r="Y8" t="s">
        <v>335</v>
      </c>
      <c r="Z8" t="s">
        <v>66</v>
      </c>
      <c r="AA8">
        <v>8135550142001</v>
      </c>
      <c r="AB8" t="s">
        <v>342</v>
      </c>
    </row>
    <row r="9" spans="1:28" x14ac:dyDescent="0.3">
      <c r="A9" t="s">
        <v>335</v>
      </c>
      <c r="B9" s="40">
        <v>8135550142001</v>
      </c>
      <c r="C9" t="s">
        <v>166</v>
      </c>
      <c r="D9" s="61">
        <f t="shared" si="0"/>
        <v>4389.7299999999996</v>
      </c>
      <c r="E9" s="1">
        <v>46105</v>
      </c>
      <c r="F9" s="41">
        <v>0</v>
      </c>
      <c r="G9" s="59">
        <v>12250</v>
      </c>
      <c r="H9" t="s">
        <v>36</v>
      </c>
      <c r="I9" t="s">
        <v>35</v>
      </c>
      <c r="J9" t="s">
        <v>338</v>
      </c>
      <c r="K9" t="s">
        <v>380</v>
      </c>
      <c r="U9" s="1">
        <v>46105</v>
      </c>
      <c r="V9" t="s">
        <v>335</v>
      </c>
      <c r="W9" t="s">
        <v>66</v>
      </c>
      <c r="X9">
        <v>8135550142001</v>
      </c>
      <c r="Y9" t="s">
        <v>381</v>
      </c>
      <c r="Z9" t="s">
        <v>382</v>
      </c>
      <c r="AA9" t="s">
        <v>383</v>
      </c>
      <c r="AB9" t="s">
        <v>384</v>
      </c>
    </row>
    <row r="10" spans="1:28" x14ac:dyDescent="0.3">
      <c r="A10" t="s">
        <v>335</v>
      </c>
      <c r="B10" s="40">
        <v>8135550142001</v>
      </c>
      <c r="C10" t="s">
        <v>166</v>
      </c>
      <c r="D10" s="61">
        <f t="shared" si="0"/>
        <v>3647.1299999999997</v>
      </c>
      <c r="E10" s="1">
        <v>46106</v>
      </c>
      <c r="F10" s="41">
        <v>0</v>
      </c>
      <c r="G10" s="59">
        <v>742.6</v>
      </c>
      <c r="H10" t="s">
        <v>337</v>
      </c>
      <c r="I10" t="s">
        <v>35</v>
      </c>
      <c r="J10" t="s">
        <v>63</v>
      </c>
      <c r="K10" t="s">
        <v>385</v>
      </c>
      <c r="U10" s="1">
        <v>46106</v>
      </c>
      <c r="V10" t="s">
        <v>335</v>
      </c>
      <c r="W10" t="s">
        <v>66</v>
      </c>
      <c r="X10">
        <v>8135550142001</v>
      </c>
      <c r="Y10" t="s">
        <v>386</v>
      </c>
      <c r="Z10" t="s">
        <v>387</v>
      </c>
      <c r="AB10" t="s">
        <v>388</v>
      </c>
    </row>
    <row r="11" spans="1:28" x14ac:dyDescent="0.3">
      <c r="A11" t="s">
        <v>335</v>
      </c>
      <c r="B11" s="40">
        <v>8135550142001</v>
      </c>
      <c r="C11" t="s">
        <v>166</v>
      </c>
      <c r="D11" s="61">
        <f t="shared" si="0"/>
        <v>8259.5299999999988</v>
      </c>
      <c r="E11" s="1">
        <v>46113</v>
      </c>
      <c r="F11" s="41">
        <v>4612.3999999999996</v>
      </c>
      <c r="G11" s="59">
        <v>0</v>
      </c>
      <c r="H11" t="s">
        <v>337</v>
      </c>
      <c r="I11" t="s">
        <v>64</v>
      </c>
      <c r="J11" t="s">
        <v>63</v>
      </c>
      <c r="K11" t="s">
        <v>359</v>
      </c>
      <c r="U11" s="1">
        <v>46113</v>
      </c>
      <c r="V11" t="s">
        <v>357</v>
      </c>
      <c r="W11" t="s">
        <v>360</v>
      </c>
      <c r="AB11" t="s">
        <v>361</v>
      </c>
    </row>
    <row r="12" spans="1:28" x14ac:dyDescent="0.3">
      <c r="A12" t="s">
        <v>335</v>
      </c>
      <c r="B12" s="40">
        <v>8135550142001</v>
      </c>
      <c r="C12" t="s">
        <v>166</v>
      </c>
      <c r="D12" s="61">
        <f t="shared" si="0"/>
        <v>6309.5299999999988</v>
      </c>
      <c r="E12" s="1">
        <v>46115</v>
      </c>
      <c r="F12" s="41">
        <v>0</v>
      </c>
      <c r="G12" s="59">
        <v>1950</v>
      </c>
      <c r="H12" t="s">
        <v>337</v>
      </c>
      <c r="I12" t="s">
        <v>35</v>
      </c>
      <c r="J12" t="s">
        <v>63</v>
      </c>
      <c r="K12" t="s">
        <v>362</v>
      </c>
      <c r="U12" s="1">
        <v>46115</v>
      </c>
      <c r="V12" t="s">
        <v>335</v>
      </c>
      <c r="W12" t="s">
        <v>66</v>
      </c>
      <c r="X12">
        <v>8135550142001</v>
      </c>
      <c r="Y12" t="s">
        <v>363</v>
      </c>
      <c r="Z12" t="s">
        <v>360</v>
      </c>
      <c r="AB12" t="s">
        <v>364</v>
      </c>
    </row>
    <row r="13" spans="1:28" x14ac:dyDescent="0.3">
      <c r="A13" t="s">
        <v>335</v>
      </c>
      <c r="B13" s="40">
        <v>8135550142001</v>
      </c>
      <c r="C13" t="s">
        <v>166</v>
      </c>
      <c r="D13" s="61">
        <f t="shared" si="0"/>
        <v>5822.329999999999</v>
      </c>
      <c r="E13" s="1">
        <v>46120</v>
      </c>
      <c r="F13" s="41">
        <v>0</v>
      </c>
      <c r="G13" s="59">
        <v>487.2</v>
      </c>
      <c r="H13" t="s">
        <v>337</v>
      </c>
      <c r="I13" t="s">
        <v>35</v>
      </c>
      <c r="J13" t="s">
        <v>63</v>
      </c>
      <c r="K13" t="s">
        <v>365</v>
      </c>
      <c r="U13" s="1">
        <v>46120</v>
      </c>
      <c r="V13" t="s">
        <v>335</v>
      </c>
      <c r="W13" t="s">
        <v>66</v>
      </c>
      <c r="X13">
        <v>8135550142001</v>
      </c>
      <c r="Y13" t="s">
        <v>366</v>
      </c>
      <c r="Z13" t="s">
        <v>366</v>
      </c>
      <c r="AB13" t="s">
        <v>367</v>
      </c>
    </row>
    <row r="14" spans="1:28" x14ac:dyDescent="0.3">
      <c r="A14" t="s">
        <v>335</v>
      </c>
      <c r="B14" s="40">
        <v>8135550142001</v>
      </c>
      <c r="C14" t="s">
        <v>166</v>
      </c>
      <c r="D14" s="61">
        <f t="shared" si="0"/>
        <v>5623.9299999999994</v>
      </c>
      <c r="E14" s="1">
        <v>46125</v>
      </c>
      <c r="F14" s="41">
        <v>0</v>
      </c>
      <c r="G14" s="59">
        <v>198.4</v>
      </c>
      <c r="H14" t="s">
        <v>337</v>
      </c>
      <c r="I14" t="s">
        <v>35</v>
      </c>
      <c r="J14" t="s">
        <v>63</v>
      </c>
      <c r="K14" t="s">
        <v>368</v>
      </c>
      <c r="U14" s="1">
        <v>46125</v>
      </c>
      <c r="V14" t="s">
        <v>335</v>
      </c>
      <c r="W14" t="s">
        <v>66</v>
      </c>
      <c r="X14">
        <v>8135550142001</v>
      </c>
      <c r="Y14" t="s">
        <v>369</v>
      </c>
      <c r="Z14" t="s">
        <v>339</v>
      </c>
      <c r="AB14" t="s">
        <v>370</v>
      </c>
    </row>
    <row r="15" spans="1:28" x14ac:dyDescent="0.3">
      <c r="A15" t="s">
        <v>335</v>
      </c>
      <c r="B15" s="40">
        <v>8135550142001</v>
      </c>
      <c r="C15" t="s">
        <v>166</v>
      </c>
      <c r="D15" s="61">
        <f t="shared" si="0"/>
        <v>5187.0099999999993</v>
      </c>
      <c r="E15" s="1">
        <v>46127</v>
      </c>
      <c r="F15" s="41">
        <v>0</v>
      </c>
      <c r="G15" s="59">
        <v>436.92</v>
      </c>
      <c r="H15" t="s">
        <v>62</v>
      </c>
      <c r="I15" t="s">
        <v>35</v>
      </c>
      <c r="J15" t="s">
        <v>63</v>
      </c>
      <c r="K15" t="s">
        <v>371</v>
      </c>
      <c r="L15" t="s">
        <v>372</v>
      </c>
      <c r="U15" s="1">
        <v>46127</v>
      </c>
    </row>
    <row r="16" spans="1:28" x14ac:dyDescent="0.3">
      <c r="A16" t="s">
        <v>335</v>
      </c>
      <c r="B16" s="40">
        <v>8135550142001</v>
      </c>
      <c r="C16" t="s">
        <v>166</v>
      </c>
      <c r="D16" s="61">
        <f t="shared" si="0"/>
        <v>5018.5599999999995</v>
      </c>
      <c r="E16" s="1">
        <v>46132</v>
      </c>
      <c r="F16" s="41">
        <v>0</v>
      </c>
      <c r="G16" s="59">
        <v>168.45</v>
      </c>
      <c r="H16" t="s">
        <v>337</v>
      </c>
      <c r="I16" t="s">
        <v>35</v>
      </c>
      <c r="J16" t="s">
        <v>63</v>
      </c>
      <c r="K16" t="s">
        <v>373</v>
      </c>
      <c r="U16" s="1">
        <v>46132</v>
      </c>
      <c r="V16" t="s">
        <v>335</v>
      </c>
      <c r="W16" t="s">
        <v>66</v>
      </c>
      <c r="X16">
        <v>8135550142001</v>
      </c>
      <c r="Y16" t="s">
        <v>374</v>
      </c>
      <c r="Z16" t="s">
        <v>65</v>
      </c>
      <c r="AB16" t="s">
        <v>375</v>
      </c>
    </row>
    <row r="17" spans="1:28" x14ac:dyDescent="0.3">
      <c r="A17" t="s">
        <v>335</v>
      </c>
      <c r="B17" s="40">
        <v>8135550142001</v>
      </c>
      <c r="C17" t="s">
        <v>166</v>
      </c>
      <c r="D17" s="61">
        <f t="shared" si="0"/>
        <v>4330.2599999999993</v>
      </c>
      <c r="E17" s="1">
        <v>46136</v>
      </c>
      <c r="F17" s="41">
        <v>0</v>
      </c>
      <c r="G17" s="59">
        <v>688.3</v>
      </c>
      <c r="H17" t="s">
        <v>337</v>
      </c>
      <c r="I17" t="s">
        <v>35</v>
      </c>
      <c r="J17" t="s">
        <v>63</v>
      </c>
      <c r="K17" t="s">
        <v>385</v>
      </c>
      <c r="U17" s="1">
        <v>46136</v>
      </c>
      <c r="V17" t="s">
        <v>335</v>
      </c>
      <c r="W17" t="s">
        <v>66</v>
      </c>
      <c r="X17">
        <v>8135550142001</v>
      </c>
      <c r="Y17" t="s">
        <v>386</v>
      </c>
      <c r="Z17" t="s">
        <v>387</v>
      </c>
      <c r="AB17" t="s">
        <v>388</v>
      </c>
    </row>
    <row r="18" spans="1:28" x14ac:dyDescent="0.3">
      <c r="A18" t="s">
        <v>335</v>
      </c>
      <c r="B18" s="40">
        <v>8135550142001</v>
      </c>
      <c r="C18" t="s">
        <v>166</v>
      </c>
      <c r="D18" s="61">
        <f t="shared" si="0"/>
        <v>8929.0099999999984</v>
      </c>
      <c r="E18" s="1">
        <v>46143</v>
      </c>
      <c r="F18" s="41">
        <v>4598.75</v>
      </c>
      <c r="G18" s="59">
        <v>0</v>
      </c>
      <c r="H18" t="s">
        <v>337</v>
      </c>
      <c r="I18" t="s">
        <v>64</v>
      </c>
      <c r="J18" t="s">
        <v>63</v>
      </c>
      <c r="K18" t="s">
        <v>359</v>
      </c>
      <c r="U18" s="1">
        <v>46143</v>
      </c>
      <c r="V18" t="s">
        <v>357</v>
      </c>
      <c r="W18" t="s">
        <v>360</v>
      </c>
      <c r="AB18" t="s">
        <v>361</v>
      </c>
    </row>
    <row r="19" spans="1:28" x14ac:dyDescent="0.3">
      <c r="A19" t="s">
        <v>335</v>
      </c>
      <c r="B19" s="40">
        <v>8135550142001</v>
      </c>
      <c r="C19" t="s">
        <v>166</v>
      </c>
      <c r="D19" s="61">
        <f t="shared" si="0"/>
        <v>6979.0099999999984</v>
      </c>
      <c r="E19" s="1">
        <v>46146</v>
      </c>
      <c r="F19" s="41">
        <v>0</v>
      </c>
      <c r="G19" s="59">
        <v>1950</v>
      </c>
      <c r="H19" t="s">
        <v>337</v>
      </c>
      <c r="I19" t="s">
        <v>35</v>
      </c>
      <c r="J19" t="s">
        <v>63</v>
      </c>
      <c r="K19" t="s">
        <v>362</v>
      </c>
      <c r="U19" s="1">
        <v>46146</v>
      </c>
      <c r="V19" t="s">
        <v>335</v>
      </c>
      <c r="W19" t="s">
        <v>66</v>
      </c>
      <c r="X19">
        <v>8135550142001</v>
      </c>
      <c r="Y19" t="s">
        <v>363</v>
      </c>
      <c r="Z19" t="s">
        <v>360</v>
      </c>
      <c r="AB19" t="s">
        <v>364</v>
      </c>
    </row>
    <row r="20" spans="1:28" x14ac:dyDescent="0.3">
      <c r="A20" t="s">
        <v>335</v>
      </c>
      <c r="B20" s="40">
        <v>8135550142001</v>
      </c>
      <c r="C20" t="s">
        <v>166</v>
      </c>
      <c r="D20" s="61">
        <f t="shared" si="0"/>
        <v>6491.8099999999986</v>
      </c>
      <c r="E20" s="1">
        <v>46150</v>
      </c>
      <c r="F20" s="41">
        <v>0</v>
      </c>
      <c r="G20" s="59">
        <v>487.2</v>
      </c>
      <c r="H20" t="s">
        <v>337</v>
      </c>
      <c r="I20" t="s">
        <v>35</v>
      </c>
      <c r="J20" t="s">
        <v>63</v>
      </c>
      <c r="K20" t="s">
        <v>365</v>
      </c>
      <c r="U20" s="1">
        <v>46150</v>
      </c>
      <c r="V20" t="s">
        <v>335</v>
      </c>
      <c r="W20" t="s">
        <v>66</v>
      </c>
      <c r="X20">
        <v>8135550142001</v>
      </c>
      <c r="Y20" t="s">
        <v>366</v>
      </c>
      <c r="Z20" t="s">
        <v>366</v>
      </c>
      <c r="AB20" t="s">
        <v>367</v>
      </c>
    </row>
    <row r="21" spans="1:28" x14ac:dyDescent="0.3">
      <c r="A21" t="s">
        <v>335</v>
      </c>
      <c r="B21" s="40">
        <v>8135550142001</v>
      </c>
      <c r="C21" t="s">
        <v>166</v>
      </c>
      <c r="D21" s="61">
        <f t="shared" si="0"/>
        <v>6255.1099999999988</v>
      </c>
      <c r="E21" s="1">
        <v>46154</v>
      </c>
      <c r="F21" s="41">
        <v>0</v>
      </c>
      <c r="G21" s="59">
        <v>236.7</v>
      </c>
      <c r="H21" t="s">
        <v>337</v>
      </c>
      <c r="I21" t="s">
        <v>35</v>
      </c>
      <c r="J21" t="s">
        <v>63</v>
      </c>
      <c r="K21" t="s">
        <v>368</v>
      </c>
      <c r="U21" s="1">
        <v>46154</v>
      </c>
      <c r="V21" t="s">
        <v>335</v>
      </c>
      <c r="W21" t="s">
        <v>66</v>
      </c>
      <c r="X21">
        <v>8135550142001</v>
      </c>
      <c r="Y21" t="s">
        <v>369</v>
      </c>
      <c r="Z21" t="s">
        <v>339</v>
      </c>
      <c r="AB21" t="s">
        <v>370</v>
      </c>
    </row>
    <row r="22" spans="1:28" x14ac:dyDescent="0.3">
      <c r="A22" t="s">
        <v>335</v>
      </c>
      <c r="B22" s="40">
        <v>8135550142001</v>
      </c>
      <c r="C22" t="s">
        <v>166</v>
      </c>
      <c r="D22" s="61">
        <f t="shared" si="0"/>
        <v>18055.11</v>
      </c>
      <c r="E22" s="1">
        <v>46156</v>
      </c>
      <c r="F22" s="41">
        <v>11800</v>
      </c>
      <c r="G22" s="59">
        <v>0</v>
      </c>
      <c r="H22" t="s">
        <v>36</v>
      </c>
      <c r="I22" t="s">
        <v>64</v>
      </c>
      <c r="J22" t="s">
        <v>336</v>
      </c>
      <c r="K22" t="s">
        <v>389</v>
      </c>
      <c r="U22" s="1">
        <v>46156</v>
      </c>
      <c r="V22" t="s">
        <v>390</v>
      </c>
      <c r="W22" t="s">
        <v>391</v>
      </c>
      <c r="X22" t="s">
        <v>392</v>
      </c>
      <c r="Y22" t="s">
        <v>335</v>
      </c>
      <c r="Z22" t="s">
        <v>66</v>
      </c>
      <c r="AA22">
        <v>8135550142001</v>
      </c>
      <c r="AB22" t="s">
        <v>393</v>
      </c>
    </row>
    <row r="23" spans="1:28" x14ac:dyDescent="0.3">
      <c r="A23" t="s">
        <v>335</v>
      </c>
      <c r="B23" s="40">
        <v>8135550142001</v>
      </c>
      <c r="C23" t="s">
        <v>166</v>
      </c>
      <c r="D23" s="61">
        <f t="shared" si="0"/>
        <v>17663.47</v>
      </c>
      <c r="E23" s="1">
        <v>46157</v>
      </c>
      <c r="F23" s="41">
        <v>0</v>
      </c>
      <c r="G23" s="59">
        <v>391.64</v>
      </c>
      <c r="H23" t="s">
        <v>62</v>
      </c>
      <c r="I23" t="s">
        <v>35</v>
      </c>
      <c r="J23" t="s">
        <v>63</v>
      </c>
      <c r="K23" t="s">
        <v>371</v>
      </c>
      <c r="L23" t="s">
        <v>372</v>
      </c>
      <c r="U23" s="1">
        <v>46157</v>
      </c>
    </row>
    <row r="24" spans="1:28" x14ac:dyDescent="0.3">
      <c r="A24" t="s">
        <v>335</v>
      </c>
      <c r="B24" s="40">
        <v>8135550142001</v>
      </c>
      <c r="C24" t="s">
        <v>166</v>
      </c>
      <c r="D24" s="61">
        <f t="shared" si="0"/>
        <v>6013.4700000000012</v>
      </c>
      <c r="E24" s="1">
        <v>46161</v>
      </c>
      <c r="F24" s="41">
        <v>0</v>
      </c>
      <c r="G24" s="59">
        <v>11650</v>
      </c>
      <c r="H24" t="s">
        <v>36</v>
      </c>
      <c r="I24" t="s">
        <v>35</v>
      </c>
      <c r="J24" t="s">
        <v>338</v>
      </c>
      <c r="K24" t="s">
        <v>394</v>
      </c>
      <c r="U24" s="1">
        <v>46161</v>
      </c>
      <c r="V24" t="s">
        <v>335</v>
      </c>
      <c r="W24" t="s">
        <v>66</v>
      </c>
      <c r="X24">
        <v>8135550142001</v>
      </c>
      <c r="Y24" t="s">
        <v>395</v>
      </c>
      <c r="Z24" t="s">
        <v>396</v>
      </c>
      <c r="AA24" t="s">
        <v>397</v>
      </c>
      <c r="AB24" t="s">
        <v>398</v>
      </c>
    </row>
    <row r="25" spans="1:28" x14ac:dyDescent="0.3">
      <c r="A25" t="s">
        <v>335</v>
      </c>
      <c r="B25" s="40">
        <v>8135550142001</v>
      </c>
      <c r="C25" t="s">
        <v>166</v>
      </c>
      <c r="D25" s="61">
        <f t="shared" si="0"/>
        <v>5845.0200000000013</v>
      </c>
      <c r="E25" s="1">
        <v>46162</v>
      </c>
      <c r="F25" s="41">
        <v>0</v>
      </c>
      <c r="G25" s="59">
        <v>168.45</v>
      </c>
      <c r="H25" t="s">
        <v>337</v>
      </c>
      <c r="I25" t="s">
        <v>35</v>
      </c>
      <c r="J25" t="s">
        <v>63</v>
      </c>
      <c r="K25" t="s">
        <v>373</v>
      </c>
      <c r="U25" s="1">
        <v>46162</v>
      </c>
      <c r="V25" t="s">
        <v>335</v>
      </c>
      <c r="W25" t="s">
        <v>66</v>
      </c>
      <c r="X25">
        <v>8135550142001</v>
      </c>
      <c r="Y25" t="s">
        <v>374</v>
      </c>
      <c r="Z25" t="s">
        <v>65</v>
      </c>
      <c r="AB25" t="s">
        <v>375</v>
      </c>
    </row>
    <row r="26" spans="1:28" x14ac:dyDescent="0.3">
      <c r="A26" t="s">
        <v>335</v>
      </c>
      <c r="B26" s="40">
        <v>8135550142001</v>
      </c>
      <c r="C26" t="s">
        <v>166</v>
      </c>
      <c r="D26" s="61">
        <f t="shared" si="0"/>
        <v>5029.5700000000015</v>
      </c>
      <c r="E26" s="1">
        <v>46168</v>
      </c>
      <c r="F26" s="41">
        <v>0</v>
      </c>
      <c r="G26" s="59">
        <v>815.45</v>
      </c>
      <c r="H26" t="s">
        <v>337</v>
      </c>
      <c r="I26" t="s">
        <v>35</v>
      </c>
      <c r="J26" t="s">
        <v>63</v>
      </c>
      <c r="K26" t="s">
        <v>385</v>
      </c>
      <c r="U26" s="1">
        <v>46168</v>
      </c>
      <c r="V26" t="s">
        <v>335</v>
      </c>
      <c r="W26" t="s">
        <v>66</v>
      </c>
      <c r="X26">
        <v>8135550142001</v>
      </c>
      <c r="Y26" t="s">
        <v>386</v>
      </c>
      <c r="Z26" t="s">
        <v>387</v>
      </c>
      <c r="AB26" t="s">
        <v>388</v>
      </c>
    </row>
    <row r="27" spans="1:28" x14ac:dyDescent="0.3">
      <c r="A27" t="s">
        <v>335</v>
      </c>
      <c r="B27" s="40">
        <v>8135550142001</v>
      </c>
      <c r="C27" t="s">
        <v>166</v>
      </c>
      <c r="D27" s="61">
        <f t="shared" si="0"/>
        <v>9641.9700000000012</v>
      </c>
      <c r="E27" s="1">
        <v>46174</v>
      </c>
      <c r="F27" s="41">
        <v>4612.3999999999996</v>
      </c>
      <c r="G27" s="59">
        <v>0</v>
      </c>
      <c r="H27" t="s">
        <v>337</v>
      </c>
      <c r="I27" t="s">
        <v>64</v>
      </c>
      <c r="J27" t="s">
        <v>63</v>
      </c>
      <c r="K27" t="s">
        <v>359</v>
      </c>
      <c r="U27" s="1">
        <v>46174</v>
      </c>
      <c r="V27" t="s">
        <v>357</v>
      </c>
      <c r="W27" t="s">
        <v>360</v>
      </c>
      <c r="AB27" t="s">
        <v>361</v>
      </c>
    </row>
    <row r="28" spans="1:28" x14ac:dyDescent="0.3">
      <c r="A28" t="s">
        <v>335</v>
      </c>
      <c r="B28" s="40">
        <v>8135550142001</v>
      </c>
      <c r="C28" t="s">
        <v>166</v>
      </c>
      <c r="D28" s="61">
        <f t="shared" si="0"/>
        <v>7691.9700000000012</v>
      </c>
      <c r="E28" s="1">
        <v>46176</v>
      </c>
      <c r="F28" s="41">
        <v>0</v>
      </c>
      <c r="G28" s="59">
        <v>1950</v>
      </c>
      <c r="H28" t="s">
        <v>337</v>
      </c>
      <c r="I28" t="s">
        <v>35</v>
      </c>
      <c r="J28" t="s">
        <v>63</v>
      </c>
      <c r="K28" t="s">
        <v>362</v>
      </c>
      <c r="U28" s="1">
        <v>46176</v>
      </c>
      <c r="V28" t="s">
        <v>335</v>
      </c>
      <c r="W28" t="s">
        <v>66</v>
      </c>
      <c r="X28">
        <v>8135550142001</v>
      </c>
      <c r="Y28" t="s">
        <v>363</v>
      </c>
      <c r="Z28" t="s">
        <v>360</v>
      </c>
      <c r="AB28" t="s">
        <v>364</v>
      </c>
    </row>
    <row r="29" spans="1:28" x14ac:dyDescent="0.3">
      <c r="A29" t="s">
        <v>335</v>
      </c>
      <c r="B29" s="40">
        <v>8135550142001</v>
      </c>
      <c r="C29" t="s">
        <v>166</v>
      </c>
      <c r="D29" s="61">
        <f t="shared" si="0"/>
        <v>7204.7700000000013</v>
      </c>
      <c r="E29" s="1">
        <v>46181</v>
      </c>
      <c r="F29" s="41">
        <v>0</v>
      </c>
      <c r="G29" s="59">
        <v>487.2</v>
      </c>
      <c r="H29" t="s">
        <v>337</v>
      </c>
      <c r="I29" t="s">
        <v>35</v>
      </c>
      <c r="J29" t="s">
        <v>63</v>
      </c>
      <c r="K29" t="s">
        <v>365</v>
      </c>
      <c r="U29" s="1">
        <v>46181</v>
      </c>
      <c r="V29" t="s">
        <v>335</v>
      </c>
      <c r="W29" t="s">
        <v>66</v>
      </c>
      <c r="X29">
        <v>8135550142001</v>
      </c>
      <c r="Y29" t="s">
        <v>366</v>
      </c>
      <c r="Z29" t="s">
        <v>366</v>
      </c>
      <c r="AB29" t="s">
        <v>367</v>
      </c>
    </row>
    <row r="30" spans="1:28" x14ac:dyDescent="0.3">
      <c r="A30" t="s">
        <v>335</v>
      </c>
      <c r="B30" s="40">
        <v>8135550142001</v>
      </c>
      <c r="C30" t="s">
        <v>166</v>
      </c>
      <c r="D30" s="61">
        <f t="shared" si="0"/>
        <v>6936.2200000000012</v>
      </c>
      <c r="E30" s="1">
        <v>46185</v>
      </c>
      <c r="F30" s="41">
        <v>0</v>
      </c>
      <c r="G30" s="59">
        <v>268.55</v>
      </c>
      <c r="H30" t="s">
        <v>337</v>
      </c>
      <c r="I30" t="s">
        <v>35</v>
      </c>
      <c r="J30" t="s">
        <v>63</v>
      </c>
      <c r="K30" t="s">
        <v>368</v>
      </c>
      <c r="U30" s="1">
        <v>46185</v>
      </c>
      <c r="V30" t="s">
        <v>335</v>
      </c>
      <c r="W30" t="s">
        <v>66</v>
      </c>
      <c r="X30">
        <v>8135550142001</v>
      </c>
      <c r="Y30" t="s">
        <v>369</v>
      </c>
      <c r="Z30" t="s">
        <v>339</v>
      </c>
      <c r="AB30" t="s">
        <v>370</v>
      </c>
    </row>
    <row r="31" spans="1:28" x14ac:dyDescent="0.3">
      <c r="A31" t="s">
        <v>335</v>
      </c>
      <c r="B31" s="40">
        <v>8135550142001</v>
      </c>
      <c r="C31" t="s">
        <v>166</v>
      </c>
      <c r="D31" s="61">
        <f t="shared" si="0"/>
        <v>6517.920000000001</v>
      </c>
      <c r="E31" s="1">
        <v>46188</v>
      </c>
      <c r="F31" s="41">
        <v>0</v>
      </c>
      <c r="G31" s="59">
        <v>418.3</v>
      </c>
      <c r="H31" t="s">
        <v>62</v>
      </c>
      <c r="I31" t="s">
        <v>35</v>
      </c>
      <c r="J31" t="s">
        <v>63</v>
      </c>
      <c r="K31" t="s">
        <v>371</v>
      </c>
      <c r="L31" t="s">
        <v>372</v>
      </c>
      <c r="U31" s="1">
        <v>46188</v>
      </c>
    </row>
    <row r="32" spans="1:28" x14ac:dyDescent="0.3">
      <c r="A32" t="s">
        <v>335</v>
      </c>
      <c r="B32" s="40">
        <v>8135550142001</v>
      </c>
      <c r="C32" t="s">
        <v>166</v>
      </c>
      <c r="D32" s="61">
        <f t="shared" si="0"/>
        <v>6349.4700000000012</v>
      </c>
      <c r="E32" s="1">
        <v>46191</v>
      </c>
      <c r="F32" s="41">
        <v>0</v>
      </c>
      <c r="G32" s="59">
        <v>168.45</v>
      </c>
      <c r="H32" t="s">
        <v>337</v>
      </c>
      <c r="I32" t="s">
        <v>35</v>
      </c>
      <c r="J32" t="s">
        <v>63</v>
      </c>
      <c r="K32" t="s">
        <v>373</v>
      </c>
      <c r="U32" s="1">
        <v>46191</v>
      </c>
      <c r="V32" t="s">
        <v>335</v>
      </c>
      <c r="W32" t="s">
        <v>66</v>
      </c>
      <c r="X32">
        <v>8135550142001</v>
      </c>
      <c r="Y32" t="s">
        <v>374</v>
      </c>
      <c r="Z32" t="s">
        <v>65</v>
      </c>
      <c r="AB32" t="s">
        <v>375</v>
      </c>
    </row>
    <row r="33" spans="1:28" x14ac:dyDescent="0.3">
      <c r="A33" t="s">
        <v>335</v>
      </c>
      <c r="B33" s="40">
        <v>8135550142001</v>
      </c>
      <c r="C33" t="s">
        <v>166</v>
      </c>
      <c r="D33" s="61">
        <f t="shared" si="0"/>
        <v>5644.3700000000008</v>
      </c>
      <c r="E33" s="1">
        <v>46197</v>
      </c>
      <c r="F33" s="41">
        <v>0</v>
      </c>
      <c r="G33" s="59">
        <v>705.1</v>
      </c>
      <c r="H33" t="s">
        <v>337</v>
      </c>
      <c r="I33" t="s">
        <v>35</v>
      </c>
      <c r="J33" t="s">
        <v>63</v>
      </c>
      <c r="K33" t="s">
        <v>385</v>
      </c>
      <c r="U33" s="1">
        <v>46197</v>
      </c>
      <c r="V33" t="s">
        <v>335</v>
      </c>
      <c r="W33" t="s">
        <v>66</v>
      </c>
      <c r="X33">
        <v>8135550142001</v>
      </c>
      <c r="Y33" t="s">
        <v>386</v>
      </c>
      <c r="Z33" t="s">
        <v>387</v>
      </c>
      <c r="AB33" t="s">
        <v>388</v>
      </c>
    </row>
    <row r="34" spans="1:28" x14ac:dyDescent="0.3">
      <c r="A34" t="s">
        <v>335</v>
      </c>
      <c r="B34" s="40">
        <v>8135550142001</v>
      </c>
      <c r="C34" t="s">
        <v>166</v>
      </c>
      <c r="D34" s="61">
        <f t="shared" si="0"/>
        <v>10375.530000000001</v>
      </c>
      <c r="E34" s="1">
        <v>46204</v>
      </c>
      <c r="F34" s="41">
        <v>4731.16</v>
      </c>
      <c r="G34" s="59">
        <v>0</v>
      </c>
      <c r="H34" t="s">
        <v>337</v>
      </c>
      <c r="I34" t="s">
        <v>64</v>
      </c>
      <c r="J34" t="s">
        <v>63</v>
      </c>
      <c r="K34" t="s">
        <v>359</v>
      </c>
      <c r="U34" s="1">
        <v>46204</v>
      </c>
      <c r="V34" t="s">
        <v>357</v>
      </c>
      <c r="W34" t="s">
        <v>360</v>
      </c>
      <c r="AB34" t="s">
        <v>361</v>
      </c>
    </row>
    <row r="35" spans="1:28" x14ac:dyDescent="0.3">
      <c r="A35" t="s">
        <v>335</v>
      </c>
      <c r="B35" s="40">
        <v>8135550142001</v>
      </c>
      <c r="C35" t="s">
        <v>166</v>
      </c>
      <c r="D35" s="61">
        <f t="shared" si="0"/>
        <v>8425.5300000000007</v>
      </c>
      <c r="E35" s="1">
        <v>46206</v>
      </c>
      <c r="F35" s="41">
        <v>0</v>
      </c>
      <c r="G35" s="59">
        <v>1950</v>
      </c>
      <c r="H35" t="s">
        <v>337</v>
      </c>
      <c r="I35" t="s">
        <v>35</v>
      </c>
      <c r="J35" t="s">
        <v>63</v>
      </c>
      <c r="K35" t="s">
        <v>362</v>
      </c>
      <c r="U35" s="1">
        <v>46206</v>
      </c>
      <c r="V35" t="s">
        <v>335</v>
      </c>
      <c r="W35" t="s">
        <v>66</v>
      </c>
      <c r="X35">
        <v>8135550142001</v>
      </c>
      <c r="Y35" t="s">
        <v>363</v>
      </c>
      <c r="Z35" t="s">
        <v>360</v>
      </c>
      <c r="AB35" t="s">
        <v>364</v>
      </c>
    </row>
    <row r="36" spans="1:28" x14ac:dyDescent="0.3">
      <c r="A36" t="s">
        <v>335</v>
      </c>
      <c r="B36" s="40">
        <v>8135550142001</v>
      </c>
      <c r="C36" t="s">
        <v>166</v>
      </c>
      <c r="D36" s="61">
        <f t="shared" si="0"/>
        <v>7938.3300000000008</v>
      </c>
      <c r="E36" s="1">
        <v>46211</v>
      </c>
      <c r="F36" s="41">
        <v>0</v>
      </c>
      <c r="G36" s="59">
        <v>487.2</v>
      </c>
      <c r="H36" t="s">
        <v>337</v>
      </c>
      <c r="I36" t="s">
        <v>35</v>
      </c>
      <c r="J36" t="s">
        <v>63</v>
      </c>
      <c r="K36" t="s">
        <v>365</v>
      </c>
      <c r="U36" s="1">
        <v>46211</v>
      </c>
      <c r="V36" t="s">
        <v>335</v>
      </c>
      <c r="W36" t="s">
        <v>66</v>
      </c>
      <c r="X36">
        <v>8135550142001</v>
      </c>
      <c r="Y36" t="s">
        <v>366</v>
      </c>
      <c r="Z36" t="s">
        <v>366</v>
      </c>
      <c r="AB36" t="s">
        <v>367</v>
      </c>
    </row>
    <row r="37" spans="1:28" x14ac:dyDescent="0.3">
      <c r="A37" t="s">
        <v>335</v>
      </c>
      <c r="B37" s="40">
        <v>8135550142001</v>
      </c>
      <c r="C37" t="s">
        <v>166</v>
      </c>
      <c r="D37" s="61">
        <f t="shared" si="0"/>
        <v>7647.130000000001</v>
      </c>
      <c r="E37" s="1">
        <v>46216</v>
      </c>
      <c r="F37" s="41">
        <v>0</v>
      </c>
      <c r="G37" s="59">
        <v>291.2</v>
      </c>
      <c r="H37" t="s">
        <v>337</v>
      </c>
      <c r="I37" t="s">
        <v>35</v>
      </c>
      <c r="J37" t="s">
        <v>63</v>
      </c>
      <c r="K37" t="s">
        <v>368</v>
      </c>
      <c r="U37" s="1">
        <v>46216</v>
      </c>
      <c r="V37" t="s">
        <v>335</v>
      </c>
      <c r="W37" t="s">
        <v>66</v>
      </c>
      <c r="X37">
        <v>8135550142001</v>
      </c>
      <c r="Y37" t="s">
        <v>369</v>
      </c>
      <c r="Z37" t="s">
        <v>339</v>
      </c>
      <c r="AB37" t="s">
        <v>370</v>
      </c>
    </row>
    <row r="38" spans="1:28" x14ac:dyDescent="0.3">
      <c r="A38" t="s">
        <v>335</v>
      </c>
      <c r="B38" s="40">
        <v>8135550142001</v>
      </c>
      <c r="C38" t="s">
        <v>166</v>
      </c>
      <c r="D38" s="61">
        <f t="shared" si="0"/>
        <v>7199.2800000000007</v>
      </c>
      <c r="E38" s="1">
        <v>46218</v>
      </c>
      <c r="F38" s="41">
        <v>0</v>
      </c>
      <c r="G38" s="59">
        <v>447.85</v>
      </c>
      <c r="H38" t="s">
        <v>62</v>
      </c>
      <c r="I38" t="s">
        <v>35</v>
      </c>
      <c r="J38" t="s">
        <v>63</v>
      </c>
      <c r="K38" t="s">
        <v>371</v>
      </c>
      <c r="L38" t="s">
        <v>372</v>
      </c>
      <c r="U38" s="1">
        <v>46218</v>
      </c>
    </row>
    <row r="39" spans="1:28" x14ac:dyDescent="0.3">
      <c r="A39" t="s">
        <v>335</v>
      </c>
      <c r="B39" s="40">
        <v>8135550142001</v>
      </c>
      <c r="C39" t="s">
        <v>166</v>
      </c>
      <c r="D39" s="61">
        <f t="shared" si="0"/>
        <v>7030.8300000000008</v>
      </c>
      <c r="E39" s="1">
        <v>46223</v>
      </c>
      <c r="F39" s="41">
        <v>0</v>
      </c>
      <c r="G39" s="59">
        <v>168.45</v>
      </c>
      <c r="H39" t="s">
        <v>337</v>
      </c>
      <c r="I39" t="s">
        <v>35</v>
      </c>
      <c r="J39" t="s">
        <v>63</v>
      </c>
      <c r="K39" t="s">
        <v>373</v>
      </c>
      <c r="U39" s="1">
        <v>46223</v>
      </c>
      <c r="V39" t="s">
        <v>335</v>
      </c>
      <c r="W39" t="s">
        <v>66</v>
      </c>
      <c r="X39">
        <v>8135550142001</v>
      </c>
      <c r="Y39" t="s">
        <v>374</v>
      </c>
      <c r="Z39" t="s">
        <v>65</v>
      </c>
      <c r="AB39" t="s">
        <v>375</v>
      </c>
    </row>
    <row r="40" spans="1:28" x14ac:dyDescent="0.3">
      <c r="A40" t="s">
        <v>335</v>
      </c>
      <c r="B40" s="40">
        <v>8135550142001</v>
      </c>
      <c r="C40" t="s">
        <v>166</v>
      </c>
      <c r="D40" s="61">
        <f t="shared" si="0"/>
        <v>19980.830000000002</v>
      </c>
      <c r="E40" s="1">
        <v>46224</v>
      </c>
      <c r="F40" s="41">
        <v>12950</v>
      </c>
      <c r="G40" s="59">
        <v>0</v>
      </c>
      <c r="H40" t="s">
        <v>36</v>
      </c>
      <c r="I40" t="s">
        <v>64</v>
      </c>
      <c r="J40" t="s">
        <v>336</v>
      </c>
      <c r="K40" t="s">
        <v>399</v>
      </c>
      <c r="U40" s="1">
        <v>46224</v>
      </c>
      <c r="V40" t="s">
        <v>400</v>
      </c>
      <c r="W40" t="s">
        <v>378</v>
      </c>
      <c r="X40" t="s">
        <v>401</v>
      </c>
      <c r="Y40" t="s">
        <v>335</v>
      </c>
      <c r="Z40" t="s">
        <v>66</v>
      </c>
      <c r="AA40">
        <v>8135550142001</v>
      </c>
      <c r="AB40" t="s">
        <v>402</v>
      </c>
    </row>
    <row r="41" spans="1:28" x14ac:dyDescent="0.3">
      <c r="A41" t="s">
        <v>335</v>
      </c>
      <c r="B41" s="40">
        <v>8135550142001</v>
      </c>
      <c r="C41" t="s">
        <v>166</v>
      </c>
      <c r="D41" s="61">
        <f t="shared" si="0"/>
        <v>7180.8300000000017</v>
      </c>
      <c r="E41" s="1">
        <v>46227</v>
      </c>
      <c r="F41" s="41">
        <v>0</v>
      </c>
      <c r="G41" s="59">
        <v>12800</v>
      </c>
      <c r="H41" t="s">
        <v>36</v>
      </c>
      <c r="I41" t="s">
        <v>35</v>
      </c>
      <c r="J41" t="s">
        <v>338</v>
      </c>
      <c r="K41" t="s">
        <v>403</v>
      </c>
      <c r="U41" s="1">
        <v>46227</v>
      </c>
      <c r="V41" t="s">
        <v>335</v>
      </c>
      <c r="W41" t="s">
        <v>66</v>
      </c>
      <c r="X41">
        <v>8135550142001</v>
      </c>
      <c r="Y41" t="s">
        <v>404</v>
      </c>
      <c r="Z41" t="s">
        <v>405</v>
      </c>
      <c r="AA41" t="s">
        <v>406</v>
      </c>
      <c r="AB41" t="s">
        <v>407</v>
      </c>
    </row>
    <row r="42" spans="1:28" x14ac:dyDescent="0.3">
      <c r="A42" t="s">
        <v>335</v>
      </c>
      <c r="B42" s="40">
        <v>8135550142001</v>
      </c>
      <c r="C42" t="s">
        <v>166</v>
      </c>
      <c r="D42" s="61">
        <f t="shared" si="0"/>
        <v>6410.9300000000021</v>
      </c>
      <c r="E42" s="1">
        <v>46230</v>
      </c>
      <c r="F42" s="41">
        <v>0</v>
      </c>
      <c r="G42" s="59">
        <v>769.9</v>
      </c>
      <c r="H42" t="s">
        <v>337</v>
      </c>
      <c r="I42" t="s">
        <v>35</v>
      </c>
      <c r="J42" t="s">
        <v>63</v>
      </c>
      <c r="K42" t="s">
        <v>385</v>
      </c>
      <c r="U42" s="1">
        <v>46230</v>
      </c>
      <c r="V42" t="s">
        <v>335</v>
      </c>
      <c r="W42" t="s">
        <v>66</v>
      </c>
      <c r="X42">
        <v>8135550142001</v>
      </c>
      <c r="Y42" t="s">
        <v>386</v>
      </c>
      <c r="Z42" t="s">
        <v>387</v>
      </c>
      <c r="AB42" t="s">
        <v>388</v>
      </c>
    </row>
    <row r="43" spans="1:28" x14ac:dyDescent="0.3">
      <c r="A43" t="s">
        <v>335</v>
      </c>
      <c r="B43" s="40">
        <v>8135550142001</v>
      </c>
      <c r="C43" t="s">
        <v>166</v>
      </c>
      <c r="D43" s="61">
        <f t="shared" si="0"/>
        <v>11023.330000000002</v>
      </c>
      <c r="E43" s="1">
        <v>46237</v>
      </c>
      <c r="F43" s="41">
        <v>4612.3999999999996</v>
      </c>
      <c r="G43" s="59">
        <v>0</v>
      </c>
      <c r="H43" t="s">
        <v>337</v>
      </c>
      <c r="I43" t="s">
        <v>64</v>
      </c>
      <c r="J43" t="s">
        <v>63</v>
      </c>
      <c r="K43" t="s">
        <v>359</v>
      </c>
      <c r="U43" s="1">
        <v>46237</v>
      </c>
      <c r="V43" t="s">
        <v>357</v>
      </c>
      <c r="W43" t="s">
        <v>360</v>
      </c>
      <c r="AB43" t="s">
        <v>361</v>
      </c>
    </row>
    <row r="44" spans="1:28" x14ac:dyDescent="0.3">
      <c r="A44" t="s">
        <v>335</v>
      </c>
      <c r="B44" s="40">
        <v>8135550142001</v>
      </c>
      <c r="C44" t="s">
        <v>166</v>
      </c>
      <c r="D44" s="61">
        <f t="shared" si="0"/>
        <v>9073.3300000000017</v>
      </c>
      <c r="E44" s="1">
        <v>46238</v>
      </c>
      <c r="F44" s="41">
        <v>0</v>
      </c>
      <c r="G44" s="59">
        <v>1950</v>
      </c>
      <c r="H44" t="s">
        <v>337</v>
      </c>
      <c r="I44" t="s">
        <v>35</v>
      </c>
      <c r="J44" t="s">
        <v>63</v>
      </c>
      <c r="K44" t="s">
        <v>362</v>
      </c>
      <c r="U44" s="1">
        <v>46238</v>
      </c>
      <c r="V44" t="s">
        <v>335</v>
      </c>
      <c r="W44" t="s">
        <v>66</v>
      </c>
      <c r="X44">
        <v>8135550142001</v>
      </c>
      <c r="Y44" t="s">
        <v>363</v>
      </c>
      <c r="Z44" t="s">
        <v>360</v>
      </c>
      <c r="AB44" t="s">
        <v>364</v>
      </c>
    </row>
    <row r="45" spans="1:28" x14ac:dyDescent="0.3">
      <c r="A45" t="s">
        <v>335</v>
      </c>
      <c r="B45" s="40">
        <v>8135550142001</v>
      </c>
      <c r="C45" t="s">
        <v>166</v>
      </c>
      <c r="D45" s="61">
        <f t="shared" si="0"/>
        <v>8586.130000000001</v>
      </c>
      <c r="E45" s="1">
        <v>46244</v>
      </c>
      <c r="F45" s="41">
        <v>0</v>
      </c>
      <c r="G45" s="59">
        <v>487.2</v>
      </c>
      <c r="H45" t="s">
        <v>337</v>
      </c>
      <c r="I45" t="s">
        <v>35</v>
      </c>
      <c r="J45" t="s">
        <v>63</v>
      </c>
      <c r="K45" t="s">
        <v>365</v>
      </c>
      <c r="U45" s="1">
        <v>46244</v>
      </c>
      <c r="V45" t="s">
        <v>335</v>
      </c>
      <c r="W45" t="s">
        <v>66</v>
      </c>
      <c r="X45">
        <v>8135550142001</v>
      </c>
      <c r="Y45" t="s">
        <v>366</v>
      </c>
      <c r="Z45" t="s">
        <v>366</v>
      </c>
      <c r="AB45" t="s">
        <v>367</v>
      </c>
    </row>
    <row r="46" spans="1:28" x14ac:dyDescent="0.3">
      <c r="A46" t="s">
        <v>335</v>
      </c>
      <c r="B46" s="40">
        <v>8135550142001</v>
      </c>
      <c r="C46" t="s">
        <v>166</v>
      </c>
      <c r="D46" s="61">
        <f t="shared" si="0"/>
        <v>8306.7800000000007</v>
      </c>
      <c r="E46" s="1">
        <v>46246</v>
      </c>
      <c r="F46" s="41">
        <v>0</v>
      </c>
      <c r="G46" s="59">
        <v>279.35000000000002</v>
      </c>
      <c r="H46" t="s">
        <v>337</v>
      </c>
      <c r="I46" t="s">
        <v>35</v>
      </c>
      <c r="J46" t="s">
        <v>63</v>
      </c>
      <c r="K46" t="s">
        <v>368</v>
      </c>
      <c r="U46" s="1">
        <v>46246</v>
      </c>
      <c r="V46" t="s">
        <v>335</v>
      </c>
      <c r="W46" t="s">
        <v>66</v>
      </c>
      <c r="X46">
        <v>8135550142001</v>
      </c>
      <c r="Y46" t="s">
        <v>369</v>
      </c>
      <c r="Z46" t="s">
        <v>339</v>
      </c>
      <c r="AB46" t="s">
        <v>370</v>
      </c>
    </row>
    <row r="47" spans="1:28" x14ac:dyDescent="0.3">
      <c r="A47" t="s">
        <v>335</v>
      </c>
      <c r="B47" s="40">
        <v>8135550142001</v>
      </c>
      <c r="C47" t="s">
        <v>166</v>
      </c>
      <c r="D47" s="61">
        <f t="shared" si="0"/>
        <v>7877.18</v>
      </c>
      <c r="E47" s="1">
        <v>46251</v>
      </c>
      <c r="F47" s="41">
        <v>0</v>
      </c>
      <c r="G47" s="59">
        <v>429.6</v>
      </c>
      <c r="H47" t="s">
        <v>62</v>
      </c>
      <c r="I47" t="s">
        <v>35</v>
      </c>
      <c r="J47" t="s">
        <v>63</v>
      </c>
      <c r="K47" t="s">
        <v>371</v>
      </c>
      <c r="L47" t="s">
        <v>372</v>
      </c>
      <c r="U47" s="1">
        <v>46251</v>
      </c>
    </row>
    <row r="48" spans="1:28" x14ac:dyDescent="0.3">
      <c r="A48" t="s">
        <v>335</v>
      </c>
      <c r="B48" s="40">
        <v>8135550142001</v>
      </c>
      <c r="C48" t="s">
        <v>166</v>
      </c>
      <c r="D48" s="61">
        <f t="shared" si="0"/>
        <v>7708.7300000000005</v>
      </c>
      <c r="E48" s="1">
        <v>46252</v>
      </c>
      <c r="F48" s="41">
        <v>0</v>
      </c>
      <c r="G48" s="59">
        <v>168.45</v>
      </c>
      <c r="H48" t="s">
        <v>337</v>
      </c>
      <c r="I48" t="s">
        <v>35</v>
      </c>
      <c r="J48" t="s">
        <v>63</v>
      </c>
      <c r="K48" t="s">
        <v>373</v>
      </c>
      <c r="U48" s="1">
        <v>46252</v>
      </c>
      <c r="V48" t="s">
        <v>335</v>
      </c>
      <c r="W48" t="s">
        <v>66</v>
      </c>
      <c r="X48">
        <v>8135550142001</v>
      </c>
      <c r="Y48" t="s">
        <v>374</v>
      </c>
      <c r="Z48" t="s">
        <v>65</v>
      </c>
      <c r="AB48" t="s">
        <v>375</v>
      </c>
    </row>
    <row r="49" spans="1:28" x14ac:dyDescent="0.3">
      <c r="A49" t="s">
        <v>335</v>
      </c>
      <c r="B49" s="40">
        <v>8135550142001</v>
      </c>
      <c r="C49" t="s">
        <v>166</v>
      </c>
      <c r="D49" s="61">
        <f t="shared" si="0"/>
        <v>6977.5300000000007</v>
      </c>
      <c r="E49" s="1">
        <v>46259</v>
      </c>
      <c r="F49" s="41">
        <v>0</v>
      </c>
      <c r="G49" s="59">
        <v>731.2</v>
      </c>
      <c r="H49" t="s">
        <v>337</v>
      </c>
      <c r="I49" t="s">
        <v>35</v>
      </c>
      <c r="J49" t="s">
        <v>63</v>
      </c>
      <c r="K49" t="s">
        <v>385</v>
      </c>
      <c r="U49" s="1">
        <v>46259</v>
      </c>
      <c r="V49" t="s">
        <v>335</v>
      </c>
      <c r="W49" t="s">
        <v>66</v>
      </c>
      <c r="X49">
        <v>8135550142001</v>
      </c>
      <c r="Y49" t="s">
        <v>386</v>
      </c>
      <c r="Z49" t="s">
        <v>387</v>
      </c>
      <c r="AB49" t="s">
        <v>388</v>
      </c>
    </row>
  </sheetData>
  <autoFilter ref="A1:AB49" xr:uid="{5611D810-DAFA-4F31-B6DD-45D854AF5F85}"/>
  <phoneticPr fontId="15" type="noConversion"/>
  <pageMargins left="0.7" right="0.7" top="0.75" bottom="0.75" header="0.3" footer="0.3"/>
  <pageSetup orientation="portrait" r:id="rId1"/>
  <ignoredErrors>
    <ignoredError sqref="D5 D11 D14 D19 D22 D2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7"/>
  <sheetViews>
    <sheetView showGridLines="0" workbookViewId="0">
      <selection activeCell="E24" sqref="E24"/>
    </sheetView>
  </sheetViews>
  <sheetFormatPr defaultColWidth="8.77734375" defaultRowHeight="14.4" x14ac:dyDescent="0.3"/>
  <cols>
    <col min="1" max="1" width="10.77734375" bestFit="1" customWidth="1"/>
    <col min="2" max="2" width="15.77734375" bestFit="1" customWidth="1"/>
    <col min="3" max="3" width="24.77734375" bestFit="1" customWidth="1"/>
    <col min="4" max="4" width="29" bestFit="1" customWidth="1"/>
    <col min="5" max="5" width="22.109375" bestFit="1" customWidth="1"/>
    <col min="6" max="6" width="19.44140625" bestFit="1" customWidth="1"/>
    <col min="7" max="7" width="16.77734375" bestFit="1" customWidth="1"/>
    <col min="8" max="8" width="18.77734375" bestFit="1" customWidth="1"/>
    <col min="9" max="9" width="30.109375" bestFit="1" customWidth="1"/>
    <col min="10" max="10" width="23.109375" bestFit="1" customWidth="1"/>
    <col min="11" max="11" width="20.44140625" bestFit="1" customWidth="1"/>
  </cols>
  <sheetData>
    <row r="1" spans="1:16384" x14ac:dyDescent="0.3">
      <c r="A1" s="46" t="s">
        <v>32</v>
      </c>
      <c r="B1" s="47" t="s">
        <v>67</v>
      </c>
      <c r="C1" s="48" t="s">
        <v>68</v>
      </c>
      <c r="D1" s="46" t="s">
        <v>69</v>
      </c>
      <c r="E1" s="46" t="s">
        <v>70</v>
      </c>
      <c r="F1" s="46" t="s">
        <v>71</v>
      </c>
      <c r="G1" s="49" t="s">
        <v>72</v>
      </c>
      <c r="H1" s="49" t="s">
        <v>73</v>
      </c>
      <c r="I1" s="46" t="s">
        <v>74</v>
      </c>
      <c r="J1" s="47" t="s">
        <v>75</v>
      </c>
      <c r="K1" s="48" t="s">
        <v>76</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2" spans="1:16384" x14ac:dyDescent="0.3">
      <c r="A2" s="1">
        <v>46100</v>
      </c>
      <c r="B2" t="s">
        <v>377</v>
      </c>
      <c r="C2" t="s">
        <v>408</v>
      </c>
      <c r="D2" t="s">
        <v>378</v>
      </c>
      <c r="E2" s="40" t="s">
        <v>379</v>
      </c>
      <c r="F2" t="s">
        <v>342</v>
      </c>
      <c r="G2" t="s">
        <v>335</v>
      </c>
      <c r="H2" t="s">
        <v>409</v>
      </c>
      <c r="I2" t="s">
        <v>66</v>
      </c>
      <c r="J2" t="s">
        <v>410</v>
      </c>
      <c r="K2" t="s">
        <v>411</v>
      </c>
    </row>
    <row r="3" spans="1:16384" x14ac:dyDescent="0.3">
      <c r="A3" s="1">
        <v>46105</v>
      </c>
      <c r="B3" t="s">
        <v>335</v>
      </c>
      <c r="C3" t="s">
        <v>409</v>
      </c>
      <c r="D3" t="s">
        <v>66</v>
      </c>
      <c r="E3" s="40" t="s">
        <v>410</v>
      </c>
      <c r="F3" t="s">
        <v>384</v>
      </c>
      <c r="G3" t="s">
        <v>381</v>
      </c>
      <c r="H3" t="s">
        <v>412</v>
      </c>
      <c r="I3" t="s">
        <v>382</v>
      </c>
      <c r="J3" t="s">
        <v>383</v>
      </c>
      <c r="K3" t="s">
        <v>340</v>
      </c>
    </row>
    <row r="4" spans="1:16384" x14ac:dyDescent="0.3">
      <c r="A4" s="1">
        <v>46156</v>
      </c>
      <c r="B4" t="s">
        <v>390</v>
      </c>
      <c r="C4" t="s">
        <v>408</v>
      </c>
      <c r="D4" t="s">
        <v>391</v>
      </c>
      <c r="E4" s="40" t="s">
        <v>392</v>
      </c>
      <c r="F4" t="s">
        <v>393</v>
      </c>
      <c r="G4" t="s">
        <v>335</v>
      </c>
      <c r="H4" t="s">
        <v>409</v>
      </c>
      <c r="I4" t="s">
        <v>66</v>
      </c>
      <c r="J4" t="s">
        <v>410</v>
      </c>
      <c r="K4" t="s">
        <v>413</v>
      </c>
    </row>
    <row r="5" spans="1:16384" x14ac:dyDescent="0.3">
      <c r="A5" s="1">
        <v>46161</v>
      </c>
      <c r="B5" t="s">
        <v>335</v>
      </c>
      <c r="C5" t="s">
        <v>409</v>
      </c>
      <c r="D5" t="s">
        <v>66</v>
      </c>
      <c r="E5" s="40" t="s">
        <v>410</v>
      </c>
      <c r="F5" t="s">
        <v>398</v>
      </c>
      <c r="G5" t="s">
        <v>395</v>
      </c>
      <c r="H5" t="s">
        <v>414</v>
      </c>
      <c r="I5" t="s">
        <v>396</v>
      </c>
      <c r="J5" t="s">
        <v>397</v>
      </c>
      <c r="K5" t="s">
        <v>413</v>
      </c>
    </row>
    <row r="6" spans="1:16384" x14ac:dyDescent="0.3">
      <c r="A6" s="1">
        <v>46224</v>
      </c>
      <c r="B6" t="s">
        <v>400</v>
      </c>
      <c r="C6" t="s">
        <v>408</v>
      </c>
      <c r="D6" t="s">
        <v>378</v>
      </c>
      <c r="E6" s="40" t="s">
        <v>401</v>
      </c>
      <c r="F6" t="s">
        <v>402</v>
      </c>
      <c r="G6" t="s">
        <v>335</v>
      </c>
      <c r="H6" t="s">
        <v>409</v>
      </c>
      <c r="I6" t="s">
        <v>66</v>
      </c>
      <c r="J6" t="s">
        <v>410</v>
      </c>
      <c r="K6" t="s">
        <v>415</v>
      </c>
    </row>
    <row r="7" spans="1:16384" x14ac:dyDescent="0.3">
      <c r="A7" s="1">
        <v>46227</v>
      </c>
      <c r="B7" t="s">
        <v>335</v>
      </c>
      <c r="C7" t="s">
        <v>409</v>
      </c>
      <c r="D7" t="s">
        <v>66</v>
      </c>
      <c r="E7" s="40" t="s">
        <v>410</v>
      </c>
      <c r="F7" t="s">
        <v>407</v>
      </c>
      <c r="G7" t="s">
        <v>404</v>
      </c>
      <c r="H7" t="s">
        <v>412</v>
      </c>
      <c r="I7" t="s">
        <v>405</v>
      </c>
      <c r="J7" t="s">
        <v>406</v>
      </c>
      <c r="K7" t="s">
        <v>341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11"/>
  <sheetViews>
    <sheetView showGridLines="0" workbookViewId="0">
      <selection sqref="A1:XFD1048576"/>
    </sheetView>
  </sheetViews>
  <sheetFormatPr defaultColWidth="8.77734375" defaultRowHeight="14.4" x14ac:dyDescent="0.3"/>
  <cols>
    <col min="1" max="4" width="14.44140625" customWidth="1"/>
    <col min="5" max="5" width="3.109375" customWidth="1"/>
    <col min="6" max="9" width="14.44140625" customWidth="1"/>
  </cols>
  <sheetData>
    <row r="1" spans="1:9" ht="23.4" x14ac:dyDescent="0.3">
      <c r="A1" s="93" t="s">
        <v>416</v>
      </c>
      <c r="B1" s="102"/>
      <c r="C1" s="102"/>
      <c r="D1" s="102"/>
      <c r="E1" s="102"/>
      <c r="F1" s="102"/>
      <c r="G1" s="102"/>
      <c r="H1" s="102"/>
      <c r="I1" s="102"/>
    </row>
    <row r="2" spans="1:9" x14ac:dyDescent="0.3">
      <c r="A2" s="103" t="s">
        <v>417</v>
      </c>
      <c r="B2" s="102"/>
      <c r="C2" s="102"/>
      <c r="D2" s="102"/>
      <c r="E2" s="102"/>
      <c r="F2" s="102"/>
      <c r="G2" s="102"/>
      <c r="H2" s="102"/>
      <c r="I2" s="102"/>
    </row>
    <row r="3" spans="1:9" ht="15.6" x14ac:dyDescent="0.3">
      <c r="A3" s="104" t="s">
        <v>418</v>
      </c>
      <c r="B3" s="102"/>
      <c r="C3" s="102"/>
      <c r="D3" s="102"/>
      <c r="E3" s="102"/>
      <c r="F3" s="102"/>
      <c r="G3" s="102"/>
      <c r="H3" s="102"/>
      <c r="I3" s="102"/>
    </row>
    <row r="5" spans="1:9" ht="15.6" x14ac:dyDescent="0.3">
      <c r="A5" s="91" t="s">
        <v>419</v>
      </c>
      <c r="B5" s="91" t="s">
        <v>420</v>
      </c>
      <c r="C5" s="91" t="s">
        <v>421</v>
      </c>
      <c r="D5" s="91" t="s">
        <v>422</v>
      </c>
      <c r="E5" s="91" t="s">
        <v>423</v>
      </c>
      <c r="F5" s="91" t="s">
        <v>424</v>
      </c>
      <c r="G5" s="91" t="s">
        <v>425</v>
      </c>
      <c r="H5" s="91" t="s">
        <v>426</v>
      </c>
      <c r="I5" s="91" t="s">
        <v>427</v>
      </c>
    </row>
    <row r="6" spans="1:9" x14ac:dyDescent="0.3">
      <c r="A6" t="s">
        <v>428</v>
      </c>
      <c r="B6" s="1">
        <v>46100</v>
      </c>
      <c r="C6" t="s">
        <v>429</v>
      </c>
      <c r="D6" t="s">
        <v>377</v>
      </c>
      <c r="E6" t="s">
        <v>430</v>
      </c>
      <c r="F6" t="s">
        <v>335</v>
      </c>
      <c r="G6" t="s">
        <v>431</v>
      </c>
      <c r="H6" t="s">
        <v>342</v>
      </c>
      <c r="I6">
        <v>12400</v>
      </c>
    </row>
    <row r="7" spans="1:9" x14ac:dyDescent="0.3">
      <c r="A7" t="s">
        <v>432</v>
      </c>
      <c r="B7" s="1">
        <v>46105</v>
      </c>
      <c r="C7" t="s">
        <v>433</v>
      </c>
      <c r="D7" t="s">
        <v>335</v>
      </c>
      <c r="E7" t="s">
        <v>431</v>
      </c>
      <c r="F7" t="s">
        <v>381</v>
      </c>
      <c r="G7" t="s">
        <v>434</v>
      </c>
      <c r="H7" t="s">
        <v>384</v>
      </c>
      <c r="I7">
        <v>12250</v>
      </c>
    </row>
    <row r="8" spans="1:9" x14ac:dyDescent="0.3">
      <c r="A8" t="s">
        <v>435</v>
      </c>
      <c r="B8" s="1">
        <v>46156</v>
      </c>
      <c r="C8" t="s">
        <v>429</v>
      </c>
      <c r="D8" t="s">
        <v>390</v>
      </c>
      <c r="E8" t="s">
        <v>436</v>
      </c>
      <c r="F8" t="s">
        <v>335</v>
      </c>
      <c r="G8" t="s">
        <v>431</v>
      </c>
      <c r="H8" t="s">
        <v>393</v>
      </c>
      <c r="I8">
        <v>11800</v>
      </c>
    </row>
    <row r="9" spans="1:9" x14ac:dyDescent="0.3">
      <c r="A9" t="s">
        <v>437</v>
      </c>
      <c r="B9" s="1">
        <v>46161</v>
      </c>
      <c r="C9" t="s">
        <v>433</v>
      </c>
      <c r="D9" t="s">
        <v>335</v>
      </c>
      <c r="E9" t="s">
        <v>431</v>
      </c>
      <c r="F9" t="s">
        <v>395</v>
      </c>
      <c r="G9" t="s">
        <v>438</v>
      </c>
      <c r="H9" t="s">
        <v>398</v>
      </c>
      <c r="I9">
        <v>11650</v>
      </c>
    </row>
    <row r="10" spans="1:9" x14ac:dyDescent="0.3">
      <c r="A10" t="s">
        <v>439</v>
      </c>
      <c r="B10" s="1">
        <v>46224</v>
      </c>
      <c r="C10" t="s">
        <v>429</v>
      </c>
      <c r="D10" t="s">
        <v>400</v>
      </c>
      <c r="E10" t="s">
        <v>440</v>
      </c>
      <c r="F10" t="s">
        <v>335</v>
      </c>
      <c r="G10" t="s">
        <v>431</v>
      </c>
      <c r="H10" t="s">
        <v>402</v>
      </c>
      <c r="I10">
        <v>12950</v>
      </c>
    </row>
    <row r="11" spans="1:9" x14ac:dyDescent="0.3">
      <c r="A11" t="s">
        <v>441</v>
      </c>
      <c r="B11" s="1">
        <v>46227</v>
      </c>
      <c r="C11" t="s">
        <v>433</v>
      </c>
      <c r="D11" t="s">
        <v>335</v>
      </c>
      <c r="E11" t="s">
        <v>431</v>
      </c>
      <c r="F11" t="s">
        <v>404</v>
      </c>
      <c r="G11" t="s">
        <v>442</v>
      </c>
      <c r="H11" t="s">
        <v>407</v>
      </c>
      <c r="I11">
        <v>12800</v>
      </c>
    </row>
  </sheetData>
  <mergeCells count="3">
    <mergeCell ref="A1:I1"/>
    <mergeCell ref="A2:I2"/>
    <mergeCell ref="A3:I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defaultColWidth="8.77734375" defaultRowHeight="14.4" x14ac:dyDescent="0.3"/>
  <sheetData>
    <row r="1" spans="1:1" x14ac:dyDescent="0.3">
      <c r="A1" t="s">
        <v>77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tabSelected="1" workbookViewId="0"/>
  </sheetViews>
  <sheetFormatPr defaultColWidth="8.77734375" defaultRowHeight="14.4" x14ac:dyDescent="0.3"/>
  <cols>
    <col min="1" max="1" width="159.77734375" customWidth="1"/>
  </cols>
  <sheetData>
    <row r="1" spans="1:1" ht="409.5" customHeight="1" x14ac:dyDescent="0.3">
      <c r="A1" s="77"/>
    </row>
    <row r="2" spans="1:1" x14ac:dyDescent="0.3">
      <c r="A2" s="29"/>
    </row>
    <row r="3" spans="1:1" x14ac:dyDescent="0.3">
      <c r="A3" s="58"/>
    </row>
    <row r="4" spans="1:1" x14ac:dyDescent="0.3">
      <c r="A4" s="29"/>
    </row>
    <row r="5" spans="1:1" x14ac:dyDescent="0.3">
      <c r="A5" s="58"/>
    </row>
    <row r="6" spans="1:1" x14ac:dyDescent="0.3">
      <c r="A6" s="29"/>
    </row>
    <row r="7" spans="1:1" x14ac:dyDescent="0.3">
      <c r="A7" s="58"/>
    </row>
    <row r="8" spans="1:1" x14ac:dyDescent="0.3">
      <c r="A8" s="29"/>
    </row>
    <row r="9" spans="1:1" x14ac:dyDescent="0.3">
      <c r="A9" s="5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topLeftCell="A25" zoomScale="85" zoomScaleNormal="85" workbookViewId="0">
      <selection activeCell="E15" sqref="E15"/>
    </sheetView>
  </sheetViews>
  <sheetFormatPr defaultColWidth="0" defaultRowHeight="0" customHeight="1" zeroHeight="1" x14ac:dyDescent="0.3"/>
  <cols>
    <col min="1" max="1" width="3.77734375" customWidth="1"/>
    <col min="2" max="2" width="8.77734375" customWidth="1"/>
    <col min="3" max="3" width="36.109375" customWidth="1"/>
    <col min="4" max="4" width="9" customWidth="1"/>
    <col min="5" max="5" width="38" customWidth="1"/>
    <col min="6" max="6" width="10.77734375" customWidth="1"/>
    <col min="7" max="7" width="9.109375" customWidth="1"/>
    <col min="8" max="8" width="11.44140625" bestFit="1" customWidth="1"/>
    <col min="9" max="9" width="9.109375" customWidth="1"/>
    <col min="10" max="10" width="10.77734375" bestFit="1" customWidth="1"/>
    <col min="11" max="14" width="9.109375" customWidth="1"/>
    <col min="15" max="15" width="5.44140625" customWidth="1"/>
    <col min="16" max="16384" width="9.109375" hidden="1"/>
  </cols>
  <sheetData>
    <row r="1" spans="2:14" ht="15" customHeight="1" x14ac:dyDescent="0.3">
      <c r="B1" s="127" t="s">
        <v>78</v>
      </c>
      <c r="C1" s="128"/>
      <c r="D1" s="128"/>
      <c r="E1" s="128"/>
      <c r="F1" s="128"/>
      <c r="G1" s="128"/>
      <c r="H1" s="128"/>
      <c r="I1" s="128"/>
      <c r="J1" s="128"/>
      <c r="K1" s="128"/>
      <c r="L1" s="128"/>
      <c r="M1" s="128"/>
      <c r="N1" s="129"/>
    </row>
    <row r="2" spans="2:14" ht="15" customHeight="1" x14ac:dyDescent="0.3">
      <c r="B2" s="130"/>
      <c r="C2" s="131"/>
      <c r="D2" s="131"/>
      <c r="E2" s="131"/>
      <c r="F2" s="131"/>
      <c r="G2" s="131"/>
      <c r="H2" s="131"/>
      <c r="I2" s="131"/>
      <c r="J2" s="131"/>
      <c r="K2" s="131"/>
      <c r="L2" s="131"/>
      <c r="M2" s="131"/>
      <c r="N2" s="132"/>
    </row>
    <row r="3" spans="2:14" ht="21" customHeight="1" x14ac:dyDescent="0.3">
      <c r="B3" s="133"/>
      <c r="C3" s="134"/>
      <c r="D3" s="134"/>
      <c r="E3" s="134"/>
      <c r="F3" s="134"/>
      <c r="G3" s="134"/>
      <c r="H3" s="134"/>
      <c r="I3" s="134"/>
      <c r="J3" s="134"/>
      <c r="K3" s="134"/>
      <c r="L3" s="134"/>
      <c r="M3" s="134"/>
      <c r="N3" s="135"/>
    </row>
    <row r="4" spans="2:14" ht="21" customHeight="1" x14ac:dyDescent="0.3">
      <c r="B4" s="2"/>
      <c r="C4" s="2"/>
      <c r="D4" s="2"/>
      <c r="E4" s="2"/>
      <c r="F4" s="2"/>
      <c r="G4" s="2"/>
      <c r="H4" s="2"/>
      <c r="I4" s="2"/>
      <c r="J4" s="2"/>
      <c r="K4" s="2"/>
      <c r="L4" s="2"/>
      <c r="M4" s="2"/>
      <c r="N4" s="2"/>
    </row>
    <row r="5" spans="2:14" ht="21" customHeight="1" x14ac:dyDescent="0.3">
      <c r="B5" s="3" t="s">
        <v>79</v>
      </c>
      <c r="C5" s="2"/>
      <c r="D5" s="2"/>
      <c r="E5" s="4" t="s">
        <v>80</v>
      </c>
      <c r="F5" s="2"/>
      <c r="G5" s="2"/>
      <c r="H5" s="2"/>
      <c r="I5" s="2"/>
      <c r="J5" s="2"/>
      <c r="K5" s="2"/>
      <c r="L5" s="2"/>
      <c r="M5" s="2"/>
      <c r="N5" s="2"/>
    </row>
    <row r="6" spans="2:14" ht="21" customHeight="1" x14ac:dyDescent="0.3">
      <c r="B6" s="136" t="s">
        <v>443</v>
      </c>
      <c r="C6" s="137"/>
      <c r="D6" s="2"/>
      <c r="E6" s="138"/>
      <c r="F6" s="139"/>
      <c r="G6" s="2"/>
      <c r="H6" s="2"/>
      <c r="I6" s="2"/>
      <c r="J6" s="2"/>
      <c r="K6" s="2"/>
      <c r="L6" s="2"/>
      <c r="M6" s="2"/>
      <c r="N6" s="2"/>
    </row>
    <row r="7" spans="2:14" ht="21" customHeight="1" x14ac:dyDescent="0.3">
      <c r="B7" s="140"/>
      <c r="C7" s="141"/>
      <c r="D7" s="2"/>
      <c r="E7" s="123"/>
      <c r="F7" s="124"/>
      <c r="G7" s="2"/>
      <c r="H7" s="2"/>
      <c r="I7" s="2"/>
      <c r="J7" s="2"/>
      <c r="K7" s="2"/>
      <c r="L7" s="2"/>
      <c r="M7" s="2"/>
      <c r="N7" s="2"/>
    </row>
    <row r="8" spans="2:14" ht="21" customHeight="1" x14ac:dyDescent="0.3">
      <c r="B8" s="125"/>
      <c r="C8" s="126"/>
      <c r="D8" s="2"/>
      <c r="E8" s="2"/>
      <c r="F8" s="2"/>
      <c r="G8" s="2"/>
      <c r="H8" s="2"/>
      <c r="I8" s="2"/>
      <c r="J8" s="2"/>
      <c r="K8" s="2"/>
      <c r="L8" s="2"/>
      <c r="M8" s="2"/>
      <c r="N8" s="2"/>
    </row>
    <row r="9" spans="2:14" ht="21" customHeight="1" x14ac:dyDescent="0.3">
      <c r="B9" s="3" t="s">
        <v>81</v>
      </c>
      <c r="C9" s="2"/>
      <c r="D9" s="2"/>
      <c r="E9" s="5" t="s">
        <v>82</v>
      </c>
      <c r="F9" s="2"/>
      <c r="G9" s="2"/>
      <c r="H9" s="2"/>
      <c r="I9" s="2"/>
      <c r="J9" s="2"/>
      <c r="K9" s="2"/>
      <c r="L9" s="2"/>
      <c r="M9" s="2"/>
      <c r="N9" s="2"/>
    </row>
    <row r="10" spans="2:14" ht="21" customHeight="1" x14ac:dyDescent="0.3">
      <c r="B10" s="113" t="s">
        <v>335</v>
      </c>
      <c r="C10" s="114"/>
      <c r="D10" s="2"/>
      <c r="E10" s="115">
        <v>8135550142001</v>
      </c>
      <c r="F10" s="116"/>
      <c r="G10" s="2"/>
      <c r="H10" s="2"/>
      <c r="I10" s="2"/>
      <c r="J10" s="2"/>
      <c r="K10" s="2"/>
      <c r="L10" s="2"/>
      <c r="M10" s="2"/>
      <c r="N10" s="2"/>
    </row>
    <row r="11" spans="2:14" ht="21" customHeight="1" x14ac:dyDescent="0.3">
      <c r="B11" s="117"/>
      <c r="C11" s="118"/>
      <c r="D11" s="2"/>
      <c r="E11" s="119"/>
      <c r="F11" s="120"/>
      <c r="G11" s="2"/>
      <c r="H11" s="2"/>
      <c r="I11" s="2"/>
      <c r="J11" s="2"/>
      <c r="K11" s="2"/>
      <c r="L11" s="2"/>
      <c r="M11" s="2"/>
      <c r="N11" s="2"/>
    </row>
    <row r="12" spans="2:14" ht="21" customHeight="1" x14ac:dyDescent="0.3">
      <c r="B12" s="121"/>
      <c r="C12" s="122"/>
      <c r="D12" s="2"/>
      <c r="E12" s="123"/>
      <c r="F12" s="124"/>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83</v>
      </c>
      <c r="C14" s="2"/>
      <c r="D14" s="2"/>
      <c r="E14" s="2"/>
      <c r="F14" s="2"/>
      <c r="G14" s="2"/>
      <c r="H14" s="2"/>
      <c r="I14" s="2"/>
      <c r="J14" s="2"/>
      <c r="K14" s="2"/>
      <c r="L14" s="2"/>
      <c r="M14" s="2"/>
      <c r="N14" s="2"/>
    </row>
    <row r="15" spans="2:14" ht="18" x14ac:dyDescent="0.3">
      <c r="B15" s="6"/>
      <c r="C15" s="7" t="s">
        <v>84</v>
      </c>
      <c r="D15" s="7" t="s">
        <v>85</v>
      </c>
      <c r="E15" s="7" t="s">
        <v>48</v>
      </c>
      <c r="F15" s="7"/>
      <c r="G15" s="8"/>
      <c r="H15" s="8"/>
      <c r="I15" s="8"/>
      <c r="J15" s="8"/>
      <c r="K15" s="8"/>
      <c r="L15" s="8"/>
      <c r="M15" s="8"/>
      <c r="N15" s="8"/>
    </row>
    <row r="16" spans="2:14" ht="21" customHeight="1" x14ac:dyDescent="0.3">
      <c r="B16" s="5"/>
      <c r="C16" t="s">
        <v>444</v>
      </c>
      <c r="D16" t="s">
        <v>445</v>
      </c>
      <c r="E16" t="s">
        <v>446</v>
      </c>
      <c r="F16" s="2"/>
      <c r="G16" s="2"/>
      <c r="H16" s="2"/>
      <c r="I16" s="2"/>
      <c r="J16" s="2"/>
      <c r="K16" s="2"/>
      <c r="L16" s="2"/>
      <c r="M16" s="2"/>
      <c r="N16" s="2"/>
    </row>
    <row r="17" spans="2:14" ht="21" customHeight="1" x14ac:dyDescent="0.3">
      <c r="B17" s="2"/>
      <c r="F17" s="2"/>
      <c r="G17" s="2"/>
      <c r="H17" s="2"/>
      <c r="I17" s="2"/>
      <c r="J17" s="2"/>
      <c r="K17" s="2"/>
      <c r="L17" s="2"/>
      <c r="M17" s="2"/>
      <c r="N17" s="2"/>
    </row>
    <row r="18" spans="2:14" ht="21" customHeight="1" x14ac:dyDescent="0.3">
      <c r="B18" s="2"/>
      <c r="F18" s="2"/>
      <c r="G18" s="2"/>
      <c r="H18" s="2"/>
      <c r="I18" s="2"/>
      <c r="J18" s="2"/>
      <c r="K18" s="2"/>
      <c r="L18" s="2"/>
      <c r="M18" s="2"/>
      <c r="N18" s="2"/>
    </row>
    <row r="19" spans="2:14" ht="21" customHeight="1" x14ac:dyDescent="0.3">
      <c r="B19" s="2"/>
      <c r="F19" s="2"/>
      <c r="G19" s="2"/>
      <c r="H19" s="2"/>
      <c r="I19" s="2"/>
      <c r="J19" s="2"/>
      <c r="K19" s="2"/>
      <c r="L19" s="2"/>
      <c r="M19" s="2"/>
      <c r="N19" s="2"/>
    </row>
    <row r="20" spans="2:14" ht="14.4" x14ac:dyDescent="0.3"/>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86</v>
      </c>
      <c r="D23" s="15"/>
      <c r="N23" s="16"/>
    </row>
    <row r="24" spans="2:14" ht="15" thickBot="1" x14ac:dyDescent="0.35">
      <c r="B24" s="13"/>
      <c r="C24" s="15"/>
      <c r="D24" s="15"/>
      <c r="N24" s="16"/>
    </row>
    <row r="25" spans="2:14" ht="15" thickBot="1" x14ac:dyDescent="0.35">
      <c r="B25" s="13"/>
      <c r="C25" s="17" t="s">
        <v>87</v>
      </c>
      <c r="D25" s="17"/>
      <c r="E25" s="18">
        <v>37150</v>
      </c>
      <c r="F25" s="17"/>
      <c r="G25" s="17"/>
      <c r="H25" s="17"/>
      <c r="I25" s="17"/>
      <c r="J25" s="17"/>
      <c r="K25" s="17"/>
      <c r="L25" s="17"/>
      <c r="M25" s="17"/>
      <c r="N25" s="19"/>
    </row>
    <row r="26" spans="2:14" ht="15.75" customHeight="1" thickBot="1" x14ac:dyDescent="0.35">
      <c r="B26" s="13"/>
      <c r="C26" s="20" t="s">
        <v>88</v>
      </c>
      <c r="D26" s="17"/>
      <c r="E26" s="17"/>
      <c r="F26" s="17"/>
      <c r="G26" s="21" t="s">
        <v>89</v>
      </c>
      <c r="H26" s="1">
        <v>46100</v>
      </c>
      <c r="I26" s="21" t="s">
        <v>90</v>
      </c>
      <c r="J26" s="1">
        <v>46227</v>
      </c>
      <c r="M26" s="17"/>
      <c r="N26" s="19"/>
    </row>
    <row r="27" spans="2:14" ht="15.75" customHeight="1" thickBot="1" x14ac:dyDescent="0.35">
      <c r="B27" s="13"/>
      <c r="C27" s="20" t="s">
        <v>91</v>
      </c>
      <c r="D27" s="20"/>
      <c r="E27" s="20"/>
      <c r="F27" s="57"/>
      <c r="G27" s="20"/>
      <c r="H27" s="20"/>
      <c r="I27" s="20"/>
      <c r="J27" s="17"/>
      <c r="K27" s="17"/>
      <c r="L27" s="17"/>
      <c r="M27" s="17"/>
      <c r="N27" s="19"/>
    </row>
    <row r="28" spans="2:14" ht="14.4" x14ac:dyDescent="0.3">
      <c r="B28" s="13"/>
      <c r="C28" s="22"/>
      <c r="D28" s="22"/>
      <c r="E28" s="22"/>
      <c r="F28" s="22"/>
      <c r="G28" s="22"/>
      <c r="H28" s="22"/>
      <c r="I28" s="22"/>
      <c r="J28" s="22"/>
      <c r="K28" s="22"/>
      <c r="L28" s="22"/>
      <c r="M28" s="22"/>
      <c r="N28" s="23"/>
    </row>
    <row r="29" spans="2:14" ht="15" thickBot="1" x14ac:dyDescent="0.35">
      <c r="B29" s="13"/>
      <c r="C29" s="24"/>
      <c r="D29" s="24"/>
      <c r="E29" s="24"/>
      <c r="F29" s="24"/>
      <c r="G29" s="24"/>
      <c r="H29" s="24"/>
      <c r="I29" s="24"/>
      <c r="J29" s="24"/>
      <c r="K29" s="24"/>
      <c r="L29" s="24"/>
      <c r="M29" s="24"/>
      <c r="N29" s="16"/>
    </row>
    <row r="30" spans="2:14" ht="15" x14ac:dyDescent="0.3">
      <c r="B30" s="13"/>
      <c r="C30" s="14" t="s">
        <v>92</v>
      </c>
      <c r="D30" s="15"/>
      <c r="N30" s="16"/>
    </row>
    <row r="31" spans="2:14" ht="14.4" x14ac:dyDescent="0.3">
      <c r="B31" s="13"/>
      <c r="N31" s="16"/>
    </row>
    <row r="32" spans="2:14" ht="14.4" x14ac:dyDescent="0.3">
      <c r="B32" s="13"/>
      <c r="C32" s="15" t="s">
        <v>93</v>
      </c>
      <c r="E32" s="15"/>
      <c r="H32" s="15" t="s">
        <v>94</v>
      </c>
      <c r="L32" s="15"/>
      <c r="N32" s="16"/>
    </row>
    <row r="33" spans="2:14" ht="15" thickBot="1" x14ac:dyDescent="0.35">
      <c r="B33" s="13"/>
      <c r="C33" s="15" t="s">
        <v>95</v>
      </c>
      <c r="E33" s="15"/>
      <c r="H33" s="15" t="s">
        <v>96</v>
      </c>
      <c r="L33" s="105"/>
      <c r="M33" s="105"/>
      <c r="N33" s="16"/>
    </row>
    <row r="34" spans="2:14" ht="15" thickBot="1" x14ac:dyDescent="0.35">
      <c r="B34" s="13"/>
      <c r="C34" s="15" t="s">
        <v>97</v>
      </c>
      <c r="E34" s="15"/>
      <c r="H34" s="15" t="s">
        <v>98</v>
      </c>
      <c r="I34" s="106"/>
      <c r="J34" s="107"/>
      <c r="N34" s="16"/>
    </row>
    <row r="35" spans="2:14" ht="15" thickBot="1" x14ac:dyDescent="0.35">
      <c r="B35" s="13"/>
      <c r="C35" s="24"/>
      <c r="N35" s="16"/>
    </row>
    <row r="36" spans="2:14" ht="15" x14ac:dyDescent="0.3">
      <c r="B36" s="26"/>
      <c r="C36" s="14" t="s">
        <v>99</v>
      </c>
      <c r="D36" s="27"/>
      <c r="E36" s="27"/>
      <c r="F36" s="27"/>
      <c r="G36" s="27"/>
      <c r="H36" s="27"/>
      <c r="I36" s="27"/>
      <c r="J36" s="27"/>
      <c r="K36" s="27"/>
      <c r="L36" s="27"/>
      <c r="M36" s="27"/>
      <c r="N36" s="16"/>
    </row>
    <row r="37" spans="2:14" ht="14.4" x14ac:dyDescent="0.3">
      <c r="B37" s="13"/>
      <c r="N37" s="16"/>
    </row>
    <row r="38" spans="2:14" ht="15" customHeight="1" x14ac:dyDescent="0.3">
      <c r="B38" s="13"/>
      <c r="C38" s="15" t="s">
        <v>100</v>
      </c>
      <c r="F38" s="15" t="s">
        <v>101</v>
      </c>
      <c r="H38" s="15"/>
      <c r="N38" s="16"/>
    </row>
    <row r="39" spans="2:14" ht="14.4" x14ac:dyDescent="0.3">
      <c r="B39" s="13"/>
      <c r="C39" s="15" t="s">
        <v>102</v>
      </c>
      <c r="F39" s="15" t="s">
        <v>103</v>
      </c>
      <c r="H39" s="15"/>
      <c r="N39" s="16"/>
    </row>
    <row r="40" spans="2:14" ht="14.4" x14ac:dyDescent="0.3">
      <c r="B40" s="13"/>
      <c r="C40" s="15" t="s">
        <v>104</v>
      </c>
      <c r="F40" s="15" t="s">
        <v>105</v>
      </c>
      <c r="H40" s="15"/>
      <c r="N40" s="16"/>
    </row>
    <row r="41" spans="2:14" ht="14.4" x14ac:dyDescent="0.3">
      <c r="B41" s="13"/>
      <c r="C41" s="15" t="s">
        <v>106</v>
      </c>
      <c r="F41" s="15" t="s">
        <v>107</v>
      </c>
      <c r="H41" s="15"/>
      <c r="I41" s="108"/>
      <c r="J41" s="108"/>
      <c r="N41" s="16"/>
    </row>
    <row r="42" spans="2:14" ht="14.4" x14ac:dyDescent="0.3">
      <c r="B42" s="13"/>
      <c r="C42" s="15" t="s">
        <v>108</v>
      </c>
      <c r="F42" s="15" t="s">
        <v>109</v>
      </c>
      <c r="G42" s="15"/>
      <c r="N42" s="16"/>
    </row>
    <row r="43" spans="2:14" ht="15" thickBot="1" x14ac:dyDescent="0.35">
      <c r="B43" s="13"/>
      <c r="C43" s="15" t="s">
        <v>110</v>
      </c>
      <c r="F43" s="15" t="s">
        <v>111</v>
      </c>
      <c r="G43" s="15"/>
      <c r="N43" s="16"/>
    </row>
    <row r="44" spans="2:14" ht="15" thickBot="1" x14ac:dyDescent="0.35">
      <c r="B44" s="13"/>
      <c r="C44" s="15" t="s">
        <v>112</v>
      </c>
      <c r="D44" s="15"/>
      <c r="E44" s="15"/>
      <c r="F44" s="15" t="s">
        <v>98</v>
      </c>
      <c r="G44" s="109"/>
      <c r="H44" s="110"/>
      <c r="N44" s="16"/>
    </row>
    <row r="45" spans="2:14" ht="15.6" thickBot="1" x14ac:dyDescent="0.35">
      <c r="B45" s="13"/>
      <c r="C45" s="14"/>
      <c r="D45" s="15"/>
      <c r="E45" s="15"/>
      <c r="F45" s="15"/>
      <c r="G45" s="25"/>
      <c r="H45" s="25"/>
      <c r="N45" s="16"/>
    </row>
    <row r="46" spans="2:14" ht="15" x14ac:dyDescent="0.3">
      <c r="B46" s="26"/>
      <c r="C46" s="28" t="s">
        <v>113</v>
      </c>
      <c r="D46" s="27"/>
      <c r="E46" s="27"/>
      <c r="F46" s="27"/>
      <c r="G46" s="27"/>
      <c r="H46" s="27"/>
      <c r="I46" s="27"/>
      <c r="J46" s="27"/>
      <c r="K46" s="27"/>
      <c r="L46" s="27"/>
      <c r="M46" s="27"/>
      <c r="N46" s="16"/>
    </row>
    <row r="47" spans="2:14" ht="14.4" x14ac:dyDescent="0.3">
      <c r="B47" s="13"/>
      <c r="N47" s="16"/>
    </row>
    <row r="48" spans="2:14" ht="14.4" x14ac:dyDescent="0.3">
      <c r="B48" s="13"/>
      <c r="C48" s="15" t="s">
        <v>114</v>
      </c>
      <c r="E48" s="15" t="s">
        <v>115</v>
      </c>
      <c r="H48" s="15" t="s">
        <v>116</v>
      </c>
      <c r="N48" s="16"/>
    </row>
    <row r="49" spans="2:14" ht="14.4" x14ac:dyDescent="0.3">
      <c r="B49" s="13"/>
      <c r="C49" s="15" t="s">
        <v>117</v>
      </c>
      <c r="E49" s="15" t="s">
        <v>118</v>
      </c>
      <c r="H49" s="15" t="s">
        <v>119</v>
      </c>
      <c r="N49" s="16"/>
    </row>
    <row r="50" spans="2:14" ht="15" thickBot="1" x14ac:dyDescent="0.35">
      <c r="B50" s="13"/>
      <c r="C50" s="15" t="s">
        <v>120</v>
      </c>
      <c r="E50" s="15" t="s">
        <v>121</v>
      </c>
      <c r="H50" s="15" t="s">
        <v>122</v>
      </c>
      <c r="N50" s="16"/>
    </row>
    <row r="51" spans="2:14" ht="15" thickBot="1" x14ac:dyDescent="0.35">
      <c r="B51" s="13"/>
      <c r="C51" s="15" t="s">
        <v>123</v>
      </c>
      <c r="E51" s="15" t="s">
        <v>124</v>
      </c>
      <c r="H51" s="15" t="s">
        <v>125</v>
      </c>
      <c r="I51" s="111"/>
      <c r="J51" s="112"/>
      <c r="N51" s="16"/>
    </row>
    <row r="52" spans="2:14" ht="14.4" x14ac:dyDescent="0.3">
      <c r="B52" s="13"/>
      <c r="C52" s="15" t="s">
        <v>126</v>
      </c>
      <c r="E52" s="15" t="s">
        <v>127</v>
      </c>
      <c r="G52" s="15"/>
      <c r="N52" s="16"/>
    </row>
    <row r="53" spans="2:14" ht="14.4" x14ac:dyDescent="0.3">
      <c r="B53" s="13"/>
      <c r="C53" s="15" t="s">
        <v>128</v>
      </c>
      <c r="E53" s="15" t="s">
        <v>129</v>
      </c>
      <c r="G53" s="15"/>
      <c r="N53" s="16"/>
    </row>
    <row r="54" spans="2:14" ht="14.4" x14ac:dyDescent="0.3">
      <c r="B54" s="13"/>
      <c r="C54" s="15" t="s">
        <v>130</v>
      </c>
      <c r="D54" s="15"/>
      <c r="E54" s="15"/>
      <c r="G54" s="15"/>
      <c r="N54" s="16"/>
    </row>
    <row r="55" spans="2:14" ht="14.4" x14ac:dyDescent="0.3">
      <c r="B55" s="13"/>
      <c r="C55" s="15" t="s">
        <v>131</v>
      </c>
      <c r="N55" s="16"/>
    </row>
    <row r="56" spans="2:14" ht="14.4" x14ac:dyDescent="0.3">
      <c r="B56" s="13"/>
      <c r="C56" s="15" t="s">
        <v>132</v>
      </c>
      <c r="N56" s="16"/>
    </row>
    <row r="57" spans="2:14" ht="14.4" x14ac:dyDescent="0.3">
      <c r="B57" s="13"/>
      <c r="C57" s="15" t="s">
        <v>133</v>
      </c>
      <c r="D57" s="29"/>
      <c r="N57" s="16"/>
    </row>
    <row r="58" spans="2:14" ht="15" thickBot="1" x14ac:dyDescent="0.35">
      <c r="B58" s="13"/>
      <c r="C58" s="24"/>
      <c r="D58" s="24"/>
      <c r="E58" s="24"/>
      <c r="F58" s="24"/>
      <c r="G58" s="24"/>
      <c r="H58" s="24"/>
      <c r="I58" s="24"/>
      <c r="J58" s="24"/>
      <c r="K58" s="24"/>
      <c r="L58" s="24"/>
      <c r="M58" s="24"/>
      <c r="N58" s="16"/>
    </row>
    <row r="59" spans="2:14" ht="15" x14ac:dyDescent="0.3">
      <c r="B59" s="13"/>
      <c r="C59" s="14" t="s">
        <v>134</v>
      </c>
      <c r="D59" s="30"/>
      <c r="N59" s="16"/>
    </row>
    <row r="60" spans="2:14" ht="14.4" x14ac:dyDescent="0.3">
      <c r="B60" s="13"/>
      <c r="C60" s="31"/>
      <c r="D60" s="30"/>
      <c r="N60" s="16"/>
    </row>
    <row r="61" spans="2:14" ht="14.4" x14ac:dyDescent="0.3">
      <c r="B61" s="13"/>
      <c r="C61" s="15" t="s">
        <v>135</v>
      </c>
      <c r="E61" s="15" t="s">
        <v>136</v>
      </c>
      <c r="H61" s="15" t="s">
        <v>137</v>
      </c>
      <c r="N61" s="16"/>
    </row>
    <row r="62" spans="2:14" ht="14.4" x14ac:dyDescent="0.3">
      <c r="B62" s="13"/>
      <c r="C62" s="15" t="s">
        <v>138</v>
      </c>
      <c r="E62" s="15" t="s">
        <v>139</v>
      </c>
      <c r="H62" s="15" t="s">
        <v>140</v>
      </c>
      <c r="N62" s="16"/>
    </row>
    <row r="63" spans="2:14" ht="14.4" x14ac:dyDescent="0.3">
      <c r="B63" s="13"/>
      <c r="C63" s="15" t="s">
        <v>141</v>
      </c>
      <c r="E63" s="15" t="s">
        <v>142</v>
      </c>
      <c r="H63" s="15" t="s">
        <v>143</v>
      </c>
      <c r="N63" s="16"/>
    </row>
    <row r="64" spans="2:14" ht="14.4" x14ac:dyDescent="0.3">
      <c r="B64" s="13"/>
      <c r="C64" s="15" t="s">
        <v>144</v>
      </c>
      <c r="E64" s="15" t="s">
        <v>145</v>
      </c>
      <c r="H64" s="15" t="s">
        <v>146</v>
      </c>
      <c r="N64" s="16"/>
    </row>
    <row r="65" spans="2:14" ht="15" thickBot="1" x14ac:dyDescent="0.35">
      <c r="B65" s="13"/>
      <c r="C65" s="15" t="s">
        <v>147</v>
      </c>
      <c r="E65" s="15" t="s">
        <v>148</v>
      </c>
      <c r="H65" s="15" t="s">
        <v>149</v>
      </c>
      <c r="N65" s="16"/>
    </row>
    <row r="66" spans="2:14" ht="15" thickBot="1" x14ac:dyDescent="0.35">
      <c r="B66" s="13"/>
      <c r="C66" s="15" t="s">
        <v>150</v>
      </c>
      <c r="E66" s="15" t="s">
        <v>151</v>
      </c>
      <c r="H66" s="111"/>
      <c r="I66" s="112"/>
      <c r="N66" s="16"/>
    </row>
    <row r="67" spans="2:14" ht="14.4" x14ac:dyDescent="0.3">
      <c r="B67" s="13"/>
      <c r="C67" s="15" t="s">
        <v>152</v>
      </c>
      <c r="E67" s="15" t="s">
        <v>153</v>
      </c>
      <c r="N67" s="16"/>
    </row>
    <row r="68" spans="2:14" ht="14.4" x14ac:dyDescent="0.3">
      <c r="B68" s="13"/>
      <c r="C68" s="15" t="s">
        <v>154</v>
      </c>
      <c r="E68" s="15" t="s">
        <v>155</v>
      </c>
      <c r="N68" s="16"/>
    </row>
    <row r="69" spans="2:14" ht="14.4" x14ac:dyDescent="0.3">
      <c r="B69" s="13"/>
      <c r="D69" s="31"/>
      <c r="N69" s="16"/>
    </row>
    <row r="70" spans="2:14" ht="15" thickBot="1" x14ac:dyDescent="0.35">
      <c r="B70" s="13"/>
      <c r="C70" s="24"/>
      <c r="D70" s="24"/>
      <c r="E70" s="24"/>
      <c r="F70" s="24"/>
      <c r="G70" s="24"/>
      <c r="H70" s="24"/>
      <c r="I70" s="24"/>
      <c r="J70" s="24"/>
      <c r="K70" s="24"/>
      <c r="L70" s="24"/>
      <c r="M70" s="24"/>
      <c r="N70" s="16"/>
    </row>
    <row r="71" spans="2:14" ht="15" x14ac:dyDescent="0.3">
      <c r="B71" s="13"/>
      <c r="C71" s="14" t="s">
        <v>156</v>
      </c>
      <c r="D71" s="30"/>
      <c r="N71" s="16"/>
    </row>
    <row r="72" spans="2:14" ht="14.4" x14ac:dyDescent="0.3">
      <c r="B72" s="13"/>
      <c r="C72" s="31"/>
      <c r="D72" s="31"/>
      <c r="N72" s="16"/>
    </row>
    <row r="73" spans="2:14" s="33" customFormat="1" ht="14.4" x14ac:dyDescent="0.3">
      <c r="B73" s="32"/>
      <c r="C73" s="15" t="s">
        <v>157</v>
      </c>
      <c r="D73"/>
      <c r="E73" s="15" t="s">
        <v>158</v>
      </c>
      <c r="G73"/>
      <c r="H73" s="15" t="s">
        <v>159</v>
      </c>
      <c r="N73" s="34"/>
    </row>
    <row r="74" spans="2:14" s="33" customFormat="1" ht="14.4" x14ac:dyDescent="0.3">
      <c r="B74" s="32"/>
      <c r="C74" s="15" t="s">
        <v>160</v>
      </c>
      <c r="D74"/>
      <c r="E74" s="15" t="s">
        <v>161</v>
      </c>
      <c r="G74"/>
      <c r="H74" s="15" t="s">
        <v>162</v>
      </c>
      <c r="N74" s="34"/>
    </row>
    <row r="75" spans="2:14" s="33" customFormat="1" ht="14.4" x14ac:dyDescent="0.3">
      <c r="B75" s="13"/>
      <c r="C75" s="15" t="s">
        <v>163</v>
      </c>
      <c r="D75"/>
      <c r="E75" s="15" t="s">
        <v>164</v>
      </c>
      <c r="G75"/>
      <c r="H75" s="15" t="s">
        <v>165</v>
      </c>
      <c r="N75" s="34"/>
    </row>
    <row r="76" spans="2:14" s="33" customFormat="1" ht="14.4" x14ac:dyDescent="0.3">
      <c r="B76" s="32"/>
      <c r="G76"/>
      <c r="H76" s="15" t="s">
        <v>125</v>
      </c>
      <c r="N76" s="34"/>
    </row>
    <row r="77" spans="2:14" ht="15" thickBot="1" x14ac:dyDescent="0.35">
      <c r="B77" s="13"/>
      <c r="C77" s="24"/>
      <c r="D77" s="35"/>
      <c r="E77" s="24"/>
      <c r="F77" s="24"/>
      <c r="G77" s="24"/>
      <c r="H77" s="24"/>
      <c r="I77" s="24"/>
      <c r="J77" s="24"/>
      <c r="K77" s="24"/>
      <c r="L77" s="24"/>
      <c r="M77" s="24"/>
      <c r="N77" s="16"/>
    </row>
    <row r="78" spans="2:14" ht="14.4" x14ac:dyDescent="0.3">
      <c r="B78" s="13"/>
      <c r="D78" s="31"/>
      <c r="N78" s="16"/>
    </row>
    <row r="79" spans="2:14" ht="14.4" x14ac:dyDescent="0.3">
      <c r="B79" s="36"/>
      <c r="C79" s="37"/>
      <c r="D79" s="38"/>
      <c r="E79" s="37"/>
      <c r="F79" s="37"/>
      <c r="G79" s="37"/>
      <c r="H79" s="37"/>
      <c r="I79" s="37"/>
      <c r="J79" s="37"/>
      <c r="K79" s="37"/>
      <c r="L79" s="37"/>
      <c r="M79" s="37"/>
      <c r="N79" s="39"/>
    </row>
    <row r="80" spans="2:14" ht="14.4" x14ac:dyDescent="0.3">
      <c r="D80" s="31"/>
    </row>
    <row r="81" spans="3:4" ht="14.4" hidden="1" x14ac:dyDescent="0.3">
      <c r="D81" s="31"/>
    </row>
    <row r="82" spans="3:4" ht="14.4" hidden="1" x14ac:dyDescent="0.3">
      <c r="D82" s="31"/>
    </row>
    <row r="83" spans="3:4" ht="14.4" hidden="1" x14ac:dyDescent="0.3">
      <c r="C83" s="31"/>
      <c r="D83" s="31"/>
    </row>
  </sheetData>
  <mergeCells count="18">
    <mergeCell ref="B8:C8"/>
    <mergeCell ref="B1:N3"/>
    <mergeCell ref="B6:C6"/>
    <mergeCell ref="E6:F6"/>
    <mergeCell ref="B7:C7"/>
    <mergeCell ref="E7:F7"/>
    <mergeCell ref="H66:I66"/>
    <mergeCell ref="B10:C10"/>
    <mergeCell ref="E10:F10"/>
    <mergeCell ref="B11:C11"/>
    <mergeCell ref="E11:F11"/>
    <mergeCell ref="B12:C12"/>
    <mergeCell ref="E12:F12"/>
    <mergeCell ref="L33:M33"/>
    <mergeCell ref="I34:J34"/>
    <mergeCell ref="I41:J41"/>
    <mergeCell ref="G44:H44"/>
    <mergeCell ref="I51:J5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2308860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2308860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2308860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2308860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2308860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opLeftCell="A4" workbookViewId="0">
      <selection activeCell="E31" sqref="E31"/>
    </sheetView>
  </sheetViews>
  <sheetFormatPr defaultColWidth="8.77734375" defaultRowHeight="14.4" x14ac:dyDescent="0.3"/>
  <cols>
    <col min="1" max="1" width="10" customWidth="1"/>
    <col min="2" max="2" width="8.109375" customWidth="1"/>
    <col min="3" max="3" width="80.77734375" customWidth="1"/>
  </cols>
  <sheetData>
    <row r="1" spans="1:3" ht="31.95" customHeight="1" x14ac:dyDescent="0.3">
      <c r="A1" s="144" t="s">
        <v>209</v>
      </c>
      <c r="B1" s="144"/>
      <c r="C1" s="144"/>
    </row>
    <row r="2" spans="1:3" ht="24" customHeight="1" x14ac:dyDescent="0.3">
      <c r="A2" s="145" t="s">
        <v>208</v>
      </c>
      <c r="B2" s="145"/>
      <c r="C2" s="145"/>
    </row>
    <row r="3" spans="1:3" x14ac:dyDescent="0.3">
      <c r="A3" s="78"/>
      <c r="B3" s="78"/>
      <c r="C3" s="78"/>
    </row>
    <row r="4" spans="1:3" ht="24" customHeight="1" x14ac:dyDescent="0.3">
      <c r="A4" s="79" t="s">
        <v>203</v>
      </c>
      <c r="B4" s="80" t="s">
        <v>204</v>
      </c>
      <c r="C4" s="80" t="s">
        <v>205</v>
      </c>
    </row>
    <row r="5" spans="1:3" ht="24" customHeight="1" x14ac:dyDescent="0.3">
      <c r="A5" s="142" t="s">
        <v>206</v>
      </c>
      <c r="B5" s="143"/>
      <c r="C5" s="143"/>
    </row>
    <row r="6" spans="1:3" ht="28.8" x14ac:dyDescent="0.3">
      <c r="A6" s="86"/>
      <c r="B6" s="81" t="s">
        <v>343</v>
      </c>
      <c r="C6" s="82" t="s">
        <v>447</v>
      </c>
    </row>
    <row r="7" spans="1:3" ht="43.2" x14ac:dyDescent="0.3">
      <c r="A7" s="86"/>
      <c r="B7" s="81" t="s">
        <v>344</v>
      </c>
      <c r="C7" s="82" t="s">
        <v>448</v>
      </c>
    </row>
    <row r="8" spans="1:3" ht="15.6" x14ac:dyDescent="0.3">
      <c r="A8" s="86"/>
      <c r="B8" s="81" t="s">
        <v>345</v>
      </c>
      <c r="C8" s="82" t="s">
        <v>449</v>
      </c>
    </row>
    <row r="9" spans="1:3" x14ac:dyDescent="0.3">
      <c r="A9" s="83"/>
      <c r="B9" s="84"/>
      <c r="C9" s="85"/>
    </row>
    <row r="10" spans="1:3" ht="24" customHeight="1" x14ac:dyDescent="0.3">
      <c r="A10" s="142" t="s">
        <v>450</v>
      </c>
      <c r="B10" s="143"/>
      <c r="C10" s="143"/>
    </row>
    <row r="11" spans="1:3" ht="28.8" x14ac:dyDescent="0.3">
      <c r="A11" s="86"/>
      <c r="B11" s="81" t="s">
        <v>343</v>
      </c>
      <c r="C11" s="82" t="s">
        <v>451</v>
      </c>
    </row>
    <row r="12" spans="1:3" ht="15.6" x14ac:dyDescent="0.3">
      <c r="A12" s="86"/>
      <c r="B12" s="81" t="s">
        <v>344</v>
      </c>
      <c r="C12" s="82" t="s">
        <v>452</v>
      </c>
    </row>
    <row r="13" spans="1:3" ht="15.6" x14ac:dyDescent="0.3">
      <c r="A13" s="86"/>
      <c r="B13" s="81" t="s">
        <v>345</v>
      </c>
      <c r="C13" s="82" t="s">
        <v>346</v>
      </c>
    </row>
    <row r="14" spans="1:3" x14ac:dyDescent="0.3">
      <c r="A14" s="83"/>
      <c r="B14" s="84"/>
      <c r="C14" s="85"/>
    </row>
    <row r="15" spans="1:3" ht="24" customHeight="1" x14ac:dyDescent="0.3">
      <c r="A15" s="142" t="s">
        <v>453</v>
      </c>
      <c r="B15" s="143"/>
      <c r="C15" s="143"/>
    </row>
    <row r="16" spans="1:3" ht="15.6" x14ac:dyDescent="0.3">
      <c r="A16" s="86"/>
      <c r="B16" s="81" t="s">
        <v>343</v>
      </c>
      <c r="C16" s="82" t="s">
        <v>454</v>
      </c>
    </row>
    <row r="17" spans="1:3" ht="28.8" x14ac:dyDescent="0.3">
      <c r="A17" s="86"/>
      <c r="B17" s="81" t="s">
        <v>344</v>
      </c>
      <c r="C17" s="82" t="s">
        <v>455</v>
      </c>
    </row>
    <row r="18" spans="1:3" ht="15.6" x14ac:dyDescent="0.3">
      <c r="A18" s="86"/>
      <c r="B18" s="81" t="s">
        <v>345</v>
      </c>
      <c r="C18" s="82" t="s">
        <v>347</v>
      </c>
    </row>
    <row r="19" spans="1:3" x14ac:dyDescent="0.3">
      <c r="A19" s="83"/>
      <c r="B19" s="84"/>
      <c r="C19" s="85"/>
    </row>
    <row r="20" spans="1:3" ht="24" customHeight="1" x14ac:dyDescent="0.3">
      <c r="A20" s="142" t="s">
        <v>456</v>
      </c>
      <c r="B20" s="143"/>
      <c r="C20" s="143"/>
    </row>
    <row r="21" spans="1:3" ht="15.6" x14ac:dyDescent="0.3">
      <c r="A21" s="86"/>
      <c r="B21" s="81" t="s">
        <v>343</v>
      </c>
      <c r="C21" s="82" t="s">
        <v>348</v>
      </c>
    </row>
    <row r="22" spans="1:3" ht="15.6" x14ac:dyDescent="0.3">
      <c r="A22" s="86"/>
      <c r="B22" s="81" t="s">
        <v>344</v>
      </c>
      <c r="C22" s="82" t="s">
        <v>457</v>
      </c>
    </row>
    <row r="23" spans="1:3" ht="43.2" x14ac:dyDescent="0.3">
      <c r="A23" s="86"/>
      <c r="B23" s="81" t="s">
        <v>345</v>
      </c>
      <c r="C23" s="82" t="s">
        <v>458</v>
      </c>
    </row>
    <row r="24" spans="1:3" x14ac:dyDescent="0.3">
      <c r="A24" s="83"/>
      <c r="B24" s="84"/>
      <c r="C24" s="85"/>
    </row>
    <row r="25" spans="1:3" ht="24" customHeight="1" x14ac:dyDescent="0.3">
      <c r="A25" s="142" t="s">
        <v>207</v>
      </c>
      <c r="B25" s="143"/>
      <c r="C25" s="143"/>
    </row>
    <row r="26" spans="1:3" ht="28.8" x14ac:dyDescent="0.3">
      <c r="A26" s="86"/>
      <c r="B26" s="81" t="s">
        <v>343</v>
      </c>
      <c r="C26" s="82" t="s">
        <v>459</v>
      </c>
    </row>
    <row r="27" spans="1:3" ht="15.6" x14ac:dyDescent="0.3">
      <c r="A27" s="86"/>
      <c r="B27" s="81" t="s">
        <v>344</v>
      </c>
      <c r="C27" s="82" t="s">
        <v>460</v>
      </c>
    </row>
    <row r="28" spans="1:3" ht="28.8" x14ac:dyDescent="0.3">
      <c r="A28" s="86"/>
      <c r="B28" s="81" t="s">
        <v>345</v>
      </c>
      <c r="C28" s="82" t="s">
        <v>461</v>
      </c>
    </row>
    <row r="29" spans="1:3" x14ac:dyDescent="0.3">
      <c r="A29" s="83"/>
      <c r="B29" s="84"/>
      <c r="C29" s="85"/>
    </row>
    <row r="30" spans="1:3" ht="24" customHeight="1" x14ac:dyDescent="0.3">
      <c r="A30" s="142" t="s">
        <v>462</v>
      </c>
      <c r="B30" s="143"/>
      <c r="C30" s="143"/>
    </row>
    <row r="31" spans="1:3" ht="15.6" x14ac:dyDescent="0.3">
      <c r="A31" s="86"/>
      <c r="B31" s="81" t="s">
        <v>343</v>
      </c>
      <c r="C31" s="87">
        <v>36700</v>
      </c>
    </row>
    <row r="32" spans="1:3" ht="15.6" x14ac:dyDescent="0.3">
      <c r="A32" s="86"/>
      <c r="B32" s="81" t="s">
        <v>344</v>
      </c>
      <c r="C32" s="87">
        <v>37150</v>
      </c>
    </row>
    <row r="33" spans="1:3" ht="15.6" x14ac:dyDescent="0.3">
      <c r="A33" s="86"/>
      <c r="B33" s="81" t="s">
        <v>345</v>
      </c>
      <c r="C33" s="87">
        <v>27779.51</v>
      </c>
    </row>
    <row r="34" spans="1:3" ht="15.6" x14ac:dyDescent="0.3">
      <c r="A34" s="86"/>
      <c r="B34" s="81" t="s">
        <v>349</v>
      </c>
      <c r="C34" s="87">
        <v>24101.98</v>
      </c>
    </row>
    <row r="35" spans="1:3" x14ac:dyDescent="0.3">
      <c r="A35" s="83"/>
      <c r="B35" s="84"/>
      <c r="C35" s="85"/>
    </row>
    <row r="36" spans="1:3" ht="24" customHeight="1" x14ac:dyDescent="0.3">
      <c r="A36" s="142" t="s">
        <v>463</v>
      </c>
      <c r="B36" s="143"/>
      <c r="C36" s="143"/>
    </row>
    <row r="37" spans="1:3" ht="15.6" x14ac:dyDescent="0.3">
      <c r="A37" s="86"/>
      <c r="B37" s="81" t="s">
        <v>343</v>
      </c>
      <c r="C37" s="82" t="s">
        <v>464</v>
      </c>
    </row>
    <row r="38" spans="1:3" ht="15.6" x14ac:dyDescent="0.3">
      <c r="A38" s="86"/>
      <c r="B38" s="81" t="s">
        <v>344</v>
      </c>
      <c r="C38" s="82" t="s">
        <v>465</v>
      </c>
    </row>
    <row r="39" spans="1:3" ht="15.6" x14ac:dyDescent="0.3">
      <c r="A39" s="86"/>
      <c r="B39" s="81" t="s">
        <v>345</v>
      </c>
      <c r="C39" s="82" t="s">
        <v>466</v>
      </c>
    </row>
    <row r="40" spans="1:3" ht="15.6" x14ac:dyDescent="0.3">
      <c r="A40" s="86"/>
      <c r="B40" s="81" t="s">
        <v>349</v>
      </c>
      <c r="C40" s="82" t="s">
        <v>467</v>
      </c>
    </row>
    <row r="41" spans="1:3" x14ac:dyDescent="0.3">
      <c r="A41" s="83"/>
      <c r="B41" s="84"/>
      <c r="C41" s="85"/>
    </row>
    <row r="42" spans="1:3" ht="24" customHeight="1" x14ac:dyDescent="0.3">
      <c r="A42" s="142" t="s">
        <v>468</v>
      </c>
      <c r="B42" s="143"/>
      <c r="C42" s="143"/>
    </row>
    <row r="43" spans="1:3" ht="15.6" x14ac:dyDescent="0.3">
      <c r="A43" s="86"/>
      <c r="B43" s="81" t="s">
        <v>343</v>
      </c>
      <c r="C43" s="82" t="s">
        <v>469</v>
      </c>
    </row>
    <row r="44" spans="1:3" ht="28.8" x14ac:dyDescent="0.3">
      <c r="A44" s="86"/>
      <c r="B44" s="81" t="s">
        <v>344</v>
      </c>
      <c r="C44" s="82" t="s">
        <v>470</v>
      </c>
    </row>
    <row r="45" spans="1:3" ht="15.6" x14ac:dyDescent="0.3">
      <c r="A45" s="86"/>
      <c r="B45" s="81" t="s">
        <v>345</v>
      </c>
      <c r="C45" s="82" t="s">
        <v>471</v>
      </c>
    </row>
    <row r="46" spans="1:3" ht="15.6" x14ac:dyDescent="0.3">
      <c r="A46" s="86"/>
      <c r="B46" s="81" t="s">
        <v>349</v>
      </c>
      <c r="C46" s="82" t="s">
        <v>472</v>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F8299337-0969-4273-B7F3-FEFA966D0CCA}">
  <ds:schemaRefs>
    <ds:schemaRef ds:uri="http://schemas.microsoft.com/sharepoint/v3/contenttype/forms"/>
  </ds:schemaRefs>
</ds:datastoreItem>
</file>

<file path=customXml/itemProps3.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2026-09-21T04:30:40Z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