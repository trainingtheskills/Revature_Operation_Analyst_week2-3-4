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16FBF9E5-1F38-AD43-B364-41141F5A0E9C}" xr6:coauthVersionLast="47" xr6:coauthVersionMax="47" xr10:uidLastSave="{00000000-0000-0000-0000-000000000000}"/>
  <bookViews>
    <workbookView xWindow="0" yWindow="0" windowWidth="28800" windowHeight="18000"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<sst xmlns="http://schemas.openxmlformats.org/spreadsheetml/2006/main" count="2012" uniqueCount="422">
  <si>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</si>
  <si>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</si>
  <si>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</si>
  <si>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</si>
  <si>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</si>
  <si>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</si>
  <si>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</si>
  <si>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</si>
  <si>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</si>
  <si>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</si>
  <si>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</si>
  <si>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</si>
  <si>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</si>
  <si>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</si>
  <si>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</si>
  <si>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</si>
  <si>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</si>
  <si>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</si>
  <si>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</si>
  <si>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</si>
  <si>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</si>
  <si>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</si>
  <si>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</si>
  <si>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</si>
  <si>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</si>
  <si>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</si>
  <si>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</si>
  <si>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</si>
  <si>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</si>
  <si>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</si>
  <si>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</si>
  <si>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</si>
  <si>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</si>
  <si>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</si>
  <si>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</si>
  <si>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</si>
  <si>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</si>
  <si>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</si>
  <si>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</si>
  <si>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</si>
  <si>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</si>
  <si>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</si>
  <si>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</si>
  <si>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</si>
  <si>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</si>
  <si>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</si>
  <si>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</si>
  <si>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</si>
  <si>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</si>
  <si>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</si>
  <si>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</si>
  <si>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</si>
  <si>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</si>
  <si>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</si>
  <si>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</si>
  <si>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</si>
  <si>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</si>
  <si>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</si>
  <si>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</si>
  <si>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</si>
  <si>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</si>
  <si>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</si>
  <si>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</si>
  <si>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</si>
  <si>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</si>
  <si>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</si>
  <si>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</si>
  <si>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</si>
  <si>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</si>
  <si>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</si>
  <si>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</si>
  <si>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</si>
  <si>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</si>
  <si>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</si>
  <si>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</si>
  <si>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</si>
  <si>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</si>
  <si>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</si>
  <si>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</si>
  <si>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</si>
  <si>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</si>
  <si>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</si>
  <si>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</si>
  <si>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</si>
  <si>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</si>
  <si>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</si>
  <si>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</si>
  <si>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</si>
  <si>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</si>
  <si>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</si>
  <si>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</si>
  <si>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</si>
  <si>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</si>
  <si>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</si>
  <si>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</si>
  <si>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</si>
  <si>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</si>
  <si>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</si>
  <si>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</si>
  <si>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</si>
  <si>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</si>
  <si>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</si>
  <si>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</si>
  <si>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</si>
  <si>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</si>
  <si>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</si>
  <si>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</si>
  <si>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</si>
  <si>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</si>
  <si>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</si>
  <si>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</si>
  <si>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</si>
  <si>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</si>
  <si>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</si>
  <si>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</si>
  <si>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</si>
  <si>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</si>
  <si>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</si>
  <si>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</si>
  <si>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</si>
  <si>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</si>
  <si>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</si>
  <si>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</si>
  <si>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</si>
  <si>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</si>
  <si>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</si>
  <si>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</si>
  <si>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</si>
  <si>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</si>
  <si>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</si>
  <si>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</si>
  <si>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</si>
  <si>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</si>
  <si>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</si>
  <si>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</si>
  <si>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</si>
  <si>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</si>
  <si>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</si>
  <si>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</si>
  <si>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</si>
  <si>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</si>
  <si>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</si>
  <si>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</si>
  <si>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</si>
  <si>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</si>
  <si>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</si>
  <si>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</si>
  <si>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</si>
  <si>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</si>
  <si>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</si>
  <si>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</si>
  <si>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</si>
  <si>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</si>
  <si>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</si>
  <si>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</si>
  <si>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</si>
  <si>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</si>
  <si>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</si>
  <si>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</si>
  <si>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</si>
  <si>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</si>
  <si>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</si>
  <si>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</si>
  <si>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</si>
  <si>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</si>
  <si>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</si>
  <si>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</si>
  <si>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</si>
  <si>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</si>
  <si>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</si>
  <si>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</si>
  <si>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</si>
  <si>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</si>
  <si>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</si>
  <si>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</si>
  <si>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</si>
  <si>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</si>
  <si>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</si>
  <si>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</si>
  <si>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</si>
  <si>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</si>
  <si>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</si>
  <si>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</si>
  <si>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</si>
  <si>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</si>
  <si>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</si>
  <si>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</si>
  <si>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</si>
  <si>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</si>
  <si>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</si>
  <si>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</si>
  <si>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</si>
  <si>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</si>
  <si>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</si>
  <si>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</si>
  <si>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Marcus Delgado</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</si>
  <si>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</si>
  <si>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</si>
  <si>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</si>
  <si>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</si>
  <si>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</si>
  <si>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</si>
  <si>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</si>
  <si>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</si>
  <si>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</si>
  <si>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</si>
  <si>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</si>
  <si>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</si>
  <si>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</si>
  <si>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</si>
  <si>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</si>
  <si>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</si>
  <si>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</si>
  <si>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</si>
  <si>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</si>
  <si>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</si>
  <si>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</si>
  <si>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</si>
  <si>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</si>
  <si>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</si>
  <si>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</si>
  <si>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</si>
  <si>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</si>
  <si>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</si>
  <si>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</si>
  <si>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</si>
  <si>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</si>
  <si>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</si>
  <si>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</si>
  <si>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</si>
  <si>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</si>
  <si>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</si>
  <si>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</si>
  <si>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</si>
  <si>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</si>
  <si>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</si>
  <si>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</si>
  <si>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</si>
  <si>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</si>
  <si>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</si>
  <si>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</si>
  <si>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</si>
  <si>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</si>
  <si>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</si>
  <si>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</si>
  <si>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</si>
  <si>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</si>
  <si>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</si>
  <si>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</si>
  <si>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</si>
  <si>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</si>
  <si>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</si>
  <si>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</si>
  <si>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</si>
  <si>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</si>
  <si>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</si>
  <si>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</si>
  <si>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</si>
  <si>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</si>
  <si>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</si>
  <si>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</si>
  <si>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</si>
  <si>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</si>
  <si>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</si>
  <si>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</si>
  <si>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</si>
  <si>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</si>
  <si>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</si>
  <si>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</si>
  <si>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</si>
  <si>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</si>
  <si>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</si>
  <si>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</si>
  <si>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</si>
  <si>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</si>
  <si>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</si>
  <si>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</si>
  <si>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</si>
  <si>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</si>
  <si>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</si>
  <si>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</si>
  <si>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</si>
  <si>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</si>
  <si>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</si>
  <si>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</si>
  <si>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</si>
  <si>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</si>
  <si>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</si>
  <si>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</si>
  <si>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</si>
  <si>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</si>
  <si>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</si>
  <si>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</si>
  <si>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</si>
  <si>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</si>
  <si>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</si>
  <si>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</si>
  <si>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</si>
  <si>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</si>
  <si>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</si>
  <si>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</si>
  <si>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</si>
  <si>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</si>
  <si>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</si>
  <si>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</si>
  <si>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</si>
  <si>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</si>
  <si>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</si>
  <si>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</si>
  <si>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</si>
  <si>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</si>
  <si>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</si>
  <si>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</si>
  <si>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</si>
  <si>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</si>
  <si>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</si>
  <si>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</si>
  <si>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</si>
  <si>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</si>
  <si>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</si>
  <si>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</si>
  <si>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</si>
  <si>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</si>
  <si>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</si>
  <si>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</si>
  <si>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</si>
  <si>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</si>
  <si>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</si>
  <si>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</si>
  <si>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</si>
  <si>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</si>
  <si>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</si>
  <si>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</si>
  <si>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</si>
  <si>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</si>
  <si>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</si>
  <si>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</si>
  <si>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</si>
  <si>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</si>
  <si>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</si>
  <si>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</si>
  <si>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</si>
  <si>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</si>
  <si>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</si>
  <si>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</si>
  <si>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</si>
  <si>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</si>
  <si>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</si>
  <si>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</si>
  <si>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</si>
  <si>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</si>
  <si>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</si>
  <si>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</si>
  <si>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</si>
  <si>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</si>
  <si>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</si>
  <si>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</si>
  <si>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</si>
  <si>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</si>
  <si>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</si>
  <si>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</si>
  <si>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</si>
  <si>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</si>
  <si>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</si>
  <si>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</si>
  <si>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</si>
  <si>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</si>
  <si>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</si>
  <si>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</si>
  <si>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</si>
  <si>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</si>
  <si>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</si>
  <si>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</si>
  <si>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</si>
  <si>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</si>
  <si>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</si>
  <si>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</si>
  <si>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</si>
  <si>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</si>
  <si>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</si>
  <si>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</si>
  <si>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</si>
  <si>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</si>
  <si>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</si>
  <si>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</si>
  <si>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</si>
  <si>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</si>
  <si>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</si>
  <si>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</si>
  <si>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</si>
  <si>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</si>
  <si>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</si>
  <si>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</si>
  <si>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</si>
  <si>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</si>
  <si>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</si>
  <si>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</si>
  <si>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</si>
  <si>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</si>
  <si>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</si>
  <si>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</si>
  <si>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</si>
  <si>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</si>
  <si>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</si>
  <si>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</si>
  <si>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</si>
  <si>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</si>
  <si>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</si>
  <si>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</si>
  <si>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</si>
  <si>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</si>
  <si>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</si>
  <si>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</si>
  <si>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</si>
  <si>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</si>
  <si>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</si>
  <si>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</si>
  <si>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</si>
  <si>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</si>
  <si>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</si>
  <si>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</si>
  <si>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Marcus Delgado.   
An analysis of the client's personal checking account (#2015550187001) was conducted to investigate the activity. The client, Marcus Delgado,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Marcus Delgado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</si>
</sst>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43" fontId="0" fillId="4" borderId="0" xfId="1" applyFont="1" applyFill="1"/>
    <xf numFmtId="0" fontId="0" fillId="5" borderId="0" xfId="0" applyFill="1"/>
    <xf numFmtId="165"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checked="Checked"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checked="Checked"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checked="Checked"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checked="Checked"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checked="Checked"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checked="Checked" objectType="CheckBox" lockText="1" noThreeD="1"/>
</file>

<file path=xl/ctrlProps/ctrlProp78.xml><?xml version="1.0" encoding="utf-8"?>
<formControlPr xmlns="http://schemas.microsoft.com/office/spreadsheetml/2009/9/main" checked="Checked"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baseColWidth="10" defaultColWidth="8.83203125" defaultRowHeight="15" x14ac:dyDescent="0.2"/>
  <cols>
    <col min="1" max="1" width="24.5" bestFit="1" customWidth="1"/>
    <col min="2" max="2" width="15.83203125" bestFit="1" customWidth="1"/>
    <col min="3" max="3" width="6.5" bestFit="1" customWidth="1"/>
    <col min="4" max="4" width="33.1640625" bestFit="1" customWidth="1"/>
    <col min="5" max="5" width="25.1640625" bestFit="1" customWidth="1"/>
  </cols>
  <sheetData>
    <row r="1" spans="1:5" ht="22" x14ac:dyDescent="0.3">
      <c r="B1" s="43" t="inlineStr">
        <is>
          <t xml:space="preserve">Marcus Delgado</t>
        </is>
      </c>
    </row>
    <row r="2" spans="1:5" x14ac:dyDescent="0.2">
      <c r="A2" s="62" t="s">
        <v>0</v>
      </c>
      <c r="B2" s="63"/>
      <c r="C2" s="64"/>
      <c r="D2" s="65" t="s">
        <v>1</v>
      </c>
      <c r="E2" s="66"/>
    </row>
    <row r="3" spans="1:5" x14ac:dyDescent="0.2">
      <c r="A3" t="s">
        <v>2</v>
      </c>
      <c r="B3" t="inlineStr">
        <is>
          <t xml:space="preserve">2417 W Hillsborough Ave</t>
        </is>
      </c>
      <c r="D3" t="s">
        <v>3</v>
      </c>
      <c r="E3" s="1">
        <v>42835</v>
      </c>
    </row>
    <row r="4" spans="1:5" x14ac:dyDescent="0.2">
      <c r="B4" t="inlineStr">
        <is>
          <t xml:space="preserve">Tampa, FL 33603</t>
        </is>
      </c>
      <c r="D4" t="s">
        <v>4</v>
      </c>
      <c r="E4" t="inlineStr">
        <is>
          <t xml:space="preserve">813-555-0142</t>
        </is>
      </c>
    </row>
    <row r="5" spans="1:5" x14ac:dyDescent="0.2">
      <c r="B5" t="inlineStr">
        <is>
          <t xml:space="preserve">United States</t>
        </is>
      </c>
    </row>
    <row r="6" spans="1:5" x14ac:dyDescent="0.2">
      <c r="D6" s="65" t="s">
        <v>6</v>
      </c>
      <c r="E6" s="66"/>
    </row>
    <row r="7" spans="1:5" x14ac:dyDescent="0.2">
      <c r="D7" t="s">
        <v>7</v>
      </c>
      <c r="E7" t="inlineStr">
        <is>
          <t xml:space="preserve">(813) 555-0142</t>
        </is>
      </c>
    </row>
    <row r="8" spans="1:5" x14ac:dyDescent="0.2">
      <c r="A8" t="s">
        <v>8</v>
      </c>
      <c r="B8" t="inlineStr">
        <is>
          <t xml:space="preserve">265-88-4107</t>
        </is>
      </c>
      <c r="D8" t="s">
        <v>9</v>
      </c>
      <c r="E8" t="inlineStr">
        <is>
          <t xml:space="preserve">m.delgado.fl@email.com</t>
        </is>
      </c>
    </row>
    <row r="9" spans="1:5" x14ac:dyDescent="0.2">
      <c r="A9" t="s">
        <v>10</v>
      </c>
      <c r="B9" s="1">
        <v>32338</v>
      </c>
    </row>
    <row r="10" spans="1:5" x14ac:dyDescent="0.2">
      <c r="A10" t="s">
        <v>11</v>
      </c>
      <c r="B10" t="inlineStr">
        <is>
          <t xml:space="preserve">Warehouse Operations Supervisor</t>
        </is>
      </c>
    </row>
    <row r="11" spans="1:5" x14ac:dyDescent="0.2">
      <c r="A11" t="s">
        <v>12</v>
      </c>
      <c r="B11" t="inlineStr">
        <is>
          <t xml:space="preserve">Bayshore Precision Fabricators, Inc.</t>
        </is>
      </c>
    </row>
    <row r="16" spans="1:5" ht="16" x14ac:dyDescent="0.2">
      <c r="A16" s="44" t="s">
        <v>14</v>
      </c>
      <c r="B16" s="45" t="s">
        <v>15</v>
      </c>
      <c r="C16" s="45" t="s">
        <v>16</v>
      </c>
      <c r="D16" s="45" t="s">
        <v>17</v>
      </c>
      <c r="E16" s="46" t="s">
        <v>18</v>
      </c>
    </row>
    <row r="17" spans="1:5" x14ac:dyDescent="0.2">
      <c r="A17" s="41">
        <v>8135550142001</v>
      </c>
      <c r="B17" t="s">
        <v>19</v>
      </c>
      <c r="C17" t="s">
        <v>20</v>
      </c>
      <c r="D17" s="1">
        <v>42835</v>
      </c>
    </row>
    <row r="18" spans="1:5" x14ac:dyDescent="0.2">
      <c r="A18" s="41">
        <v>8135550142002</v>
      </c>
      <c r="B18" t="s">
        <v>21</v>
      </c>
      <c r="C18" t="s">
        <v>20</v>
      </c>
      <c r="D18" s="1">
        <v>42835</v>
      </c>
    </row>
    <row r="20" spans="1:5" x14ac:dyDescent="0.2">
      <c r="A20" s="62" t="s">
        <v>22</v>
      </c>
      <c r="B20" s="63"/>
      <c r="C20" s="63"/>
      <c r="D20" s="63"/>
      <c r="E20" s="66"/>
    </row>
    <row r="21" spans="1:5" x14ac:dyDescent="0.2">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3" t="inlineStr">
        <is>
          <t xml:space="preserve">Marcus Delgado</t>
        </is>
      </c>
    </row>
    <row r="2" spans="1:8" x14ac:dyDescent="0.2">
      <c r="A2" s="47" t="s">
        <v>24</v>
      </c>
      <c r="B2" s="48" t="s">
        <v>25</v>
      </c>
      <c r="C2" s="49" t="s">
        <v>26</v>
      </c>
      <c r="D2" s="47" t="s">
        <v>27</v>
      </c>
      <c r="E2" s="47" t="s">
        <v>28</v>
      </c>
      <c r="F2" s="47" t="s">
        <v>16</v>
      </c>
      <c r="G2" s="50" t="s">
        <v>17</v>
      </c>
      <c r="H2" s="50" t="s">
        <v>29</v>
      </c>
    </row>
    <row r="3" spans="1:8" x14ac:dyDescent="0.2">
      <c r="A3" t="s">
        <v>19</v>
      </c>
      <c r="B3" t="s">
        <v>30</v>
      </c>
      <c r="C3" s="41">
        <v>8135550142001</v>
      </c>
      <c r="D3" t="inlineStr">
        <is>
          <t xml:space="preserve">Marcus Delgado</t>
        </is>
      </c>
      <c r="E3">
        <v>6</v>
      </c>
      <c r="F3" t="s">
        <v>20</v>
      </c>
      <c r="G3" s="1">
        <v>42835</v>
      </c>
    </row>
    <row r="4" spans="1:8" x14ac:dyDescent="0.2">
      <c r="A4" t="s">
        <v>21</v>
      </c>
      <c r="B4" t="s">
        <v>30</v>
      </c>
      <c r="C4" s="41">
        <v>8135550142002</v>
      </c>
      <c r="D4" t="inlineStr">
        <is>
          <t xml:space="preserve">Marcus Delgado</t>
        </is>
      </c>
      <c r="E4">
        <v>0</v>
      </c>
      <c r="F4" t="s">
        <v>20</v>
      </c>
      <c r="G4" s="1">
        <v>42835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9"/>
  <sheetViews>
    <sheetView showGridLines="0" workbookViewId="0">
      <selection activeCell="K15" sqref="K15"/>
    </sheetView>
  </sheetViews>
  <sheetFormatPr baseColWidth="10" defaultColWidth="8.83203125" defaultRowHeight="15" x14ac:dyDescent="0.2"/>
  <cols>
    <col min="1" max="1" width="15.1640625" bestFit="1" customWidth="1"/>
    <col min="2" max="2" width="11.1640625" bestFit="1" customWidth="1"/>
    <col min="3" max="3" width="16.83203125" style="41" bestFit="1" customWidth="1"/>
    <col min="4" max="4" width="10.1640625" style="42" bestFit="1" customWidth="1"/>
    <col min="5" max="5" width="2.1640625" bestFit="1" customWidth="1"/>
    <col min="6" max="6" width="5.1640625" bestFit="1" customWidth="1"/>
  </cols>
  <sheetData>
    <row r="1" spans="1:6" x14ac:dyDescent="0.2">
      <c r="A1" s="51" t="s">
        <v>31</v>
      </c>
      <c r="B1" s="1">
        <v>46266</v>
      </c>
      <c r="C1" s="1"/>
    </row>
    <row r="3" spans="1:6" ht="16" x14ac:dyDescent="0.2">
      <c r="A3" s="52" t="s">
        <v>32</v>
      </c>
      <c r="B3" s="53" t="s">
        <v>33</v>
      </c>
      <c r="C3" s="54" t="s">
        <v>24</v>
      </c>
      <c r="D3" s="55" t="s">
        <v>34</v>
      </c>
      <c r="E3" s="56"/>
      <c r="F3" s="56" t="s">
        <v>15</v>
      </c>
    </row>
    <row r="4" spans="1:6" x14ac:dyDescent="0.2">
      <c r="A4" t="inlineStr">
        <is>
          <t xml:space="preserve">Large Wire In</t>
        </is>
      </c>
      <c r="B4" s="1">
        <v>46100</v>
      </c>
      <c r="C4" s="41">
        <v>8135550142001</v>
      </c>
      <c r="D4" s="42">
        <v>12400.0</v>
      </c>
      <c r="E4" t="inlineStr">
        <is>
          <t xml:space="preserve">C</t>
        </is>
      </c>
      <c r="F4" t="inlineStr">
        <is>
          <t xml:space="preserve">Wire</t>
        </is>
      </c>
    </row>
    <row r="5" spans="1:6" x14ac:dyDescent="0.2">
      <c r="A5" t="inlineStr">
        <is>
          <t xml:space="preserve">Large Wire Out</t>
        </is>
      </c>
      <c r="B5" s="1">
        <v>46105</v>
      </c>
      <c r="C5" s="41">
        <v>8135550142001</v>
      </c>
      <c r="D5" s="42">
        <v>-12250.0</v>
      </c>
      <c r="E5" t="inlineStr">
        <is>
          <t xml:space="preserve">D</t>
        </is>
      </c>
      <c r="F5" t="inlineStr">
        <is>
          <t xml:space="preserve">Wire</t>
        </is>
      </c>
    </row>
    <row r="6" spans="1:6" x14ac:dyDescent="0.2">
      <c r="A6" t="inlineStr">
        <is>
          <t xml:space="preserve">Large Wire In</t>
        </is>
      </c>
      <c r="B6" s="1">
        <v>46156</v>
      </c>
      <c r="C6" s="41">
        <v>8135550142001</v>
      </c>
      <c r="D6" s="42">
        <v>11800.0</v>
      </c>
      <c r="E6" t="inlineStr">
        <is>
          <t xml:space="preserve">C</t>
        </is>
      </c>
      <c r="F6" t="inlineStr">
        <is>
          <t xml:space="preserve">Wire</t>
        </is>
      </c>
    </row>
    <row r="7" spans="1:6" x14ac:dyDescent="0.2">
      <c r="A7" t="inlineStr">
        <is>
          <t xml:space="preserve">Large Wire Out</t>
        </is>
      </c>
      <c r="B7" s="1">
        <v>46161</v>
      </c>
      <c r="C7" s="41">
        <v>8135550142001</v>
      </c>
      <c r="D7" s="42">
        <v>-11650.0</v>
      </c>
      <c r="E7" t="inlineStr">
        <is>
          <t xml:space="preserve">D</t>
        </is>
      </c>
      <c r="F7" t="inlineStr">
        <is>
          <t xml:space="preserve">Wire</t>
        </is>
      </c>
    </row>
    <row r="8" spans="1:6" x14ac:dyDescent="0.2">
      <c r="A8" t="inlineStr">
        <is>
          <t xml:space="preserve">Large Wire In</t>
        </is>
      </c>
      <c r="B8" s="1">
        <v>46224</v>
      </c>
      <c r="C8" s="41">
        <v>8135550142001</v>
      </c>
      <c r="D8" s="42">
        <v>12950.0</v>
      </c>
      <c r="E8" t="inlineStr">
        <is>
          <t xml:space="preserve">C</t>
        </is>
      </c>
      <c r="F8" t="inlineStr">
        <is>
          <t xml:space="preserve">Wire</t>
        </is>
      </c>
    </row>
    <row r="9" spans="1:6" x14ac:dyDescent="0.2">
      <c r="A9" t="inlineStr">
        <is>
          <t xml:space="preserve">Large Wire Out</t>
        </is>
      </c>
      <c r="B9" s="1">
        <v>46227</v>
      </c>
      <c r="C9" s="41">
        <v>8135550142001</v>
      </c>
      <c r="D9" s="42">
        <v>-12800.0</v>
      </c>
      <c r="E9" t="inlineStr">
        <is>
          <t xml:space="preserve">D</t>
        </is>
      </c>
      <c r="F9" t="inlineStr">
        <is>
          <t xml:space="preserve">Wire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49"/>
  <sheetViews>
    <sheetView topLeftCell="E1" workbookViewId="0">
      <pane ySplit="1" topLeftCell="A2" activePane="bottomLeft" state="frozen"/>
      <selection pane="bottomLeft" activeCell="D6" sqref="D6"/>
    </sheetView>
  </sheetViews>
  <sheetFormatPr baseColWidth="10" defaultColWidth="8.83203125" defaultRowHeight="15" x14ac:dyDescent="0.2"/>
  <cols>
    <col min="1" max="1" width="15.83203125" bestFit="1" customWidth="1"/>
    <col min="2" max="2" width="16.83203125" style="41" bestFit="1" customWidth="1"/>
    <col min="3" max="3" width="6.5" bestFit="1" customWidth="1"/>
    <col min="4" max="4" width="15" style="42" bestFit="1" customWidth="1"/>
    <col min="5" max="5" width="10.83203125" bestFit="1" customWidth="1"/>
    <col min="6" max="7" width="10.5" style="42"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2">
      <c r="A2" t="inlineStr">
        <is>
          <t xml:space="preserve">Marcus Delgado</t>
        </is>
      </c>
      <c r="B2" s="41">
        <v>8135550142001</v>
      </c>
      <c r="C2" t="inlineStr">
        <is>
          <t xml:space="preserve">P</t>
        </is>
      </c>
      <c r="D2" s="61">
        <v>7462.4</v>
      </c>
      <c r="E2" s="1">
        <v>46083</v>
      </c>
      <c r="F2" s="42">
        <v>4612.4</v>
      </c>
      <c r="G2" s="59">
        <v>0</v>
      </c>
      <c r="H2" t="inlineStr">
        <is>
          <t xml:space="preserve">ACH</t>
        </is>
      </c>
      <c r="I2" t="inlineStr">
        <is>
          <t xml:space="preserve">C</t>
        </is>
      </c>
      <c r="J2" t="inlineStr">
        <is>
          <t xml:space="preserve">Untagged</t>
        </is>
      </c>
      <c r="K2" t="inlineStr">
        <is>
          <t xml:space="preserve">Payroll Credit - Bayshore Precision Fabricators</t>
        </is>
      </c>
      <c r="U2" s="1">
        <v>46083</v>
      </c>
      <c r="V2" t="inlineStr">
        <is>
          <t xml:space="preserve">Bayshore Precision Fabricators, Inc.</t>
        </is>
      </c>
      <c r="W2" t="inlineStr">
        <is>
          <t xml:space="preserve">Truist Bank</t>
        </is>
      </c>
      <c r="AB2" t="inlineStr">
        <is>
          <t xml:space="preserve">Monthly payroll credit</t>
        </is>
      </c>
    </row>
    <row r="3" spans="1:28" x14ac:dyDescent="0.2">
      <c r="A3" t="inlineStr">
        <is>
          <t xml:space="preserve">Marcus Delgado</t>
        </is>
      </c>
      <c r="B3" s="41">
        <v>8135550142001</v>
      </c>
      <c r="C3" t="inlineStr">
        <is>
          <t xml:space="preserve">P</t>
        </is>
      </c>
      <c r="D3" s="61">
        <f>D2+F3-G3</f>
        <v>5512.4</v>
      </c>
      <c r="E3" s="1">
        <v>46084</v>
      </c>
      <c r="F3" s="42">
        <v>0</v>
      </c>
      <c r="G3" s="59">
        <v>1950.0</v>
      </c>
      <c r="H3" t="inlineStr">
        <is>
          <t xml:space="preserve">ACH</t>
        </is>
      </c>
      <c r="I3" t="inlineStr">
        <is>
          <t xml:space="preserve">D</t>
        </is>
      </c>
      <c r="J3" t="inlineStr">
        <is>
          <t xml:space="preserve">Untagged</t>
        </is>
      </c>
      <c r="K3" t="inlineStr">
        <is>
          <t xml:space="preserve">Rent Payment - Bayview Ridge Apartments</t>
        </is>
      </c>
      <c r="U3" s="1">
        <v>46084</v>
      </c>
      <c r="V3" t="inlineStr">
        <is>
          <t xml:space="preserve">Marcus Delgado</t>
        </is>
      </c>
      <c r="W3" t="inlineStr">
        <is>
          <t xml:space="preserve">Bank of America</t>
        </is>
      </c>
      <c r="X3">
        <v>8135550142001</v>
      </c>
      <c r="Y3" t="inlineStr">
        <is>
          <t xml:space="preserve">Bayview Ridge Apartments LLC</t>
        </is>
      </c>
      <c r="Z3" t="inlineStr">
        <is>
          <t xml:space="preserve">Truist Bank</t>
        </is>
      </c>
      <c r="AB3" t="inlineStr">
        <is>
          <t xml:space="preserve">Monthly rent</t>
        </is>
      </c>
    </row>
    <row r="4" spans="1:28" x14ac:dyDescent="0.2">
      <c r="A4" t="inlineStr">
        <is>
          <t xml:space="preserve">Marcus Delgado</t>
        </is>
      </c>
      <c r="B4" s="41">
        <v>8135550142001</v>
      </c>
      <c r="C4" t="inlineStr">
        <is>
          <t xml:space="preserve">P</t>
        </is>
      </c>
      <c r="D4" s="61">
        <f>D3+F4-G4</f>
        <v>5025.2</v>
      </c>
      <c r="E4" s="1">
        <v>46090</v>
      </c>
      <c r="F4" s="42">
        <v>0</v>
      </c>
      <c r="G4" s="59">
        <v>487.2</v>
      </c>
      <c r="H4" t="inlineStr">
        <is>
          <t xml:space="preserve">ACH</t>
        </is>
      </c>
      <c r="I4" t="inlineStr">
        <is>
          <t xml:space="preserve">D</t>
        </is>
      </c>
      <c r="J4" t="inlineStr">
        <is>
          <t xml:space="preserve">Untagged</t>
        </is>
      </c>
      <c r="K4" t="inlineStr">
        <is>
          <t xml:space="preserve">Auto Loan Payment - Suncoast Credit Union</t>
        </is>
      </c>
      <c r="U4" s="1">
        <v>46090</v>
      </c>
      <c r="V4" t="inlineStr">
        <is>
          <t xml:space="preserve">Marcus Delgado</t>
        </is>
      </c>
      <c r="W4" t="inlineStr">
        <is>
          <t xml:space="preserve">Bank of America</t>
        </is>
      </c>
      <c r="X4">
        <v>8135550142001</v>
      </c>
      <c r="Y4" t="inlineStr">
        <is>
          <t xml:space="preserve">Suncoast Credit Union</t>
        </is>
      </c>
      <c r="Z4" t="inlineStr">
        <is>
          <t xml:space="preserve">Suncoast Credit Union</t>
        </is>
      </c>
      <c r="AB4" t="inlineStr">
        <is>
          <t xml:space="preserve">Auto loan instalment</t>
        </is>
      </c>
    </row>
    <row r="5" spans="1:28" x14ac:dyDescent="0.2">
      <c r="A5" t="inlineStr">
        <is>
          <t xml:space="preserve">Marcus Delgado</t>
        </is>
      </c>
      <c r="B5" s="41">
        <v>8135550142001</v>
      </c>
      <c r="C5" t="inlineStr">
        <is>
          <t xml:space="preserve">P</t>
        </is>
      </c>
      <c r="D5" s="61">
        <f>D4+F5-G5</f>
        <v>4810.35</v>
      </c>
      <c r="E5" s="1">
        <v>46093</v>
      </c>
      <c r="F5" s="42">
        <v>0</v>
      </c>
      <c r="G5" s="59">
        <v>214.85</v>
      </c>
      <c r="H5" t="inlineStr">
        <is>
          <t xml:space="preserve">ACH</t>
        </is>
      </c>
      <c r="I5" t="inlineStr">
        <is>
          <t xml:space="preserve">D</t>
        </is>
      </c>
      <c r="J5" t="inlineStr">
        <is>
          <t xml:space="preserve">Untagged</t>
        </is>
      </c>
      <c r="K5" t="inlineStr">
        <is>
          <t xml:space="preserve">TECO Energy - Electric Bill</t>
        </is>
      </c>
      <c r="U5" s="1">
        <v>46093</v>
      </c>
      <c r="V5" t="inlineStr">
        <is>
          <t xml:space="preserve">Marcus Delgado</t>
        </is>
      </c>
      <c r="W5" t="inlineStr">
        <is>
          <t xml:space="preserve">Bank of America</t>
        </is>
      </c>
      <c r="X5">
        <v>8135550142001</v>
      </c>
      <c r="Y5" t="inlineStr">
        <is>
          <t xml:space="preserve">TECO Energy</t>
        </is>
      </c>
      <c r="Z5" t="inlineStr">
        <is>
          <t xml:space="preserve">Citizens Bank</t>
        </is>
      </c>
      <c r="AB5" t="inlineStr">
        <is>
          <t xml:space="preserve">Utility bill</t>
        </is>
      </c>
    </row>
    <row r="6" spans="1:28" x14ac:dyDescent="0.2">
      <c r="A6" t="inlineStr">
        <is>
          <t xml:space="preserve">Marcus Delgado</t>
        </is>
      </c>
      <c r="B6" s="41">
        <v>8135550142001</v>
      </c>
      <c r="C6" t="inlineStr">
        <is>
          <t xml:space="preserve">P</t>
        </is>
      </c>
      <c r="D6" s="61">
        <f>D5+F6-G6</f>
        <v>4408.18</v>
      </c>
      <c r="E6" s="1">
        <v>46097</v>
      </c>
      <c r="F6" s="42">
        <v>0</v>
      </c>
      <c r="G6" s="59">
        <v>402.17</v>
      </c>
      <c r="H6" t="inlineStr">
        <is>
          <t xml:space="preserve">Debit Card</t>
        </is>
      </c>
      <c r="I6" t="inlineStr">
        <is>
          <t xml:space="preserve">D</t>
        </is>
      </c>
      <c r="J6" t="inlineStr">
        <is>
          <t xml:space="preserve">Untagged</t>
        </is>
      </c>
      <c r="K6" t="inlineStr">
        <is>
          <t xml:space="preserve">Publix Super Market #0728</t>
        </is>
      </c>
      <c r="L6" t="inlineStr">
        <is>
          <t xml:space="preserve">4356 2290 7714 5582</t>
        </is>
      </c>
      <c r="U6" s="1">
        <v>46097</v>
      </c>
    </row>
    <row r="7" spans="1:28" x14ac:dyDescent="0.2">
      <c r="A7" t="inlineStr">
        <is>
          <t xml:space="preserve">Marcus Delgado</t>
        </is>
      </c>
      <c r="B7" s="41">
        <v>8135550142001</v>
      </c>
      <c r="C7" t="inlineStr">
        <is>
          <t xml:space="preserve">P</t>
        </is>
      </c>
      <c r="D7" s="61">
        <f>D6+F7-G7</f>
        <v>4239.73</v>
      </c>
      <c r="E7" s="1">
        <v>46099</v>
      </c>
      <c r="F7" s="42">
        <v>0</v>
      </c>
      <c r="G7" s="59">
        <v>168.45</v>
      </c>
      <c r="H7" t="inlineStr">
        <is>
          <t xml:space="preserve">ACH</t>
        </is>
      </c>
      <c r="I7" t="inlineStr">
        <is>
          <t xml:space="preserve">D</t>
        </is>
      </c>
      <c r="J7" t="inlineStr">
        <is>
          <t xml:space="preserve">Untagged</t>
        </is>
      </c>
      <c r="K7" t="inlineStr">
        <is>
          <t xml:space="preserve">Progressive Insurance - Auto Premium</t>
        </is>
      </c>
      <c r="U7" s="1">
        <v>46099</v>
      </c>
      <c r="V7" t="inlineStr">
        <is>
          <t xml:space="preserve">Marcus Delgado</t>
        </is>
      </c>
      <c r="W7" t="inlineStr">
        <is>
          <t xml:space="preserve">Bank of America</t>
        </is>
      </c>
      <c r="X7">
        <v>8135550142001</v>
      </c>
      <c r="Y7" t="inlineStr">
        <is>
          <t xml:space="preserve">Progressive Casualty Insurance Co</t>
        </is>
      </c>
      <c r="Z7" t="inlineStr">
        <is>
          <t xml:space="preserve">PNC Bank</t>
        </is>
      </c>
      <c r="AB7" t="inlineStr">
        <is>
          <t xml:space="preserve">Auto insurance premium</t>
        </is>
      </c>
    </row>
    <row r="8" spans="1:28" x14ac:dyDescent="0.2">
      <c r="A8" t="inlineStr">
        <is>
          <t xml:space="preserve">Marcus Delgado</t>
        </is>
      </c>
      <c r="B8" s="41">
        <v>8135550142001</v>
      </c>
      <c r="C8" t="inlineStr">
        <is>
          <t xml:space="preserve">P</t>
        </is>
      </c>
      <c r="D8" s="61">
        <f>D7+F8-G8</f>
        <v>16639.73</v>
      </c>
      <c r="E8" s="1">
        <v>46100</v>
      </c>
      <c r="F8" s="42">
        <v>12400.0</v>
      </c>
      <c r="G8" s="59">
        <v>0</v>
      </c>
      <c r="H8" t="inlineStr">
        <is>
          <t xml:space="preserve">Wire</t>
        </is>
      </c>
      <c r="I8" t="inlineStr">
        <is>
          <t xml:space="preserve">C</t>
        </is>
      </c>
      <c r="J8" t="inlineStr">
        <is>
          <t xml:space="preserve">Group 1</t>
        </is>
      </c>
      <c r="K8" t="inlineStr">
        <is>
          <t xml:space="preserve">Incoming International Wire - Nera Point Holdings Ltd</t>
        </is>
      </c>
      <c r="U8" s="1">
        <v>46100</v>
      </c>
      <c r="V8" t="inlineStr">
        <is>
          <t xml:space="preserve">Nera Point Holdings Ltd</t>
        </is>
      </c>
      <c r="W8" t="inlineStr">
        <is>
          <t xml:space="preserve">BMI Offshore Bank Ltd</t>
        </is>
      </c>
      <c r="X8" t="inlineStr">
        <is>
          <t xml:space="preserve">SC58BMI0004471203</t>
        </is>
      </c>
      <c r="Y8" t="inlineStr">
        <is>
          <t xml:space="preserve">Marcus Delgado</t>
        </is>
      </c>
      <c r="Z8" t="inlineStr">
        <is>
          <t xml:space="preserve">Bank of America</t>
        </is>
      </c>
      <c r="AA8">
        <v>8135550142001</v>
      </c>
      <c r="AB8" t="inlineStr">
        <is>
          <t xml:space="preserve">Consulting Retainer</t>
        </is>
      </c>
    </row>
    <row r="9" spans="1:28" x14ac:dyDescent="0.2">
      <c r="A9" t="inlineStr">
        <is>
          <t xml:space="preserve">Marcus Delgado</t>
        </is>
      </c>
      <c r="B9" s="41">
        <v>8135550142001</v>
      </c>
      <c r="C9" t="inlineStr">
        <is>
          <t xml:space="preserve">P</t>
        </is>
      </c>
      <c r="D9" s="61">
        <f>D8+F9-G9</f>
        <v>4389.73</v>
      </c>
      <c r="E9" s="1">
        <v>46105</v>
      </c>
      <c r="F9" s="42">
        <v>0</v>
      </c>
      <c r="G9" s="59">
        <v>12250.0</v>
      </c>
      <c r="H9" t="inlineStr">
        <is>
          <t xml:space="preserve">Wire</t>
        </is>
      </c>
      <c r="I9" t="inlineStr">
        <is>
          <t xml:space="preserve">D</t>
        </is>
      </c>
      <c r="J9" t="inlineStr">
        <is>
          <t xml:space="preserve">Group 2</t>
        </is>
      </c>
      <c r="K9" t="inlineStr">
        <is>
          <t xml:space="preserve">Outgoing International Wire - Corozal Linden Partners Ltd</t>
        </is>
      </c>
      <c r="U9" s="1">
        <v>46105</v>
      </c>
      <c r="V9" t="inlineStr">
        <is>
          <t xml:space="preserve">Marcus Delgado</t>
        </is>
      </c>
      <c r="W9" t="inlineStr">
        <is>
          <t xml:space="preserve">Bank of America</t>
        </is>
      </c>
      <c r="X9">
        <v>8135550142001</v>
      </c>
      <c r="Y9" t="inlineStr">
        <is>
          <t xml:space="preserve">Corozal Linden Partners Ltd</t>
        </is>
      </c>
      <c r="Z9" t="inlineStr">
        <is>
          <t xml:space="preserve">Belize Bank International Ltd</t>
        </is>
      </c>
      <c r="AA9" t="inlineStr">
        <is>
          <t xml:space="preserve">BZ47BBI0002298114</t>
        </is>
      </c>
      <c r="AB9" t="inlineStr">
        <is>
          <t xml:space="preserve">Project Settlement</t>
        </is>
      </c>
    </row>
    <row r="10" spans="1:28" x14ac:dyDescent="0.2">
      <c r="A10" t="inlineStr">
        <is>
          <t xml:space="preserve">Marcus Delgado</t>
        </is>
      </c>
      <c r="B10" s="41">
        <v>8135550142001</v>
      </c>
      <c r="C10" t="inlineStr">
        <is>
          <t xml:space="preserve">P</t>
        </is>
      </c>
      <c r="D10" s="61">
        <f>D9+F10-G10</f>
        <v>3647.13</v>
      </c>
      <c r="E10" s="1">
        <v>46106</v>
      </c>
      <c r="F10" s="42">
        <v>0</v>
      </c>
      <c r="G10" s="59">
        <v>742.6</v>
      </c>
      <c r="H10" t="inlineStr">
        <is>
          <t xml:space="preserve">ACH</t>
        </is>
      </c>
      <c r="I10" t="inlineStr">
        <is>
          <t xml:space="preserve">D</t>
        </is>
      </c>
      <c r="J10" t="inlineStr">
        <is>
          <t xml:space="preserve">Untagged</t>
        </is>
      </c>
      <c r="K10" t="inlineStr">
        <is>
          <t xml:space="preserve">Chase Card Services - Credit Card Payment</t>
        </is>
      </c>
      <c r="U10" s="1">
        <v>46106</v>
      </c>
      <c r="V10" t="inlineStr">
        <is>
          <t xml:space="preserve">Marcus Delgado</t>
        </is>
      </c>
      <c r="W10" t="inlineStr">
        <is>
          <t xml:space="preserve">Bank of America</t>
        </is>
      </c>
      <c r="X10">
        <v>8135550142001</v>
      </c>
      <c r="Y10" t="inlineStr">
        <is>
          <t xml:space="preserve">Chase Card Services</t>
        </is>
      </c>
      <c r="Z10" t="inlineStr">
        <is>
          <t xml:space="preserve">JPMorgan Chase</t>
        </is>
      </c>
      <c r="AB10" t="inlineStr">
        <is>
          <t xml:space="preserve">Credit card payment</t>
        </is>
      </c>
    </row>
    <row r="11" spans="1:28" x14ac:dyDescent="0.2">
      <c r="A11" t="inlineStr">
        <is>
          <t xml:space="preserve">Marcus Delgado</t>
        </is>
      </c>
      <c r="B11" s="41">
        <v>8135550142001</v>
      </c>
      <c r="C11" t="inlineStr">
        <is>
          <t xml:space="preserve">P</t>
        </is>
      </c>
      <c r="D11" s="61">
        <f>D10+F11-G11</f>
        <v>8259.53</v>
      </c>
      <c r="E11" s="1">
        <v>46113</v>
      </c>
      <c r="F11" s="42">
        <v>4612.4</v>
      </c>
      <c r="G11" s="59">
        <v>0</v>
      </c>
      <c r="H11" t="inlineStr">
        <is>
          <t xml:space="preserve">ACH</t>
        </is>
      </c>
      <c r="I11" t="inlineStr">
        <is>
          <t xml:space="preserve">C</t>
        </is>
      </c>
      <c r="J11" t="inlineStr">
        <is>
          <t xml:space="preserve">Untagged</t>
        </is>
      </c>
      <c r="K11" t="inlineStr">
        <is>
          <t xml:space="preserve">Payroll Credit - Bayshore Precision Fabricators</t>
        </is>
      </c>
      <c r="U11" s="1">
        <v>46113</v>
      </c>
      <c r="V11" t="inlineStr">
        <is>
          <t xml:space="preserve">Bayshore Precision Fabricators, Inc.</t>
        </is>
      </c>
      <c r="W11" t="inlineStr">
        <is>
          <t xml:space="preserve">Truist Bank</t>
        </is>
      </c>
      <c r="AB11" t="inlineStr">
        <is>
          <t xml:space="preserve">Monthly payroll credit</t>
        </is>
      </c>
    </row>
    <row r="12" spans="1:28" x14ac:dyDescent="0.2">
      <c r="A12" t="inlineStr">
        <is>
          <t xml:space="preserve">Marcus Delgado</t>
        </is>
      </c>
      <c r="B12" s="41">
        <v>8135550142001</v>
      </c>
      <c r="C12" t="inlineStr">
        <is>
          <t xml:space="preserve">P</t>
        </is>
      </c>
      <c r="D12" s="61">
        <f>D11+F12-G12</f>
        <v>6309.53</v>
      </c>
      <c r="E12" s="1">
        <v>46115</v>
      </c>
      <c r="F12" s="42">
        <v>0</v>
      </c>
      <c r="G12" s="59">
        <v>1950.0</v>
      </c>
      <c r="H12" t="inlineStr">
        <is>
          <t xml:space="preserve">ACH</t>
        </is>
      </c>
      <c r="I12" t="inlineStr">
        <is>
          <t xml:space="preserve">D</t>
        </is>
      </c>
      <c r="J12" t="inlineStr">
        <is>
          <t xml:space="preserve">Untagged</t>
        </is>
      </c>
      <c r="K12" t="inlineStr">
        <is>
          <t xml:space="preserve">Rent Payment - Bayview Ridge Apartments</t>
        </is>
      </c>
      <c r="U12" s="1">
        <v>46115</v>
      </c>
      <c r="V12" t="inlineStr">
        <is>
          <t xml:space="preserve">Marcus Delgado</t>
        </is>
      </c>
      <c r="W12" t="inlineStr">
        <is>
          <t xml:space="preserve">Bank of America</t>
        </is>
      </c>
      <c r="X12">
        <v>8135550142001</v>
      </c>
      <c r="Y12" t="inlineStr">
        <is>
          <t xml:space="preserve">Bayview Ridge Apartments LLC</t>
        </is>
      </c>
      <c r="Z12" t="inlineStr">
        <is>
          <t xml:space="preserve">Truist Bank</t>
        </is>
      </c>
      <c r="AB12" t="inlineStr">
        <is>
          <t xml:space="preserve">Monthly rent</t>
        </is>
      </c>
    </row>
    <row r="13" spans="1:28" x14ac:dyDescent="0.2">
      <c r="A13" t="inlineStr">
        <is>
          <t xml:space="preserve">Marcus Delgado</t>
        </is>
      </c>
      <c r="B13" s="41">
        <v>8135550142001</v>
      </c>
      <c r="C13" t="inlineStr">
        <is>
          <t xml:space="preserve">P</t>
        </is>
      </c>
      <c r="D13" s="61">
        <f>D12+F13-G13</f>
        <v>5822.33</v>
      </c>
      <c r="E13" s="1">
        <v>46120</v>
      </c>
      <c r="F13" s="42">
        <v>0</v>
      </c>
      <c r="G13" s="59">
        <v>487.2</v>
      </c>
      <c r="H13" t="inlineStr">
        <is>
          <t xml:space="preserve">ACH</t>
        </is>
      </c>
      <c r="I13" t="inlineStr">
        <is>
          <t xml:space="preserve">D</t>
        </is>
      </c>
      <c r="J13" t="inlineStr">
        <is>
          <t xml:space="preserve">Untagged</t>
        </is>
      </c>
      <c r="K13" t="inlineStr">
        <is>
          <t xml:space="preserve">Auto Loan Payment - Suncoast Credit Union</t>
        </is>
      </c>
      <c r="U13" s="1">
        <v>46120</v>
      </c>
      <c r="V13" t="inlineStr">
        <is>
          <t xml:space="preserve">Marcus Delgado</t>
        </is>
      </c>
      <c r="W13" t="inlineStr">
        <is>
          <t xml:space="preserve">Bank of America</t>
        </is>
      </c>
      <c r="X13">
        <v>8135550142001</v>
      </c>
      <c r="Y13" t="inlineStr">
        <is>
          <t xml:space="preserve">Suncoast Credit Union</t>
        </is>
      </c>
      <c r="Z13" t="inlineStr">
        <is>
          <t xml:space="preserve">Suncoast Credit Union</t>
        </is>
      </c>
      <c r="AB13" t="inlineStr">
        <is>
          <t xml:space="preserve">Auto loan instalment</t>
        </is>
      </c>
    </row>
    <row r="14" spans="1:28" x14ac:dyDescent="0.2">
      <c r="A14" t="inlineStr">
        <is>
          <t xml:space="preserve">Marcus Delgado</t>
        </is>
      </c>
      <c r="B14" s="41">
        <v>8135550142001</v>
      </c>
      <c r="C14" t="inlineStr">
        <is>
          <t xml:space="preserve">P</t>
        </is>
      </c>
      <c r="D14" s="61">
        <f>D13+F14-G14</f>
        <v>5623.93</v>
      </c>
      <c r="E14" s="1">
        <v>46125</v>
      </c>
      <c r="F14" s="42">
        <v>0</v>
      </c>
      <c r="G14" s="59">
        <v>198.4</v>
      </c>
      <c r="H14" t="inlineStr">
        <is>
          <t xml:space="preserve">ACH</t>
        </is>
      </c>
      <c r="I14" t="inlineStr">
        <is>
          <t xml:space="preserve">D</t>
        </is>
      </c>
      <c r="J14" t="inlineStr">
        <is>
          <t xml:space="preserve">Untagged</t>
        </is>
      </c>
      <c r="K14" t="inlineStr">
        <is>
          <t xml:space="preserve">TECO Energy - Electric Bill</t>
        </is>
      </c>
      <c r="U14" s="1">
        <v>46125</v>
      </c>
      <c r="V14" t="inlineStr">
        <is>
          <t xml:space="preserve">Marcus Delgado</t>
        </is>
      </c>
      <c r="W14" t="inlineStr">
        <is>
          <t xml:space="preserve">Bank of America</t>
        </is>
      </c>
      <c r="X14">
        <v>8135550142001</v>
      </c>
      <c r="Y14" t="inlineStr">
        <is>
          <t xml:space="preserve">TECO Energy</t>
        </is>
      </c>
      <c r="Z14" t="inlineStr">
        <is>
          <t xml:space="preserve">Citizens Bank</t>
        </is>
      </c>
      <c r="AB14" t="inlineStr">
        <is>
          <t xml:space="preserve">Utility bill</t>
        </is>
      </c>
    </row>
    <row r="15" spans="1:28" x14ac:dyDescent="0.2">
      <c r="A15" t="inlineStr">
        <is>
          <t xml:space="preserve">Marcus Delgado</t>
        </is>
      </c>
      <c r="B15" s="41">
        <v>8135550142001</v>
      </c>
      <c r="C15" t="inlineStr">
        <is>
          <t xml:space="preserve">P</t>
        </is>
      </c>
      <c r="D15" s="61">
        <f>D14+F15-G15</f>
        <v>5187.01</v>
      </c>
      <c r="E15" s="1">
        <v>46127</v>
      </c>
      <c r="F15" s="42">
        <v>0</v>
      </c>
      <c r="G15" s="59">
        <v>436.92</v>
      </c>
      <c r="H15" t="inlineStr">
        <is>
          <t xml:space="preserve">Debit Card</t>
        </is>
      </c>
      <c r="I15" t="inlineStr">
        <is>
          <t xml:space="preserve">D</t>
        </is>
      </c>
      <c r="J15" t="inlineStr">
        <is>
          <t xml:space="preserve">Untagged</t>
        </is>
      </c>
      <c r="K15" t="inlineStr">
        <is>
          <t xml:space="preserve">Publix Super Market #0728</t>
        </is>
      </c>
      <c r="L15" t="inlineStr">
        <is>
          <t xml:space="preserve">4356 2290 7714 5582</t>
        </is>
      </c>
      <c r="U15" s="1">
        <v>46127</v>
      </c>
    </row>
    <row r="16" spans="1:28" x14ac:dyDescent="0.2">
      <c r="A16" t="inlineStr">
        <is>
          <t xml:space="preserve">Marcus Delgado</t>
        </is>
      </c>
      <c r="B16" s="41">
        <v>8135550142001</v>
      </c>
      <c r="C16" t="inlineStr">
        <is>
          <t xml:space="preserve">P</t>
        </is>
      </c>
      <c r="D16" s="61">
        <f>D15+F16-G16</f>
        <v>5018.56</v>
      </c>
      <c r="E16" s="1">
        <v>46132</v>
      </c>
      <c r="F16" s="42">
        <v>0</v>
      </c>
      <c r="G16" s="59">
        <v>168.45</v>
      </c>
      <c r="H16" t="inlineStr">
        <is>
          <t xml:space="preserve">ACH</t>
        </is>
      </c>
      <c r="I16" t="inlineStr">
        <is>
          <t xml:space="preserve">D</t>
        </is>
      </c>
      <c r="J16" t="inlineStr">
        <is>
          <t xml:space="preserve">Untagged</t>
        </is>
      </c>
      <c r="K16" t="inlineStr">
        <is>
          <t xml:space="preserve">Progressive Insurance - Auto Premium</t>
        </is>
      </c>
      <c r="U16" s="1">
        <v>46132</v>
      </c>
      <c r="V16" t="inlineStr">
        <is>
          <t xml:space="preserve">Marcus Delgado</t>
        </is>
      </c>
      <c r="W16" t="inlineStr">
        <is>
          <t xml:space="preserve">Bank of America</t>
        </is>
      </c>
      <c r="X16">
        <v>8135550142001</v>
      </c>
      <c r="Y16" t="inlineStr">
        <is>
          <t xml:space="preserve">Progressive Casualty Insurance Co</t>
        </is>
      </c>
      <c r="Z16" t="inlineStr">
        <is>
          <t xml:space="preserve">PNC Bank</t>
        </is>
      </c>
      <c r="AB16" t="inlineStr">
        <is>
          <t xml:space="preserve">Auto insurance premium</t>
        </is>
      </c>
    </row>
    <row r="17" spans="1:28" x14ac:dyDescent="0.2">
      <c r="A17" t="inlineStr">
        <is>
          <t xml:space="preserve">Marcus Delgado</t>
        </is>
      </c>
      <c r="B17" s="41">
        <v>8135550142001</v>
      </c>
      <c r="C17" t="inlineStr">
        <is>
          <t xml:space="preserve">P</t>
        </is>
      </c>
      <c r="D17" s="61">
        <f>D16+F17-G17</f>
        <v>4330.26</v>
      </c>
      <c r="E17" s="1">
        <v>46136</v>
      </c>
      <c r="F17" s="42">
        <v>0</v>
      </c>
      <c r="G17" s="59">
        <v>688.3</v>
      </c>
      <c r="H17" t="inlineStr">
        <is>
          <t xml:space="preserve">ACH</t>
        </is>
      </c>
      <c r="I17" t="inlineStr">
        <is>
          <t xml:space="preserve">D</t>
        </is>
      </c>
      <c r="J17" t="inlineStr">
        <is>
          <t xml:space="preserve">Untagged</t>
        </is>
      </c>
      <c r="K17" t="inlineStr">
        <is>
          <t xml:space="preserve">Chase Card Services - Credit Card Payment</t>
        </is>
      </c>
      <c r="U17" s="1">
        <v>46136</v>
      </c>
      <c r="V17" t="inlineStr">
        <is>
          <t xml:space="preserve">Marcus Delgado</t>
        </is>
      </c>
      <c r="W17" t="inlineStr">
        <is>
          <t xml:space="preserve">Bank of America</t>
        </is>
      </c>
      <c r="X17">
        <v>8135550142001</v>
      </c>
      <c r="Y17" t="inlineStr">
        <is>
          <t xml:space="preserve">Chase Card Services</t>
        </is>
      </c>
      <c r="Z17" t="inlineStr">
        <is>
          <t xml:space="preserve">JPMorgan Chase</t>
        </is>
      </c>
      <c r="AB17" t="inlineStr">
        <is>
          <t xml:space="preserve">Credit card payment</t>
        </is>
      </c>
    </row>
    <row r="18" spans="1:28" x14ac:dyDescent="0.2">
      <c r="A18" t="inlineStr">
        <is>
          <t xml:space="preserve">Marcus Delgado</t>
        </is>
      </c>
      <c r="B18" s="41">
        <v>8135550142001</v>
      </c>
      <c r="C18" t="inlineStr">
        <is>
          <t xml:space="preserve">P</t>
        </is>
      </c>
      <c r="D18" s="61">
        <f>D17+F18-G18</f>
        <v>8929.01</v>
      </c>
      <c r="E18" s="1">
        <v>46143</v>
      </c>
      <c r="F18" s="42">
        <v>4598.75</v>
      </c>
      <c r="G18" s="59">
        <v>0</v>
      </c>
      <c r="H18" t="inlineStr">
        <is>
          <t xml:space="preserve">ACH</t>
        </is>
      </c>
      <c r="I18" t="inlineStr">
        <is>
          <t xml:space="preserve">C</t>
        </is>
      </c>
      <c r="J18" t="inlineStr">
        <is>
          <t xml:space="preserve">Untagged</t>
        </is>
      </c>
      <c r="K18" t="inlineStr">
        <is>
          <t xml:space="preserve">Payroll Credit - Bayshore Precision Fabricators</t>
        </is>
      </c>
      <c r="U18" s="1">
        <v>46143</v>
      </c>
      <c r="V18" t="inlineStr">
        <is>
          <t xml:space="preserve">Bayshore Precision Fabricators, Inc.</t>
        </is>
      </c>
      <c r="W18" t="inlineStr">
        <is>
          <t xml:space="preserve">Truist Bank</t>
        </is>
      </c>
      <c r="AB18" t="inlineStr">
        <is>
          <t xml:space="preserve">Monthly payroll credit</t>
        </is>
      </c>
    </row>
    <row r="19" spans="1:28" x14ac:dyDescent="0.2">
      <c r="A19" t="inlineStr">
        <is>
          <t xml:space="preserve">Marcus Delgado</t>
        </is>
      </c>
      <c r="B19" s="41">
        <v>8135550142001</v>
      </c>
      <c r="C19" t="inlineStr">
        <is>
          <t xml:space="preserve">P</t>
        </is>
      </c>
      <c r="D19" s="61">
        <f>D18+F19-G19</f>
        <v>6979.01</v>
      </c>
      <c r="E19" s="1">
        <v>46146</v>
      </c>
      <c r="F19" s="42">
        <v>0</v>
      </c>
      <c r="G19" s="59">
        <v>1950.0</v>
      </c>
      <c r="H19" t="inlineStr">
        <is>
          <t xml:space="preserve">ACH</t>
        </is>
      </c>
      <c r="I19" t="inlineStr">
        <is>
          <t xml:space="preserve">D</t>
        </is>
      </c>
      <c r="J19" t="inlineStr">
        <is>
          <t xml:space="preserve">Untagged</t>
        </is>
      </c>
      <c r="K19" t="inlineStr">
        <is>
          <t xml:space="preserve">Rent Payment - Bayview Ridge Apartments</t>
        </is>
      </c>
      <c r="U19" s="1">
        <v>46146</v>
      </c>
      <c r="V19" t="inlineStr">
        <is>
          <t xml:space="preserve">Marcus Delgado</t>
        </is>
      </c>
      <c r="W19" t="inlineStr">
        <is>
          <t xml:space="preserve">Bank of America</t>
        </is>
      </c>
      <c r="X19">
        <v>8135550142001</v>
      </c>
      <c r="Y19" t="inlineStr">
        <is>
          <t xml:space="preserve">Bayview Ridge Apartments LLC</t>
        </is>
      </c>
      <c r="Z19" t="inlineStr">
        <is>
          <t xml:space="preserve">Truist Bank</t>
        </is>
      </c>
      <c r="AB19" t="inlineStr">
        <is>
          <t xml:space="preserve">Monthly rent</t>
        </is>
      </c>
    </row>
    <row r="20" spans="1:28" x14ac:dyDescent="0.2">
      <c r="A20" t="inlineStr">
        <is>
          <t xml:space="preserve">Marcus Delgado</t>
        </is>
      </c>
      <c r="B20" s="41">
        <v>8135550142001</v>
      </c>
      <c r="C20" t="inlineStr">
        <is>
          <t xml:space="preserve">P</t>
        </is>
      </c>
      <c r="D20" s="61">
        <f>D19+F20-G20</f>
        <v>6491.81</v>
      </c>
      <c r="E20" s="1">
        <v>46150</v>
      </c>
      <c r="F20" s="42">
        <v>0</v>
      </c>
      <c r="G20" s="59">
        <v>487.2</v>
      </c>
      <c r="H20" t="inlineStr">
        <is>
          <t xml:space="preserve">ACH</t>
        </is>
      </c>
      <c r="I20" t="inlineStr">
        <is>
          <t xml:space="preserve">D</t>
        </is>
      </c>
      <c r="J20" t="inlineStr">
        <is>
          <t xml:space="preserve">Untagged</t>
        </is>
      </c>
      <c r="K20" t="inlineStr">
        <is>
          <t xml:space="preserve">Auto Loan Payment - Suncoast Credit Union</t>
        </is>
      </c>
      <c r="U20" s="1">
        <v>46150</v>
      </c>
      <c r="V20" t="inlineStr">
        <is>
          <t xml:space="preserve">Marcus Delgado</t>
        </is>
      </c>
      <c r="W20" t="inlineStr">
        <is>
          <t xml:space="preserve">Bank of America</t>
        </is>
      </c>
      <c r="X20">
        <v>8135550142001</v>
      </c>
      <c r="Y20" t="inlineStr">
        <is>
          <t xml:space="preserve">Suncoast Credit Union</t>
        </is>
      </c>
      <c r="Z20" t="inlineStr">
        <is>
          <t xml:space="preserve">Suncoast Credit Union</t>
        </is>
      </c>
      <c r="AB20" t="inlineStr">
        <is>
          <t xml:space="preserve">Auto loan instalment</t>
        </is>
      </c>
    </row>
    <row r="21" spans="1:28" x14ac:dyDescent="0.2">
      <c r="A21" t="inlineStr">
        <is>
          <t xml:space="preserve">Marcus Delgado</t>
        </is>
      </c>
      <c r="B21" s="41">
        <v>8135550142001</v>
      </c>
      <c r="C21" t="inlineStr">
        <is>
          <t xml:space="preserve">P</t>
        </is>
      </c>
      <c r="D21" s="61">
        <f>D20+F21-G21</f>
        <v>6255.11</v>
      </c>
      <c r="E21" s="1">
        <v>46154</v>
      </c>
      <c r="F21" s="42">
        <v>0</v>
      </c>
      <c r="G21" s="59">
        <v>236.7</v>
      </c>
      <c r="H21" t="inlineStr">
        <is>
          <t xml:space="preserve">ACH</t>
        </is>
      </c>
      <c r="I21" t="inlineStr">
        <is>
          <t xml:space="preserve">D</t>
        </is>
      </c>
      <c r="J21" t="inlineStr">
        <is>
          <t xml:space="preserve">Untagged</t>
        </is>
      </c>
      <c r="K21" t="inlineStr">
        <is>
          <t xml:space="preserve">TECO Energy - Electric Bill</t>
        </is>
      </c>
      <c r="U21" s="1">
        <v>46154</v>
      </c>
      <c r="V21" t="inlineStr">
        <is>
          <t xml:space="preserve">Marcus Delgado</t>
        </is>
      </c>
      <c r="W21" t="inlineStr">
        <is>
          <t xml:space="preserve">Bank of America</t>
        </is>
      </c>
      <c r="X21">
        <v>8135550142001</v>
      </c>
      <c r="Y21" t="inlineStr">
        <is>
          <t xml:space="preserve">TECO Energy</t>
        </is>
      </c>
      <c r="Z21" t="inlineStr">
        <is>
          <t xml:space="preserve">Citizens Bank</t>
        </is>
      </c>
      <c r="AB21" t="inlineStr">
        <is>
          <t xml:space="preserve">Utility bill</t>
        </is>
      </c>
    </row>
    <row r="22" spans="1:28" x14ac:dyDescent="0.2">
      <c r="A22" t="inlineStr">
        <is>
          <t xml:space="preserve">Marcus Delgado</t>
        </is>
      </c>
      <c r="B22" s="41">
        <v>8135550142001</v>
      </c>
      <c r="C22" t="inlineStr">
        <is>
          <t xml:space="preserve">P</t>
        </is>
      </c>
      <c r="D22" s="61">
        <f>D21+F22-G22</f>
        <v>18055.11</v>
      </c>
      <c r="E22" s="1">
        <v>46156</v>
      </c>
      <c r="F22" s="42">
        <v>11800.0</v>
      </c>
      <c r="G22" s="59">
        <v>0</v>
      </c>
      <c r="H22" t="inlineStr">
        <is>
          <t xml:space="preserve">Wire</t>
        </is>
      </c>
      <c r="I22" t="inlineStr">
        <is>
          <t xml:space="preserve">C</t>
        </is>
      </c>
      <c r="J22" t="inlineStr">
        <is>
          <t xml:space="preserve">Group 1</t>
        </is>
      </c>
      <c r="K22" t="inlineStr">
        <is>
          <t xml:space="preserve">Incoming International Wire - Ardenne Vale Trading Ltd</t>
        </is>
      </c>
      <c r="U22" s="1">
        <v>46156</v>
      </c>
      <c r="V22" t="inlineStr">
        <is>
          <t xml:space="preserve">Ardenne Vale Trading Ltd</t>
        </is>
      </c>
      <c r="W22" t="inlineStr">
        <is>
          <t xml:space="preserve">Al Salam Bank Seychelles Ltd</t>
        </is>
      </c>
      <c r="X22" t="inlineStr">
        <is>
          <t xml:space="preserve">SC22ASB0007719845</t>
        </is>
      </c>
      <c r="Y22" t="inlineStr">
        <is>
          <t xml:space="preserve">Marcus Delgado</t>
        </is>
      </c>
      <c r="Z22" t="inlineStr">
        <is>
          <t xml:space="preserve">Bank of America</t>
        </is>
      </c>
      <c r="AA22">
        <v>8135550142001</v>
      </c>
      <c r="AB22" t="inlineStr">
        <is>
          <t xml:space="preserve">Contract Advance</t>
        </is>
      </c>
    </row>
    <row r="23" spans="1:28" x14ac:dyDescent="0.2">
      <c r="A23" t="inlineStr">
        <is>
          <t xml:space="preserve">Marcus Delgado</t>
        </is>
      </c>
      <c r="B23" s="41">
        <v>8135550142001</v>
      </c>
      <c r="C23" t="inlineStr">
        <is>
          <t xml:space="preserve">P</t>
        </is>
      </c>
      <c r="D23" s="61">
        <f>D22+F23-G23</f>
        <v>17663.47</v>
      </c>
      <c r="E23" s="1">
        <v>46157</v>
      </c>
      <c r="F23" s="42">
        <v>0</v>
      </c>
      <c r="G23" s="59">
        <v>391.64</v>
      </c>
      <c r="H23" t="inlineStr">
        <is>
          <t xml:space="preserve">Debit Card</t>
        </is>
      </c>
      <c r="I23" t="inlineStr">
        <is>
          <t xml:space="preserve">D</t>
        </is>
      </c>
      <c r="J23" t="inlineStr">
        <is>
          <t xml:space="preserve">Untagged</t>
        </is>
      </c>
      <c r="K23" t="inlineStr">
        <is>
          <t xml:space="preserve">Publix Super Market #0728</t>
        </is>
      </c>
      <c r="L23" t="inlineStr">
        <is>
          <t xml:space="preserve">4356 2290 7714 5582</t>
        </is>
      </c>
      <c r="U23" s="1">
        <v>46157</v>
      </c>
    </row>
    <row r="24" spans="1:28" x14ac:dyDescent="0.2">
      <c r="A24" t="inlineStr">
        <is>
          <t xml:space="preserve">Marcus Delgado</t>
        </is>
      </c>
      <c r="B24" s="41">
        <v>8135550142001</v>
      </c>
      <c r="C24" t="inlineStr">
        <is>
          <t xml:space="preserve">P</t>
        </is>
      </c>
      <c r="D24" s="61">
        <f>D23+F24-G24</f>
        <v>6013.47</v>
      </c>
      <c r="E24" s="1">
        <v>46161</v>
      </c>
      <c r="F24" s="42">
        <v>0</v>
      </c>
      <c r="G24" s="59">
        <v>11650.0</v>
      </c>
      <c r="H24" t="inlineStr">
        <is>
          <t xml:space="preserve">Wire</t>
        </is>
      </c>
      <c r="I24" t="inlineStr">
        <is>
          <t xml:space="preserve">D</t>
        </is>
      </c>
      <c r="J24" t="inlineStr">
        <is>
          <t xml:space="preserve">Group 2</t>
        </is>
      </c>
      <c r="K24" t="inlineStr">
        <is>
          <t xml:space="preserve">Outgoing International Wire - Westhaven Cay Ltd</t>
        </is>
      </c>
      <c r="U24" s="1">
        <v>46161</v>
      </c>
      <c r="V24" t="inlineStr">
        <is>
          <t xml:space="preserve">Marcus Delgado</t>
        </is>
      </c>
      <c r="W24" t="inlineStr">
        <is>
          <t xml:space="preserve">Bank of America</t>
        </is>
      </c>
      <c r="X24">
        <v>8135550142001</v>
      </c>
      <c r="Y24" t="inlineStr">
        <is>
          <t xml:space="preserve">Westhaven Cay Ltd</t>
        </is>
      </c>
      <c r="Z24" t="inlineStr">
        <is>
          <t xml:space="preserve">Bank of Nevis International Ltd</t>
        </is>
      </c>
      <c r="AA24" t="inlineStr">
        <is>
          <t xml:space="preserve">KN63BNI0006640572</t>
        </is>
      </c>
      <c r="AB24" t="inlineStr">
        <is>
          <t xml:space="preserve">Advance Payment</t>
        </is>
      </c>
    </row>
    <row r="25" spans="1:28" x14ac:dyDescent="0.2">
      <c r="A25" t="inlineStr">
        <is>
          <t xml:space="preserve">Marcus Delgado</t>
        </is>
      </c>
      <c r="B25" s="41">
        <v>8135550142001</v>
      </c>
      <c r="C25" t="inlineStr">
        <is>
          <t xml:space="preserve">P</t>
        </is>
      </c>
      <c r="D25" s="61">
        <f>D24+F25-G25</f>
        <v>5845.02</v>
      </c>
      <c r="E25" s="1">
        <v>46162</v>
      </c>
      <c r="F25" s="42">
        <v>0</v>
      </c>
      <c r="G25" s="59">
        <v>168.45</v>
      </c>
      <c r="H25" t="inlineStr">
        <is>
          <t xml:space="preserve">ACH</t>
        </is>
      </c>
      <c r="I25" t="inlineStr">
        <is>
          <t xml:space="preserve">D</t>
        </is>
      </c>
      <c r="J25" t="inlineStr">
        <is>
          <t xml:space="preserve">Untagged</t>
        </is>
      </c>
      <c r="K25" t="inlineStr">
        <is>
          <t xml:space="preserve">Progressive Insurance - Auto Premium</t>
        </is>
      </c>
      <c r="U25" s="1">
        <v>46162</v>
      </c>
      <c r="V25" t="inlineStr">
        <is>
          <t xml:space="preserve">Marcus Delgado</t>
        </is>
      </c>
      <c r="W25" t="inlineStr">
        <is>
          <t xml:space="preserve">Bank of America</t>
        </is>
      </c>
      <c r="X25">
        <v>8135550142001</v>
      </c>
      <c r="Y25" t="inlineStr">
        <is>
          <t xml:space="preserve">Progressive Casualty Insurance Co</t>
        </is>
      </c>
      <c r="Z25" t="inlineStr">
        <is>
          <t xml:space="preserve">PNC Bank</t>
        </is>
      </c>
      <c r="AB25" t="inlineStr">
        <is>
          <t xml:space="preserve">Auto insurance premium</t>
        </is>
      </c>
    </row>
    <row r="26" spans="1:28" x14ac:dyDescent="0.2">
      <c r="A26" t="inlineStr">
        <is>
          <t xml:space="preserve">Marcus Delgado</t>
        </is>
      </c>
      <c r="B26" s="41">
        <v>8135550142001</v>
      </c>
      <c r="C26" t="inlineStr">
        <is>
          <t xml:space="preserve">P</t>
        </is>
      </c>
      <c r="D26" s="61">
        <f>D25+F26-G26</f>
        <v>5029.57</v>
      </c>
      <c r="E26" s="1">
        <v>46168</v>
      </c>
      <c r="F26" s="42">
        <v>0</v>
      </c>
      <c r="G26" s="59">
        <v>815.45</v>
      </c>
      <c r="H26" t="inlineStr">
        <is>
          <t xml:space="preserve">ACH</t>
        </is>
      </c>
      <c r="I26" t="inlineStr">
        <is>
          <t xml:space="preserve">D</t>
        </is>
      </c>
      <c r="J26" t="inlineStr">
        <is>
          <t xml:space="preserve">Untagged</t>
        </is>
      </c>
      <c r="K26" t="inlineStr">
        <is>
          <t xml:space="preserve">Chase Card Services - Credit Card Payment</t>
        </is>
      </c>
      <c r="U26" s="1">
        <v>46168</v>
      </c>
      <c r="V26" t="inlineStr">
        <is>
          <t xml:space="preserve">Marcus Delgado</t>
        </is>
      </c>
      <c r="W26" t="inlineStr">
        <is>
          <t xml:space="preserve">Bank of America</t>
        </is>
      </c>
      <c r="X26">
        <v>8135550142001</v>
      </c>
      <c r="Y26" t="inlineStr">
        <is>
          <t xml:space="preserve">Chase Card Services</t>
        </is>
      </c>
      <c r="Z26" t="inlineStr">
        <is>
          <t xml:space="preserve">JPMorgan Chase</t>
        </is>
      </c>
      <c r="AB26" t="inlineStr">
        <is>
          <t xml:space="preserve">Credit card payment</t>
        </is>
      </c>
    </row>
    <row r="27" spans="1:28" x14ac:dyDescent="0.2">
      <c r="A27" t="inlineStr">
        <is>
          <t xml:space="preserve">Marcus Delgado</t>
        </is>
      </c>
      <c r="B27" s="41">
        <v>8135550142001</v>
      </c>
      <c r="C27" t="inlineStr">
        <is>
          <t xml:space="preserve">P</t>
        </is>
      </c>
      <c r="D27" s="61">
        <f>D26+F27-G27</f>
        <v>9641.97</v>
      </c>
      <c r="E27" s="1">
        <v>46174</v>
      </c>
      <c r="F27" s="42">
        <v>4612.4</v>
      </c>
      <c r="G27" s="59">
        <v>0</v>
      </c>
      <c r="H27" t="inlineStr">
        <is>
          <t xml:space="preserve">ACH</t>
        </is>
      </c>
      <c r="I27" t="inlineStr">
        <is>
          <t xml:space="preserve">C</t>
        </is>
      </c>
      <c r="J27" t="inlineStr">
        <is>
          <t xml:space="preserve">Untagged</t>
        </is>
      </c>
      <c r="K27" t="inlineStr">
        <is>
          <t xml:space="preserve">Payroll Credit - Bayshore Precision Fabricators</t>
        </is>
      </c>
      <c r="U27" s="1">
        <v>46174</v>
      </c>
      <c r="V27" t="inlineStr">
        <is>
          <t xml:space="preserve">Bayshore Precision Fabricators, Inc.</t>
        </is>
      </c>
      <c r="W27" t="inlineStr">
        <is>
          <t xml:space="preserve">Truist Bank</t>
        </is>
      </c>
      <c r="AB27" t="inlineStr">
        <is>
          <t xml:space="preserve">Monthly payroll credit</t>
        </is>
      </c>
    </row>
    <row r="28" spans="1:28" x14ac:dyDescent="0.2">
      <c r="A28" t="inlineStr">
        <is>
          <t xml:space="preserve">Marcus Delgado</t>
        </is>
      </c>
      <c r="B28" s="41">
        <v>8135550142001</v>
      </c>
      <c r="C28" t="inlineStr">
        <is>
          <t xml:space="preserve">P</t>
        </is>
      </c>
      <c r="D28" s="61">
        <f>D27+F28-G28</f>
        <v>7691.97</v>
      </c>
      <c r="E28" s="1">
        <v>46176</v>
      </c>
      <c r="F28" s="42">
        <v>0</v>
      </c>
      <c r="G28" s="59">
        <v>1950.0</v>
      </c>
      <c r="H28" t="inlineStr">
        <is>
          <t xml:space="preserve">ACH</t>
        </is>
      </c>
      <c r="I28" t="inlineStr">
        <is>
          <t xml:space="preserve">D</t>
        </is>
      </c>
      <c r="J28" t="inlineStr">
        <is>
          <t xml:space="preserve">Untagged</t>
        </is>
      </c>
      <c r="K28" t="inlineStr">
        <is>
          <t xml:space="preserve">Rent Payment - Bayview Ridge Apartments</t>
        </is>
      </c>
      <c r="U28" s="1">
        <v>46176</v>
      </c>
      <c r="V28" t="inlineStr">
        <is>
          <t xml:space="preserve">Marcus Delgado</t>
        </is>
      </c>
      <c r="W28" t="inlineStr">
        <is>
          <t xml:space="preserve">Bank of America</t>
        </is>
      </c>
      <c r="X28">
        <v>8135550142001</v>
      </c>
      <c r="Y28" t="inlineStr">
        <is>
          <t xml:space="preserve">Bayview Ridge Apartments LLC</t>
        </is>
      </c>
      <c r="Z28" t="inlineStr">
        <is>
          <t xml:space="preserve">Truist Bank</t>
        </is>
      </c>
      <c r="AB28" t="inlineStr">
        <is>
          <t xml:space="preserve">Monthly rent</t>
        </is>
      </c>
    </row>
    <row r="29" spans="1:28" x14ac:dyDescent="0.2">
      <c r="A29" t="inlineStr">
        <is>
          <t xml:space="preserve">Marcus Delgado</t>
        </is>
      </c>
      <c r="B29" s="41">
        <v>8135550142001</v>
      </c>
      <c r="C29" t="inlineStr">
        <is>
          <t xml:space="preserve">P</t>
        </is>
      </c>
      <c r="D29" s="61">
        <f>D28+F29-G29</f>
        <v>7204.77</v>
      </c>
      <c r="E29" s="1">
        <v>46181</v>
      </c>
      <c r="F29" s="42">
        <v>0</v>
      </c>
      <c r="G29" s="59">
        <v>487.2</v>
      </c>
      <c r="H29" t="inlineStr">
        <is>
          <t xml:space="preserve">ACH</t>
        </is>
      </c>
      <c r="I29" t="inlineStr">
        <is>
          <t xml:space="preserve">D</t>
        </is>
      </c>
      <c r="J29" t="inlineStr">
        <is>
          <t xml:space="preserve">Untagged</t>
        </is>
      </c>
      <c r="K29" t="inlineStr">
        <is>
          <t xml:space="preserve">Auto Loan Payment - Suncoast Credit Union</t>
        </is>
      </c>
      <c r="U29" s="1">
        <v>46181</v>
      </c>
      <c r="V29" t="inlineStr">
        <is>
          <t xml:space="preserve">Marcus Delgado</t>
        </is>
      </c>
      <c r="W29" t="inlineStr">
        <is>
          <t xml:space="preserve">Bank of America</t>
        </is>
      </c>
      <c r="X29">
        <v>8135550142001</v>
      </c>
      <c r="Y29" t="inlineStr">
        <is>
          <t xml:space="preserve">Suncoast Credit Union</t>
        </is>
      </c>
      <c r="Z29" t="inlineStr">
        <is>
          <t xml:space="preserve">Suncoast Credit Union</t>
        </is>
      </c>
      <c r="AB29" t="inlineStr">
        <is>
          <t xml:space="preserve">Auto loan instalment</t>
        </is>
      </c>
    </row>
    <row r="30" spans="1:28" x14ac:dyDescent="0.2">
      <c r="A30" t="inlineStr">
        <is>
          <t xml:space="preserve">Marcus Delgado</t>
        </is>
      </c>
      <c r="B30" s="41">
        <v>8135550142001</v>
      </c>
      <c r="C30" t="inlineStr">
        <is>
          <t xml:space="preserve">P</t>
        </is>
      </c>
      <c r="D30" s="61">
        <f>D29+F30-G30</f>
        <v>6936.22</v>
      </c>
      <c r="E30" s="1">
        <v>46185</v>
      </c>
      <c r="F30" s="42">
        <v>0</v>
      </c>
      <c r="G30" s="59">
        <v>268.55</v>
      </c>
      <c r="H30" t="inlineStr">
        <is>
          <t xml:space="preserve">ACH</t>
        </is>
      </c>
      <c r="I30" t="inlineStr">
        <is>
          <t xml:space="preserve">D</t>
        </is>
      </c>
      <c r="J30" t="inlineStr">
        <is>
          <t xml:space="preserve">Untagged</t>
        </is>
      </c>
      <c r="K30" t="inlineStr">
        <is>
          <t xml:space="preserve">TECO Energy - Electric Bill</t>
        </is>
      </c>
      <c r="U30" s="1">
        <v>46185</v>
      </c>
      <c r="V30" t="inlineStr">
        <is>
          <t xml:space="preserve">Marcus Delgado</t>
        </is>
      </c>
      <c r="W30" t="inlineStr">
        <is>
          <t xml:space="preserve">Bank of America</t>
        </is>
      </c>
      <c r="X30">
        <v>8135550142001</v>
      </c>
      <c r="Y30" t="inlineStr">
        <is>
          <t xml:space="preserve">TECO Energy</t>
        </is>
      </c>
      <c r="Z30" t="inlineStr">
        <is>
          <t xml:space="preserve">Citizens Bank</t>
        </is>
      </c>
      <c r="AB30" t="inlineStr">
        <is>
          <t xml:space="preserve">Utility bill</t>
        </is>
      </c>
    </row>
    <row r="31" spans="1:28" x14ac:dyDescent="0.2">
      <c r="A31" t="inlineStr">
        <is>
          <t xml:space="preserve">Marcus Delgado</t>
        </is>
      </c>
      <c r="B31" s="41">
        <v>8135550142001</v>
      </c>
      <c r="C31" t="inlineStr">
        <is>
          <t xml:space="preserve">P</t>
        </is>
      </c>
      <c r="D31" s="61">
        <f>D30+F31-G31</f>
        <v>6517.92</v>
      </c>
      <c r="E31" s="1">
        <v>46188</v>
      </c>
      <c r="F31" s="42">
        <v>0</v>
      </c>
      <c r="G31" s="59">
        <v>418.3</v>
      </c>
      <c r="H31" t="inlineStr">
        <is>
          <t xml:space="preserve">Debit Card</t>
        </is>
      </c>
      <c r="I31" t="inlineStr">
        <is>
          <t xml:space="preserve">D</t>
        </is>
      </c>
      <c r="J31" t="inlineStr">
        <is>
          <t xml:space="preserve">Untagged</t>
        </is>
      </c>
      <c r="K31" t="inlineStr">
        <is>
          <t xml:space="preserve">Publix Super Market #0728</t>
        </is>
      </c>
      <c r="L31" t="inlineStr">
        <is>
          <t xml:space="preserve">4356 2290 7714 5582</t>
        </is>
      </c>
      <c r="U31" s="1">
        <v>46188</v>
      </c>
    </row>
    <row r="32" spans="1:28" x14ac:dyDescent="0.2">
      <c r="A32" t="inlineStr">
        <is>
          <t xml:space="preserve">Marcus Delgado</t>
        </is>
      </c>
      <c r="B32" s="41">
        <v>8135550142001</v>
      </c>
      <c r="C32" t="inlineStr">
        <is>
          <t xml:space="preserve">P</t>
        </is>
      </c>
      <c r="D32" s="61">
        <f>D31+F32-G32</f>
        <v>6349.47</v>
      </c>
      <c r="E32" s="1">
        <v>46191</v>
      </c>
      <c r="F32" s="42">
        <v>0</v>
      </c>
      <c r="G32" s="59">
        <v>168.45</v>
      </c>
      <c r="H32" t="inlineStr">
        <is>
          <t xml:space="preserve">ACH</t>
        </is>
      </c>
      <c r="I32" t="inlineStr">
        <is>
          <t xml:space="preserve">D</t>
        </is>
      </c>
      <c r="J32" t="inlineStr">
        <is>
          <t xml:space="preserve">Untagged</t>
        </is>
      </c>
      <c r="K32" t="inlineStr">
        <is>
          <t xml:space="preserve">Progressive Insurance - Auto Premium</t>
        </is>
      </c>
      <c r="U32" s="1">
        <v>46191</v>
      </c>
      <c r="V32" t="inlineStr">
        <is>
          <t xml:space="preserve">Marcus Delgado</t>
        </is>
      </c>
      <c r="W32" t="inlineStr">
        <is>
          <t xml:space="preserve">Bank of America</t>
        </is>
      </c>
      <c r="X32">
        <v>8135550142001</v>
      </c>
      <c r="Y32" t="inlineStr">
        <is>
          <t xml:space="preserve">Progressive Casualty Insurance Co</t>
        </is>
      </c>
      <c r="Z32" t="inlineStr">
        <is>
          <t xml:space="preserve">PNC Bank</t>
        </is>
      </c>
      <c r="AB32" t="inlineStr">
        <is>
          <t xml:space="preserve">Auto insurance premium</t>
        </is>
      </c>
    </row>
    <row r="33" spans="1:28" x14ac:dyDescent="0.2">
      <c r="A33" t="inlineStr">
        <is>
          <t xml:space="preserve">Marcus Delgado</t>
        </is>
      </c>
      <c r="B33" s="41">
        <v>8135550142001</v>
      </c>
      <c r="C33" t="inlineStr">
        <is>
          <t xml:space="preserve">P</t>
        </is>
      </c>
      <c r="D33" s="61">
        <f>D32+F33-G33</f>
        <v>5644.37</v>
      </c>
      <c r="E33" s="1">
        <v>46197</v>
      </c>
      <c r="F33" s="42">
        <v>0</v>
      </c>
      <c r="G33" s="59">
        <v>705.1</v>
      </c>
      <c r="H33" t="inlineStr">
        <is>
          <t xml:space="preserve">ACH</t>
        </is>
      </c>
      <c r="I33" t="inlineStr">
        <is>
          <t xml:space="preserve">D</t>
        </is>
      </c>
      <c r="J33" t="inlineStr">
        <is>
          <t xml:space="preserve">Untagged</t>
        </is>
      </c>
      <c r="K33" t="inlineStr">
        <is>
          <t xml:space="preserve">Chase Card Services - Credit Card Payment</t>
        </is>
      </c>
      <c r="U33" s="1">
        <v>46197</v>
      </c>
      <c r="V33" t="inlineStr">
        <is>
          <t xml:space="preserve">Marcus Delgado</t>
        </is>
      </c>
      <c r="W33" t="inlineStr">
        <is>
          <t xml:space="preserve">Bank of America</t>
        </is>
      </c>
      <c r="X33">
        <v>8135550142001</v>
      </c>
      <c r="Y33" t="inlineStr">
        <is>
          <t xml:space="preserve">Chase Card Services</t>
        </is>
      </c>
      <c r="Z33" t="inlineStr">
        <is>
          <t xml:space="preserve">JPMorgan Chase</t>
        </is>
      </c>
      <c r="AB33" t="inlineStr">
        <is>
          <t xml:space="preserve">Credit card payment</t>
        </is>
      </c>
    </row>
    <row r="34" spans="1:28" x14ac:dyDescent="0.2">
      <c r="A34" t="inlineStr">
        <is>
          <t xml:space="preserve">Marcus Delgado</t>
        </is>
      </c>
      <c r="B34" s="41">
        <v>8135550142001</v>
      </c>
      <c r="C34" t="inlineStr">
        <is>
          <t xml:space="preserve">P</t>
        </is>
      </c>
      <c r="D34" s="61">
        <f>D33+F34-G34</f>
        <v>10375.53</v>
      </c>
      <c r="E34" s="1">
        <v>46204</v>
      </c>
      <c r="F34" s="42">
        <v>4731.16</v>
      </c>
      <c r="G34" s="59">
        <v>0</v>
      </c>
      <c r="H34" t="inlineStr">
        <is>
          <t xml:space="preserve">ACH</t>
        </is>
      </c>
      <c r="I34" t="inlineStr">
        <is>
          <t xml:space="preserve">C</t>
        </is>
      </c>
      <c r="J34" t="inlineStr">
        <is>
          <t xml:space="preserve">Untagged</t>
        </is>
      </c>
      <c r="K34" t="inlineStr">
        <is>
          <t xml:space="preserve">Payroll Credit - Bayshore Precision Fabricators</t>
        </is>
      </c>
      <c r="U34" s="1">
        <v>46204</v>
      </c>
      <c r="V34" t="inlineStr">
        <is>
          <t xml:space="preserve">Bayshore Precision Fabricators, Inc.</t>
        </is>
      </c>
      <c r="W34" t="inlineStr">
        <is>
          <t xml:space="preserve">Truist Bank</t>
        </is>
      </c>
      <c r="AB34" t="inlineStr">
        <is>
          <t xml:space="preserve">Monthly payroll credit</t>
        </is>
      </c>
    </row>
    <row r="35" spans="1:28" x14ac:dyDescent="0.2">
      <c r="A35" t="inlineStr">
        <is>
          <t xml:space="preserve">Marcus Delgado</t>
        </is>
      </c>
      <c r="B35" s="41">
        <v>8135550142001</v>
      </c>
      <c r="C35" t="inlineStr">
        <is>
          <t xml:space="preserve">P</t>
        </is>
      </c>
      <c r="D35" s="61">
        <f>D34+F35-G35</f>
        <v>8425.53</v>
      </c>
      <c r="E35" s="1">
        <v>46206</v>
      </c>
      <c r="F35" s="42">
        <v>0</v>
      </c>
      <c r="G35" s="59">
        <v>1950.0</v>
      </c>
      <c r="H35" t="inlineStr">
        <is>
          <t xml:space="preserve">ACH</t>
        </is>
      </c>
      <c r="I35" t="inlineStr">
        <is>
          <t xml:space="preserve">D</t>
        </is>
      </c>
      <c r="J35" t="inlineStr">
        <is>
          <t xml:space="preserve">Untagged</t>
        </is>
      </c>
      <c r="K35" t="inlineStr">
        <is>
          <t xml:space="preserve">Rent Payment - Bayview Ridge Apartments</t>
        </is>
      </c>
      <c r="U35" s="1">
        <v>46206</v>
      </c>
      <c r="V35" t="inlineStr">
        <is>
          <t xml:space="preserve">Marcus Delgado</t>
        </is>
      </c>
      <c r="W35" t="inlineStr">
        <is>
          <t xml:space="preserve">Bank of America</t>
        </is>
      </c>
      <c r="X35">
        <v>8135550142001</v>
      </c>
      <c r="Y35" t="inlineStr">
        <is>
          <t xml:space="preserve">Bayview Ridge Apartments LLC</t>
        </is>
      </c>
      <c r="Z35" t="inlineStr">
        <is>
          <t xml:space="preserve">Truist Bank</t>
        </is>
      </c>
      <c r="AB35" t="inlineStr">
        <is>
          <t xml:space="preserve">Monthly rent</t>
        </is>
      </c>
    </row>
    <row r="36" spans="1:28" x14ac:dyDescent="0.2">
      <c r="A36" t="inlineStr">
        <is>
          <t xml:space="preserve">Marcus Delgado</t>
        </is>
      </c>
      <c r="B36" s="41">
        <v>8135550142001</v>
      </c>
      <c r="C36" t="inlineStr">
        <is>
          <t xml:space="preserve">P</t>
        </is>
      </c>
      <c r="D36" s="61">
        <f>D35+F36-G36</f>
        <v>7938.33</v>
      </c>
      <c r="E36" s="1">
        <v>46211</v>
      </c>
      <c r="F36" s="42">
        <v>0</v>
      </c>
      <c r="G36" s="59">
        <v>487.2</v>
      </c>
      <c r="H36" t="inlineStr">
        <is>
          <t xml:space="preserve">ACH</t>
        </is>
      </c>
      <c r="I36" t="inlineStr">
        <is>
          <t xml:space="preserve">D</t>
        </is>
      </c>
      <c r="J36" t="inlineStr">
        <is>
          <t xml:space="preserve">Untagged</t>
        </is>
      </c>
      <c r="K36" t="inlineStr">
        <is>
          <t xml:space="preserve">Auto Loan Payment - Suncoast Credit Union</t>
        </is>
      </c>
      <c r="U36" s="1">
        <v>46211</v>
      </c>
      <c r="V36" t="inlineStr">
        <is>
          <t xml:space="preserve">Marcus Delgado</t>
        </is>
      </c>
      <c r="W36" t="inlineStr">
        <is>
          <t xml:space="preserve">Bank of America</t>
        </is>
      </c>
      <c r="X36">
        <v>8135550142001</v>
      </c>
      <c r="Y36" t="inlineStr">
        <is>
          <t xml:space="preserve">Suncoast Credit Union</t>
        </is>
      </c>
      <c r="Z36" t="inlineStr">
        <is>
          <t xml:space="preserve">Suncoast Credit Union</t>
        </is>
      </c>
      <c r="AB36" t="inlineStr">
        <is>
          <t xml:space="preserve">Auto loan instalment</t>
        </is>
      </c>
    </row>
    <row r="37" spans="1:28" x14ac:dyDescent="0.2">
      <c r="A37" t="inlineStr">
        <is>
          <t xml:space="preserve">Marcus Delgado</t>
        </is>
      </c>
      <c r="B37" s="41">
        <v>8135550142001</v>
      </c>
      <c r="C37" t="inlineStr">
        <is>
          <t xml:space="preserve">P</t>
        </is>
      </c>
      <c r="D37" s="61">
        <f>D36+F37-G37</f>
        <v>7647.13</v>
      </c>
      <c r="E37" s="1">
        <v>46216</v>
      </c>
      <c r="F37" s="42">
        <v>0</v>
      </c>
      <c r="G37" s="59">
        <v>291.2</v>
      </c>
      <c r="H37" t="inlineStr">
        <is>
          <t xml:space="preserve">ACH</t>
        </is>
      </c>
      <c r="I37" t="inlineStr">
        <is>
          <t xml:space="preserve">D</t>
        </is>
      </c>
      <c r="J37" t="inlineStr">
        <is>
          <t xml:space="preserve">Untagged</t>
        </is>
      </c>
      <c r="K37" t="inlineStr">
        <is>
          <t xml:space="preserve">TECO Energy - Electric Bill</t>
        </is>
      </c>
      <c r="U37" s="1">
        <v>46216</v>
      </c>
      <c r="V37" t="inlineStr">
        <is>
          <t xml:space="preserve">Marcus Delgado</t>
        </is>
      </c>
      <c r="W37" t="inlineStr">
        <is>
          <t xml:space="preserve">Bank of America</t>
        </is>
      </c>
      <c r="X37">
        <v>8135550142001</v>
      </c>
      <c r="Y37" t="inlineStr">
        <is>
          <t xml:space="preserve">TECO Energy</t>
        </is>
      </c>
      <c r="Z37" t="inlineStr">
        <is>
          <t xml:space="preserve">Citizens Bank</t>
        </is>
      </c>
      <c r="AB37" t="inlineStr">
        <is>
          <t xml:space="preserve">Utility bill</t>
        </is>
      </c>
    </row>
    <row r="38" spans="1:28" x14ac:dyDescent="0.2">
      <c r="A38" t="inlineStr">
        <is>
          <t xml:space="preserve">Marcus Delgado</t>
        </is>
      </c>
      <c r="B38" s="41">
        <v>8135550142001</v>
      </c>
      <c r="C38" t="inlineStr">
        <is>
          <t xml:space="preserve">P</t>
        </is>
      </c>
      <c r="D38" s="61">
        <f>D37+F38-G38</f>
        <v>7199.28</v>
      </c>
      <c r="E38" s="1">
        <v>46218</v>
      </c>
      <c r="F38" s="42">
        <v>0</v>
      </c>
      <c r="G38" s="59">
        <v>447.85</v>
      </c>
      <c r="H38" t="inlineStr">
        <is>
          <t xml:space="preserve">Debit Card</t>
        </is>
      </c>
      <c r="I38" t="inlineStr">
        <is>
          <t xml:space="preserve">D</t>
        </is>
      </c>
      <c r="J38" t="inlineStr">
        <is>
          <t xml:space="preserve">Untagged</t>
        </is>
      </c>
      <c r="K38" t="inlineStr">
        <is>
          <t xml:space="preserve">Publix Super Market #0728</t>
        </is>
      </c>
      <c r="L38" t="inlineStr">
        <is>
          <t xml:space="preserve">4356 2290 7714 5582</t>
        </is>
      </c>
      <c r="U38" s="1">
        <v>46218</v>
      </c>
    </row>
    <row r="39" spans="1:28" x14ac:dyDescent="0.2">
      <c r="A39" t="inlineStr">
        <is>
          <t xml:space="preserve">Marcus Delgado</t>
        </is>
      </c>
      <c r="B39" s="41">
        <v>8135550142001</v>
      </c>
      <c r="C39" t="inlineStr">
        <is>
          <t xml:space="preserve">P</t>
        </is>
      </c>
      <c r="D39" s="61">
        <f>D38+F39-G39</f>
        <v>7030.83</v>
      </c>
      <c r="E39" s="1">
        <v>46223</v>
      </c>
      <c r="F39" s="42">
        <v>0</v>
      </c>
      <c r="G39" s="59">
        <v>168.45</v>
      </c>
      <c r="H39" t="inlineStr">
        <is>
          <t xml:space="preserve">ACH</t>
        </is>
      </c>
      <c r="I39" t="inlineStr">
        <is>
          <t xml:space="preserve">D</t>
        </is>
      </c>
      <c r="J39" t="inlineStr">
        <is>
          <t xml:space="preserve">Untagged</t>
        </is>
      </c>
      <c r="K39" t="inlineStr">
        <is>
          <t xml:space="preserve">Progressive Insurance - Auto Premium</t>
        </is>
      </c>
      <c r="U39" s="1">
        <v>46223</v>
      </c>
      <c r="V39" t="inlineStr">
        <is>
          <t xml:space="preserve">Marcus Delgado</t>
        </is>
      </c>
      <c r="W39" t="inlineStr">
        <is>
          <t xml:space="preserve">Bank of America</t>
        </is>
      </c>
      <c r="X39">
        <v>8135550142001</v>
      </c>
      <c r="Y39" t="inlineStr">
        <is>
          <t xml:space="preserve">Progressive Casualty Insurance Co</t>
        </is>
      </c>
      <c r="Z39" t="inlineStr">
        <is>
          <t xml:space="preserve">PNC Bank</t>
        </is>
      </c>
      <c r="AB39" t="inlineStr">
        <is>
          <t xml:space="preserve">Auto insurance premium</t>
        </is>
      </c>
    </row>
    <row r="40" spans="1:28" x14ac:dyDescent="0.2">
      <c r="A40" t="inlineStr">
        <is>
          <t xml:space="preserve">Marcus Delgado</t>
        </is>
      </c>
      <c r="B40" s="41">
        <v>8135550142001</v>
      </c>
      <c r="C40" t="inlineStr">
        <is>
          <t xml:space="preserve">P</t>
        </is>
      </c>
      <c r="D40" s="61">
        <f>D39+F40-G40</f>
        <v>19980.83</v>
      </c>
      <c r="E40" s="1">
        <v>46224</v>
      </c>
      <c r="F40" s="42">
        <v>12950.0</v>
      </c>
      <c r="G40" s="59">
        <v>0</v>
      </c>
      <c r="H40" t="inlineStr">
        <is>
          <t xml:space="preserve">Wire</t>
        </is>
      </c>
      <c r="I40" t="inlineStr">
        <is>
          <t xml:space="preserve">C</t>
        </is>
      </c>
      <c r="J40" t="inlineStr">
        <is>
          <t xml:space="preserve">Group 1</t>
        </is>
      </c>
      <c r="K40" t="inlineStr">
        <is>
          <t xml:space="preserve">Incoming International Wire - Solmere Pacific Ltd</t>
        </is>
      </c>
      <c r="U40" s="1">
        <v>46224</v>
      </c>
      <c r="V40" t="inlineStr">
        <is>
          <t xml:space="preserve">Solmere Pacific Ltd</t>
        </is>
      </c>
      <c r="W40" t="inlineStr">
        <is>
          <t xml:space="preserve">BMI Offshore Bank Ltd</t>
        </is>
      </c>
      <c r="X40" t="inlineStr">
        <is>
          <t xml:space="preserve">SC91BMI0005583367</t>
        </is>
      </c>
      <c r="Y40" t="inlineStr">
        <is>
          <t xml:space="preserve">Marcus Delgado</t>
        </is>
      </c>
      <c r="Z40" t="inlineStr">
        <is>
          <t xml:space="preserve">Bank of America</t>
        </is>
      </c>
      <c r="AA40">
        <v>8135550142001</v>
      </c>
      <c r="AB40" t="inlineStr">
        <is>
          <t xml:space="preserve">Service Fee Remittance</t>
        </is>
      </c>
    </row>
    <row r="41" spans="1:28" x14ac:dyDescent="0.2">
      <c r="A41" t="inlineStr">
        <is>
          <t xml:space="preserve">Marcus Delgado</t>
        </is>
      </c>
      <c r="B41" s="41">
        <v>8135550142001</v>
      </c>
      <c r="C41" t="inlineStr">
        <is>
          <t xml:space="preserve">P</t>
        </is>
      </c>
      <c r="D41" s="61">
        <f>D40+F41-G41</f>
        <v>7180.83</v>
      </c>
      <c r="E41" s="1">
        <v>46227</v>
      </c>
      <c r="F41" s="42">
        <v>0</v>
      </c>
      <c r="G41" s="59">
        <v>12800.0</v>
      </c>
      <c r="H41" t="inlineStr">
        <is>
          <t xml:space="preserve">Wire</t>
        </is>
      </c>
      <c r="I41" t="inlineStr">
        <is>
          <t xml:space="preserve">D</t>
        </is>
      </c>
      <c r="J41" t="inlineStr">
        <is>
          <t xml:space="preserve">Group 2</t>
        </is>
      </c>
      <c r="K41" t="inlineStr">
        <is>
          <t xml:space="preserve">Outgoing International Wire - Calderon Reef Trading Ltd</t>
        </is>
      </c>
      <c r="U41" s="1">
        <v>46227</v>
      </c>
      <c r="V41" t="inlineStr">
        <is>
          <t xml:space="preserve">Marcus Delgado</t>
        </is>
      </c>
      <c r="W41" t="inlineStr">
        <is>
          <t xml:space="preserve">Bank of America</t>
        </is>
      </c>
      <c r="X41">
        <v>8135550142001</v>
      </c>
      <c r="Y41" t="inlineStr">
        <is>
          <t xml:space="preserve">Calderon Reef Trading Ltd</t>
        </is>
      </c>
      <c r="Z41" t="inlineStr">
        <is>
          <t xml:space="preserve">Heritage International Bank &amp; Trust Ltd</t>
        </is>
      </c>
      <c r="AA41" t="inlineStr">
        <is>
          <t xml:space="preserve">BZ15HIB0001174429</t>
        </is>
      </c>
      <c r="AB41" t="inlineStr">
        <is>
          <t xml:space="preserve">Equipment Settlement</t>
        </is>
      </c>
    </row>
    <row r="42" spans="1:28" x14ac:dyDescent="0.2">
      <c r="A42" t="inlineStr">
        <is>
          <t xml:space="preserve">Marcus Delgado</t>
        </is>
      </c>
      <c r="B42" s="41">
        <v>8135550142001</v>
      </c>
      <c r="C42" t="inlineStr">
        <is>
          <t xml:space="preserve">P</t>
        </is>
      </c>
      <c r="D42" s="61">
        <f>D41+F42-G42</f>
        <v>6410.93</v>
      </c>
      <c r="E42" s="1">
        <v>46230</v>
      </c>
      <c r="F42" s="42">
        <v>0</v>
      </c>
      <c r="G42" s="59">
        <v>769.9</v>
      </c>
      <c r="H42" t="inlineStr">
        <is>
          <t xml:space="preserve">ACH</t>
        </is>
      </c>
      <c r="I42" t="inlineStr">
        <is>
          <t xml:space="preserve">D</t>
        </is>
      </c>
      <c r="J42" t="inlineStr">
        <is>
          <t xml:space="preserve">Untagged</t>
        </is>
      </c>
      <c r="K42" t="inlineStr">
        <is>
          <t xml:space="preserve">Chase Card Services - Credit Card Payment</t>
        </is>
      </c>
      <c r="U42" s="1">
        <v>46230</v>
      </c>
      <c r="V42" t="inlineStr">
        <is>
          <t xml:space="preserve">Marcus Delgado</t>
        </is>
      </c>
      <c r="W42" t="inlineStr">
        <is>
          <t xml:space="preserve">Bank of America</t>
        </is>
      </c>
      <c r="X42">
        <v>8135550142001</v>
      </c>
      <c r="Y42" t="inlineStr">
        <is>
          <t xml:space="preserve">Chase Card Services</t>
        </is>
      </c>
      <c r="Z42" t="inlineStr">
        <is>
          <t xml:space="preserve">JPMorgan Chase</t>
        </is>
      </c>
      <c r="AB42" t="inlineStr">
        <is>
          <t xml:space="preserve">Credit card payment</t>
        </is>
      </c>
    </row>
    <row r="43" spans="1:28" x14ac:dyDescent="0.2">
      <c r="A43" t="inlineStr">
        <is>
          <t xml:space="preserve">Marcus Delgado</t>
        </is>
      </c>
      <c r="B43" s="41">
        <v>8135550142001</v>
      </c>
      <c r="C43" t="inlineStr">
        <is>
          <t xml:space="preserve">P</t>
        </is>
      </c>
      <c r="D43" s="61">
        <f>D42+F43-G43</f>
        <v>11023.33</v>
      </c>
      <c r="E43" s="1">
        <v>46237</v>
      </c>
      <c r="F43" s="42">
        <v>4612.4</v>
      </c>
      <c r="G43" s="59">
        <v>0</v>
      </c>
      <c r="H43" t="inlineStr">
        <is>
          <t xml:space="preserve">ACH</t>
        </is>
      </c>
      <c r="I43" t="inlineStr">
        <is>
          <t xml:space="preserve">C</t>
        </is>
      </c>
      <c r="J43" t="inlineStr">
        <is>
          <t xml:space="preserve">Untagged</t>
        </is>
      </c>
      <c r="K43" t="inlineStr">
        <is>
          <t xml:space="preserve">Payroll Credit - Bayshore Precision Fabricators</t>
        </is>
      </c>
      <c r="U43" s="1">
        <v>46237</v>
      </c>
      <c r="V43" t="inlineStr">
        <is>
          <t xml:space="preserve">Bayshore Precision Fabricators, Inc.</t>
        </is>
      </c>
      <c r="W43" t="inlineStr">
        <is>
          <t xml:space="preserve">Truist Bank</t>
        </is>
      </c>
      <c r="AB43" t="inlineStr">
        <is>
          <t xml:space="preserve">Monthly payroll credit</t>
        </is>
      </c>
    </row>
    <row r="44" spans="1:28" x14ac:dyDescent="0.2">
      <c r="A44" t="inlineStr">
        <is>
          <t xml:space="preserve">Marcus Delgado</t>
        </is>
      </c>
      <c r="B44" s="41">
        <v>8135550142001</v>
      </c>
      <c r="C44" t="inlineStr">
        <is>
          <t xml:space="preserve">P</t>
        </is>
      </c>
      <c r="D44" s="61">
        <f>D43+F44-G44</f>
        <v>9073.33</v>
      </c>
      <c r="E44" s="1">
        <v>46238</v>
      </c>
      <c r="F44" s="42">
        <v>0</v>
      </c>
      <c r="G44" s="59">
        <v>1950.0</v>
      </c>
      <c r="H44" t="inlineStr">
        <is>
          <t xml:space="preserve">ACH</t>
        </is>
      </c>
      <c r="I44" t="inlineStr">
        <is>
          <t xml:space="preserve">D</t>
        </is>
      </c>
      <c r="J44" t="inlineStr">
        <is>
          <t xml:space="preserve">Untagged</t>
        </is>
      </c>
      <c r="K44" t="inlineStr">
        <is>
          <t xml:space="preserve">Rent Payment - Bayview Ridge Apartments</t>
        </is>
      </c>
      <c r="U44" s="1">
        <v>46238</v>
      </c>
      <c r="V44" t="inlineStr">
        <is>
          <t xml:space="preserve">Marcus Delgado</t>
        </is>
      </c>
      <c r="W44" t="inlineStr">
        <is>
          <t xml:space="preserve">Bank of America</t>
        </is>
      </c>
      <c r="X44">
        <v>8135550142001</v>
      </c>
      <c r="Y44" t="inlineStr">
        <is>
          <t xml:space="preserve">Bayview Ridge Apartments LLC</t>
        </is>
      </c>
      <c r="Z44" t="inlineStr">
        <is>
          <t xml:space="preserve">Truist Bank</t>
        </is>
      </c>
      <c r="AB44" t="inlineStr">
        <is>
          <t xml:space="preserve">Monthly rent</t>
        </is>
      </c>
    </row>
    <row r="45" spans="1:28" x14ac:dyDescent="0.2">
      <c r="A45" t="inlineStr">
        <is>
          <t xml:space="preserve">Marcus Delgado</t>
        </is>
      </c>
      <c r="B45" s="41">
        <v>8135550142001</v>
      </c>
      <c r="C45" t="inlineStr">
        <is>
          <t xml:space="preserve">P</t>
        </is>
      </c>
      <c r="D45" s="61">
        <f>D44+F45-G45</f>
        <v>8586.13</v>
      </c>
      <c r="E45" s="1">
        <v>46244</v>
      </c>
      <c r="F45" s="42">
        <v>0</v>
      </c>
      <c r="G45" s="59">
        <v>487.2</v>
      </c>
      <c r="H45" t="inlineStr">
        <is>
          <t xml:space="preserve">ACH</t>
        </is>
      </c>
      <c r="I45" t="inlineStr">
        <is>
          <t xml:space="preserve">D</t>
        </is>
      </c>
      <c r="J45" t="inlineStr">
        <is>
          <t xml:space="preserve">Untagged</t>
        </is>
      </c>
      <c r="K45" t="inlineStr">
        <is>
          <t xml:space="preserve">Auto Loan Payment - Suncoast Credit Union</t>
        </is>
      </c>
      <c r="U45" s="1">
        <v>46244</v>
      </c>
      <c r="V45" t="inlineStr">
        <is>
          <t xml:space="preserve">Marcus Delgado</t>
        </is>
      </c>
      <c r="W45" t="inlineStr">
        <is>
          <t xml:space="preserve">Bank of America</t>
        </is>
      </c>
      <c r="X45">
        <v>8135550142001</v>
      </c>
      <c r="Y45" t="inlineStr">
        <is>
          <t xml:space="preserve">Suncoast Credit Union</t>
        </is>
      </c>
      <c r="Z45" t="inlineStr">
        <is>
          <t xml:space="preserve">Suncoast Credit Union</t>
        </is>
      </c>
      <c r="AB45" t="inlineStr">
        <is>
          <t xml:space="preserve">Auto loan instalment</t>
        </is>
      </c>
    </row>
    <row r="46" spans="1:28" x14ac:dyDescent="0.2">
      <c r="A46" t="inlineStr">
        <is>
          <t xml:space="preserve">Marcus Delgado</t>
        </is>
      </c>
      <c r="B46" s="41">
        <v>8135550142001</v>
      </c>
      <c r="C46" t="inlineStr">
        <is>
          <t xml:space="preserve">P</t>
        </is>
      </c>
      <c r="D46" s="61">
        <f>D45+F46-G46</f>
        <v>8306.78</v>
      </c>
      <c r="E46" s="1">
        <v>46246</v>
      </c>
      <c r="F46" s="42">
        <v>0</v>
      </c>
      <c r="G46" s="59">
        <v>279.35</v>
      </c>
      <c r="H46" t="inlineStr">
        <is>
          <t xml:space="preserve">ACH</t>
        </is>
      </c>
      <c r="I46" t="inlineStr">
        <is>
          <t xml:space="preserve">D</t>
        </is>
      </c>
      <c r="J46" t="inlineStr">
        <is>
          <t xml:space="preserve">Untagged</t>
        </is>
      </c>
      <c r="K46" t="inlineStr">
        <is>
          <t xml:space="preserve">TECO Energy - Electric Bill</t>
        </is>
      </c>
      <c r="U46" s="1">
        <v>46246</v>
      </c>
      <c r="V46" t="inlineStr">
        <is>
          <t xml:space="preserve">Marcus Delgado</t>
        </is>
      </c>
      <c r="W46" t="inlineStr">
        <is>
          <t xml:space="preserve">Bank of America</t>
        </is>
      </c>
      <c r="X46">
        <v>8135550142001</v>
      </c>
      <c r="Y46" t="inlineStr">
        <is>
          <t xml:space="preserve">TECO Energy</t>
        </is>
      </c>
      <c r="Z46" t="inlineStr">
        <is>
          <t xml:space="preserve">Citizens Bank</t>
        </is>
      </c>
      <c r="AB46" t="inlineStr">
        <is>
          <t xml:space="preserve">Utility bill</t>
        </is>
      </c>
    </row>
    <row r="47" spans="1:28" x14ac:dyDescent="0.2">
      <c r="A47" t="inlineStr">
        <is>
          <t xml:space="preserve">Marcus Delgado</t>
        </is>
      </c>
      <c r="B47" s="41">
        <v>8135550142001</v>
      </c>
      <c r="C47" t="inlineStr">
        <is>
          <t xml:space="preserve">P</t>
        </is>
      </c>
      <c r="D47" s="61">
        <f>D46+F47-G47</f>
        <v>7877.18</v>
      </c>
      <c r="E47" s="1">
        <v>46251</v>
      </c>
      <c r="F47" s="42">
        <v>0</v>
      </c>
      <c r="G47" s="59">
        <v>429.6</v>
      </c>
      <c r="H47" t="inlineStr">
        <is>
          <t xml:space="preserve">Debit Card</t>
        </is>
      </c>
      <c r="I47" t="inlineStr">
        <is>
          <t xml:space="preserve">D</t>
        </is>
      </c>
      <c r="J47" t="inlineStr">
        <is>
          <t xml:space="preserve">Untagged</t>
        </is>
      </c>
      <c r="K47" t="inlineStr">
        <is>
          <t xml:space="preserve">Publix Super Market #0728</t>
        </is>
      </c>
      <c r="L47" t="inlineStr">
        <is>
          <t xml:space="preserve">4356 2290 7714 5582</t>
        </is>
      </c>
      <c r="U47" s="1">
        <v>46251</v>
      </c>
    </row>
    <row r="48" spans="1:28" x14ac:dyDescent="0.2">
      <c r="A48" t="inlineStr">
        <is>
          <t xml:space="preserve">Marcus Delgado</t>
        </is>
      </c>
      <c r="B48" s="41">
        <v>8135550142001</v>
      </c>
      <c r="C48" t="inlineStr">
        <is>
          <t xml:space="preserve">P</t>
        </is>
      </c>
      <c r="D48" s="61">
        <f>D47+F48-G48</f>
        <v>7708.73</v>
      </c>
      <c r="E48" s="1">
        <v>46252</v>
      </c>
      <c r="F48" s="42">
        <v>0</v>
      </c>
      <c r="G48" s="59">
        <v>168.45</v>
      </c>
      <c r="H48" t="inlineStr">
        <is>
          <t xml:space="preserve">ACH</t>
        </is>
      </c>
      <c r="I48" t="inlineStr">
        <is>
          <t xml:space="preserve">D</t>
        </is>
      </c>
      <c r="J48" t="inlineStr">
        <is>
          <t xml:space="preserve">Untagged</t>
        </is>
      </c>
      <c r="K48" t="inlineStr">
        <is>
          <t xml:space="preserve">Progressive Insurance - Auto Premium</t>
        </is>
      </c>
      <c r="U48" s="1">
        <v>46252</v>
      </c>
      <c r="V48" t="inlineStr">
        <is>
          <t xml:space="preserve">Marcus Delgado</t>
        </is>
      </c>
      <c r="W48" t="inlineStr">
        <is>
          <t xml:space="preserve">Bank of America</t>
        </is>
      </c>
      <c r="X48">
        <v>8135550142001</v>
      </c>
      <c r="Y48" t="inlineStr">
        <is>
          <t xml:space="preserve">Progressive Casualty Insurance Co</t>
        </is>
      </c>
      <c r="Z48" t="inlineStr">
        <is>
          <t xml:space="preserve">PNC Bank</t>
        </is>
      </c>
      <c r="AB48" t="inlineStr">
        <is>
          <t xml:space="preserve">Auto insurance premium</t>
        </is>
      </c>
    </row>
    <row r="49" spans="1:28" x14ac:dyDescent="0.2">
      <c r="A49" t="inlineStr">
        <is>
          <t xml:space="preserve">Marcus Delgado</t>
        </is>
      </c>
      <c r="B49" s="41">
        <v>8135550142001</v>
      </c>
      <c r="C49" t="inlineStr">
        <is>
          <t xml:space="preserve">P</t>
        </is>
      </c>
      <c r="D49" s="61">
        <f>D48+F49-G49</f>
        <v>6977.53</v>
      </c>
      <c r="E49" s="1">
        <v>46259</v>
      </c>
      <c r="F49" s="42">
        <v>0</v>
      </c>
      <c r="G49" s="59">
        <v>731.2</v>
      </c>
      <c r="H49" t="inlineStr">
        <is>
          <t xml:space="preserve">ACH</t>
        </is>
      </c>
      <c r="I49" t="inlineStr">
        <is>
          <t xml:space="preserve">D</t>
        </is>
      </c>
      <c r="J49" t="inlineStr">
        <is>
          <t xml:space="preserve">Untagged</t>
        </is>
      </c>
      <c r="K49" t="inlineStr">
        <is>
          <t xml:space="preserve">Chase Card Services - Credit Card Payment</t>
        </is>
      </c>
      <c r="U49" s="1">
        <v>46259</v>
      </c>
      <c r="V49" t="inlineStr">
        <is>
          <t xml:space="preserve">Marcus Delgado</t>
        </is>
      </c>
      <c r="W49" t="inlineStr">
        <is>
          <t xml:space="preserve">Bank of America</t>
        </is>
      </c>
      <c r="X49">
        <v>8135550142001</v>
      </c>
      <c r="Y49" t="inlineStr">
        <is>
          <t xml:space="preserve">Chase Card Services</t>
        </is>
      </c>
      <c r="Z49" t="inlineStr">
        <is>
          <t xml:space="preserve">JPMorgan Chase</t>
        </is>
      </c>
      <c r="AB49" t="inlineStr">
        <is>
          <t xml:space="preserve">Credit card payment</t>
        </is>
      </c>
    </row>
  </sheetData>
  <autoFilter ref="A1:AB49" xr:uid="{5611D810-DAFA-4F31-B6DD-45D854AF5F8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7"/>
  <sheetViews>
    <sheetView showGridLines="0" workbookViewId="0"/>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2">
      <c r="A2" s="1">
        <v>46100</v>
      </c>
      <c r="B2" t="inlineStr">
        <is>
          <t xml:space="preserve">Nera Point Holdings Ltd</t>
        </is>
      </c>
      <c r="C2" t="inlineStr">
        <is>
          <t xml:space="preserve">Victoria, Mahe, Seychelles</t>
        </is>
      </c>
      <c r="D2" t="inlineStr">
        <is>
          <t xml:space="preserve">BMI Offshore Bank Ltd</t>
        </is>
      </c>
      <c r="E2" s="41" t="inlineStr">
        <is>
          <t xml:space="preserve">SC58BMI0004471203</t>
        </is>
      </c>
      <c r="F2" t="inlineStr">
        <is>
          <t xml:space="preserve">Consulting Retainer</t>
        </is>
      </c>
      <c r="G2" t="inlineStr">
        <is>
          <t xml:space="preserve">Marcus Delgado</t>
        </is>
      </c>
      <c r="H2" t="inlineStr">
        <is>
          <t xml:space="preserve">2417 W Hillsborough Ave, Tampa, FL 33603</t>
        </is>
      </c>
      <c r="I2" t="inlineStr">
        <is>
          <t xml:space="preserve">Bank of America</t>
        </is>
      </c>
      <c r="J2" t="inlineStr">
        <is>
          <t xml:space="preserve">8135550142001</t>
        </is>
      </c>
      <c r="K2" t="inlineStr">
        <is>
          <t xml:space="preserve">Retainer</t>
        </is>
      </c>
    </row>
    <row r="3" spans="1:16384" x14ac:dyDescent="0.2">
      <c r="A3" s="1">
        <v>46105</v>
      </c>
      <c r="B3" t="inlineStr">
        <is>
          <t xml:space="preserve">Marcus Delgado</t>
        </is>
      </c>
      <c r="C3" t="inlineStr">
        <is>
          <t xml:space="preserve">2417 W Hillsborough Ave, Tampa, FL 33603</t>
        </is>
      </c>
      <c r="D3" t="inlineStr">
        <is>
          <t xml:space="preserve">Bank of America</t>
        </is>
      </c>
      <c r="E3" s="41" t="inlineStr">
        <is>
          <t xml:space="preserve">8135550142001</t>
        </is>
      </c>
      <c r="F3" t="inlineStr">
        <is>
          <t xml:space="preserve">Project Settlement</t>
        </is>
      </c>
      <c r="G3" t="inlineStr">
        <is>
          <t xml:space="preserve">Corozal Linden Partners Ltd</t>
        </is>
      </c>
      <c r="H3" t="inlineStr">
        <is>
          <t xml:space="preserve">Belize City, Belize</t>
        </is>
      </c>
      <c r="I3" t="inlineStr">
        <is>
          <t xml:space="preserve">Belize Bank International Ltd</t>
        </is>
      </c>
      <c r="J3" t="inlineStr">
        <is>
          <t xml:space="preserve">BZ47BBI0002298114</t>
        </is>
      </c>
      <c r="K3" t="inlineStr">
        <is>
          <t xml:space="preserve">Project</t>
        </is>
      </c>
    </row>
    <row r="4" spans="1:16384" x14ac:dyDescent="0.2">
      <c r="A4" s="1">
        <v>46156</v>
      </c>
      <c r="B4" t="inlineStr">
        <is>
          <t xml:space="preserve">Ardenne Vale Trading Ltd</t>
        </is>
      </c>
      <c r="C4" t="inlineStr">
        <is>
          <t xml:space="preserve">Victoria, Mahe, Seychelles</t>
        </is>
      </c>
      <c r="D4" t="inlineStr">
        <is>
          <t xml:space="preserve">Al Salam Bank Seychelles Ltd</t>
        </is>
      </c>
      <c r="E4" s="41" t="inlineStr">
        <is>
          <t xml:space="preserve">SC22ASB0007719845</t>
        </is>
      </c>
      <c r="F4" t="inlineStr">
        <is>
          <t xml:space="preserve">Contract Advance</t>
        </is>
      </c>
      <c r="G4" t="inlineStr">
        <is>
          <t xml:space="preserve">Marcus Delgado</t>
        </is>
      </c>
      <c r="H4" t="inlineStr">
        <is>
          <t xml:space="preserve">2417 W Hillsborough Ave, Tampa, FL 33603</t>
        </is>
      </c>
      <c r="I4" t="inlineStr">
        <is>
          <t xml:space="preserve">Bank of America</t>
        </is>
      </c>
      <c r="J4" t="inlineStr">
        <is>
          <t xml:space="preserve">8135550142001</t>
        </is>
      </c>
      <c r="K4" t="inlineStr">
        <is>
          <t xml:space="preserve">Advance</t>
        </is>
      </c>
    </row>
    <row r="5" spans="1:16384" x14ac:dyDescent="0.2">
      <c r="A5" s="1">
        <v>46161</v>
      </c>
      <c r="B5" t="inlineStr">
        <is>
          <t xml:space="preserve">Marcus Delgado</t>
        </is>
      </c>
      <c r="C5" t="inlineStr">
        <is>
          <t xml:space="preserve">2417 W Hillsborough Ave, Tampa, FL 33603</t>
        </is>
      </c>
      <c r="D5" t="inlineStr">
        <is>
          <t xml:space="preserve">Bank of America</t>
        </is>
      </c>
      <c r="E5" s="41" t="inlineStr">
        <is>
          <t xml:space="preserve">8135550142001</t>
        </is>
      </c>
      <c r="F5" t="inlineStr">
        <is>
          <t xml:space="preserve">Advance Payment</t>
        </is>
      </c>
      <c r="G5" t="inlineStr">
        <is>
          <t xml:space="preserve">Westhaven Cay Ltd</t>
        </is>
      </c>
      <c r="H5" t="inlineStr">
        <is>
          <t xml:space="preserve">Charlestown, Nevis, St Kitts and Nevis</t>
        </is>
      </c>
      <c r="I5" t="inlineStr">
        <is>
          <t xml:space="preserve">Bank of Nevis International Ltd</t>
        </is>
      </c>
      <c r="J5" t="inlineStr">
        <is>
          <t xml:space="preserve">KN63BNI0006640572</t>
        </is>
      </c>
      <c r="K5" t="inlineStr">
        <is>
          <t xml:space="preserve">Advance</t>
        </is>
      </c>
    </row>
    <row r="6" spans="1:16384" x14ac:dyDescent="0.2">
      <c r="A6" s="1">
        <v>46224</v>
      </c>
      <c r="B6" t="inlineStr">
        <is>
          <t xml:space="preserve">Solmere Pacific Ltd</t>
        </is>
      </c>
      <c r="C6" t="inlineStr">
        <is>
          <t xml:space="preserve">Victoria, Mahe, Seychelles</t>
        </is>
      </c>
      <c r="D6" t="inlineStr">
        <is>
          <t xml:space="preserve">BMI Offshore Bank Ltd</t>
        </is>
      </c>
      <c r="E6" s="41" t="inlineStr">
        <is>
          <t xml:space="preserve">SC91BMI0005583367</t>
        </is>
      </c>
      <c r="F6" t="inlineStr">
        <is>
          <t xml:space="preserve">Service Fee Remittance</t>
        </is>
      </c>
      <c r="G6" t="inlineStr">
        <is>
          <t xml:space="preserve">Marcus Delgado</t>
        </is>
      </c>
      <c r="H6" t="inlineStr">
        <is>
          <t xml:space="preserve">2417 W Hillsborough Ave, Tampa, FL 33603</t>
        </is>
      </c>
      <c r="I6" t="inlineStr">
        <is>
          <t xml:space="preserve">Bank of America</t>
        </is>
      </c>
      <c r="J6" t="inlineStr">
        <is>
          <t xml:space="preserve">8135550142001</t>
        </is>
      </c>
      <c r="K6" t="inlineStr">
        <is>
          <t xml:space="preserve">Service fee</t>
        </is>
      </c>
    </row>
    <row r="7" spans="1:16384" x14ac:dyDescent="0.2">
      <c r="A7" s="1">
        <v>46227</v>
      </c>
      <c r="B7" t="inlineStr">
        <is>
          <t xml:space="preserve">Marcus Delgado</t>
        </is>
      </c>
      <c r="C7" t="inlineStr">
        <is>
          <t xml:space="preserve">2417 W Hillsborough Ave, Tampa, FL 33603</t>
        </is>
      </c>
      <c r="D7" t="inlineStr">
        <is>
          <t xml:space="preserve">Bank of America</t>
        </is>
      </c>
      <c r="E7" s="41" t="inlineStr">
        <is>
          <t xml:space="preserve">8135550142001</t>
        </is>
      </c>
      <c r="F7" t="inlineStr">
        <is>
          <t xml:space="preserve">Equipment Settlement</t>
        </is>
      </c>
      <c r="G7" t="inlineStr">
        <is>
          <t xml:space="preserve">Calderon Reef Trading Ltd</t>
        </is>
      </c>
      <c r="H7" t="inlineStr">
        <is>
          <t xml:space="preserve">Belize City, Belize</t>
        </is>
      </c>
      <c r="I7" t="inlineStr">
        <is>
          <t xml:space="preserve">Heritage International Bank &amp; Trust Ltd</t>
        </is>
      </c>
      <c r="J7" t="inlineStr">
        <is>
          <t xml:space="preserve">BZ15HIB0001174429</t>
        </is>
      </c>
      <c r="K7" t="inlineStr">
        <is>
          <t xml:space="preserve">Equipment</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1"/>
  <sheetViews>
    <sheetView showGridLines="0" workbookViewId="0">
      <selection activeCell="L9" sqref="L9"/>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67" t="inlineStr">
        <is>
          <t xml:space="preserve">SUPPORTING DOCUMENTS - WIRE TRANSFER ADVICES</t>
        </is>
      </c>
    </row>
    <row r="2" spans="1:9" x14ac:dyDescent="0.2">
      <c r="A2" s="68" t="inlineStr">
        <is>
          <t xml:space="preserve">Wire transfer advices for the six alerted international wires, reproduced from the Wire tab for case-study review.</t>
        </is>
      </c>
    </row>
    <row r="3" spans="1:9" x14ac:dyDescent="0.2">
      <c r="A3" s="69" t="inlineStr">
        <is>
          <t xml:space="preserve">TRAINING SAMPLE - NOT A NEGOTIABLE INSTRUMENT</t>
        </is>
      </c>
    </row>
    <row r="5" spans="1:9" x14ac:dyDescent="0.2">
      <c r="A5" s="69" t="inlineStr">
        <is>
          <t xml:space="preserve">Advice No.</t>
        </is>
      </c>
      <c r="B5" s="69" t="inlineStr">
        <is>
          <t xml:space="preserve">Value Date</t>
        </is>
      </c>
      <c r="C5" s="69" t="inlineStr">
        <is>
          <t xml:space="preserve">Direction</t>
        </is>
      </c>
      <c r="D5" s="69" t="inlineStr">
        <is>
          <t xml:space="preserve">Remitter</t>
        </is>
      </c>
      <c r="E5" s="69" t="inlineStr">
        <is>
          <t xml:space="preserve">Remitter Bank / Account</t>
        </is>
      </c>
      <c r="F5" s="69" t="inlineStr">
        <is>
          <t xml:space="preserve">Beneficiary</t>
        </is>
      </c>
      <c r="G5" s="69" t="inlineStr">
        <is>
          <t xml:space="preserve">Beneficiary Bank / Account</t>
        </is>
      </c>
      <c r="H5" s="69" t="inlineStr">
        <is>
          <t xml:space="preserve">Stated Purpose</t>
        </is>
      </c>
      <c r="I5" s="69" t="inlineStr">
        <is>
          <t xml:space="preserve">Amount (USD)</t>
        </is>
      </c>
    </row>
    <row r="6" spans="1:9" x14ac:dyDescent="0.2">
      <c r="A6" t="inlineStr">
        <is>
          <t xml:space="preserve">ADV-2026-101</t>
        </is>
      </c>
      <c r="B6" s="1">
        <v>46100</v>
      </c>
      <c r="C6" t="inlineStr">
        <is>
          <t xml:space="preserve">Incoming</t>
        </is>
      </c>
      <c r="D6" t="inlineStr">
        <is>
          <t xml:space="preserve">Nera Point Holdings Ltd</t>
        </is>
      </c>
      <c r="E6" t="inlineStr">
        <is>
          <t xml:space="preserve">BMI Offshore Bank Ltd / SC58BMI0004471203</t>
        </is>
      </c>
      <c r="F6" t="inlineStr">
        <is>
          <t xml:space="preserve">Marcus Delgado</t>
        </is>
      </c>
      <c r="G6" t="inlineStr">
        <is>
          <t xml:space="preserve">Bank of America / 8135550142001</t>
        </is>
      </c>
      <c r="H6" t="inlineStr">
        <is>
          <t xml:space="preserve">Consulting Retainer</t>
        </is>
      </c>
      <c r="I6">
        <v>12400.0</v>
      </c>
    </row>
    <row r="7" spans="1:9" x14ac:dyDescent="0.2">
      <c r="A7" t="inlineStr">
        <is>
          <t xml:space="preserve">ADV-2026-102</t>
        </is>
      </c>
      <c r="B7" s="1">
        <v>46105</v>
      </c>
      <c r="C7" t="inlineStr">
        <is>
          <t xml:space="preserve">Outgoing</t>
        </is>
      </c>
      <c r="D7" t="inlineStr">
        <is>
          <t xml:space="preserve">Marcus Delgado</t>
        </is>
      </c>
      <c r="E7" t="inlineStr">
        <is>
          <t xml:space="preserve">Bank of America / 8135550142001</t>
        </is>
      </c>
      <c r="F7" t="inlineStr">
        <is>
          <t xml:space="preserve">Corozal Linden Partners Ltd</t>
        </is>
      </c>
      <c r="G7" t="inlineStr">
        <is>
          <t xml:space="preserve">Belize Bank International Ltd / BZ47BBI0002298114</t>
        </is>
      </c>
      <c r="H7" t="inlineStr">
        <is>
          <t xml:space="preserve">Project Settlement</t>
        </is>
      </c>
      <c r="I7">
        <v>12250.0</v>
      </c>
    </row>
    <row r="8" spans="1:9" x14ac:dyDescent="0.2">
      <c r="A8" t="inlineStr">
        <is>
          <t xml:space="preserve">ADV-2026-103</t>
        </is>
      </c>
      <c r="B8" s="1">
        <v>46156</v>
      </c>
      <c r="C8" t="inlineStr">
        <is>
          <t xml:space="preserve">Incoming</t>
        </is>
      </c>
      <c r="D8" t="inlineStr">
        <is>
          <t xml:space="preserve">Ardenne Vale Trading Ltd</t>
        </is>
      </c>
      <c r="E8" t="inlineStr">
        <is>
          <t xml:space="preserve">Al Salam Bank Seychelles Ltd / SC22ASB0007719845</t>
        </is>
      </c>
      <c r="F8" t="inlineStr">
        <is>
          <t xml:space="preserve">Marcus Delgado</t>
        </is>
      </c>
      <c r="G8" t="inlineStr">
        <is>
          <t xml:space="preserve">Bank of America / 8135550142001</t>
        </is>
      </c>
      <c r="H8" t="inlineStr">
        <is>
          <t xml:space="preserve">Contract Advance</t>
        </is>
      </c>
      <c r="I8">
        <v>11800.0</v>
      </c>
    </row>
    <row r="9" spans="1:9" x14ac:dyDescent="0.2">
      <c r="A9" t="inlineStr">
        <is>
          <t xml:space="preserve">ADV-2026-104</t>
        </is>
      </c>
      <c r="B9" s="1">
        <v>46161</v>
      </c>
      <c r="C9" t="inlineStr">
        <is>
          <t xml:space="preserve">Outgoing</t>
        </is>
      </c>
      <c r="D9" t="inlineStr">
        <is>
          <t xml:space="preserve">Marcus Delgado</t>
        </is>
      </c>
      <c r="E9" t="inlineStr">
        <is>
          <t xml:space="preserve">Bank of America / 8135550142001</t>
        </is>
      </c>
      <c r="F9" t="inlineStr">
        <is>
          <t xml:space="preserve">Westhaven Cay Ltd</t>
        </is>
      </c>
      <c r="G9" t="inlineStr">
        <is>
          <t xml:space="preserve">Bank of Nevis International Ltd / KN63BNI0006640572</t>
        </is>
      </c>
      <c r="H9" t="inlineStr">
        <is>
          <t xml:space="preserve">Advance Payment</t>
        </is>
      </c>
      <c r="I9">
        <v>11650.0</v>
      </c>
    </row>
    <row r="10" spans="1:9" x14ac:dyDescent="0.2">
      <c r="A10" t="inlineStr">
        <is>
          <t xml:space="preserve">ADV-2026-105</t>
        </is>
      </c>
      <c r="B10" s="1">
        <v>46224</v>
      </c>
      <c r="C10" t="inlineStr">
        <is>
          <t xml:space="preserve">Incoming</t>
        </is>
      </c>
      <c r="D10" t="inlineStr">
        <is>
          <t xml:space="preserve">Solmere Pacific Ltd</t>
        </is>
      </c>
      <c r="E10" t="inlineStr">
        <is>
          <t xml:space="preserve">BMI Offshore Bank Ltd / SC91BMI0005583367</t>
        </is>
      </c>
      <c r="F10" t="inlineStr">
        <is>
          <t xml:space="preserve">Marcus Delgado</t>
        </is>
      </c>
      <c r="G10" t="inlineStr">
        <is>
          <t xml:space="preserve">Bank of America / 8135550142001</t>
        </is>
      </c>
      <c r="H10" t="inlineStr">
        <is>
          <t xml:space="preserve">Service Fee Remittance</t>
        </is>
      </c>
      <c r="I10">
        <v>12950.0</v>
      </c>
    </row>
    <row r="11" spans="1:9" x14ac:dyDescent="0.2">
      <c r="A11" t="inlineStr">
        <is>
          <t xml:space="preserve">ADV-2026-106</t>
        </is>
      </c>
      <c r="B11" s="1">
        <v>46227</v>
      </c>
      <c r="C11" t="inlineStr">
        <is>
          <t xml:space="preserve">Outgoing</t>
        </is>
      </c>
      <c r="D11" t="inlineStr">
        <is>
          <t xml:space="preserve">Marcus Delgado</t>
        </is>
      </c>
      <c r="E11" t="inlineStr">
        <is>
          <t xml:space="preserve">Bank of America / 8135550142001</t>
        </is>
      </c>
      <c r="F11" t="inlineStr">
        <is>
          <t xml:space="preserve">Calderon Reef Trading Ltd</t>
        </is>
      </c>
      <c r="G11" t="inlineStr">
        <is>
          <t xml:space="preserve">Heritage International Bank &amp; Trust Ltd / BZ15HIB0001174429</t>
        </is>
      </c>
      <c r="H11" t="inlineStr">
        <is>
          <t xml:space="preserve">Equipment Settlement</t>
        </is>
      </c>
      <c r="I11">
        <v>12800.0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baseColWidth="10" defaultColWidth="8.83203125" defaultRowHeight="15" x14ac:dyDescent="0.2"/>
  <sheetData>
    <row r="1" spans="1:1" x14ac:dyDescent="0.2">
      <c r="A1" t="s">
        <v>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baseColWidth="10" defaultColWidth="8.83203125" defaultRowHeight="15" x14ac:dyDescent="0.2"/>
  <cols>
    <col min="1" max="1" width="159.83203125" customWidth="1"/>
  </cols>
  <sheetData>
    <row r="1" spans="1:1" ht="388.5" customHeight="1" x14ac:dyDescent="0.2">
      <c r="A1" s="58" t="inlineStr">
        <is>
          <t xml:space="preserve">Bank is filing SAR on Marcus Delgado to report international wire transfer activity between 03/19/2026 and 07/24/2026 totaling $37,150.00.
This case was generated due to automated monitoring alerts for six large-value international wire transfers received into and sent from the personal checking account of Marcus Delgado (#8135550142001). The account activity for the period 03/01/2026 to 08/31/2026 was reviewed.
The customer, Marcus Delgado (DOB 07/14/1988), resides at 2417 W Hillsborough Ave, Tampa, Florida 33603. Internal records list his occupation as Warehouse Operations Supervisor and his employer as Bayshore Precision Fabricators, Inc., Tampa, Florida. The account was opened on 04/10/2017. No business account, business interest, self-employment or additional source of income is recorded on file for the customer.
During the review period the account received 6 payroll credits by ACH from Bayshore Precision Fabricators, Inc., ranging from $4,598.75 to $4,731.16 and totaling $27,779.51, an average of $4,629.92 per month.
Over the same period the account recorded 36 recurring living-expense debits totaling $24,101.98: 6 rent payments of $1,950.00 each to Bayview Ridge Apartments ($11,700.00); 6 auto loan payments of $487.20 each to Suncoast Credit Union ($2,923.20); 6 electricity payments to TECO Energy ranging from $198.40 to $291.20 ($1,489.05); 6 debit card grocery purchases at Publix Super Market #0728 ranging from $391.64 to $447.85 ($2,526.48); 6 auto insurance premiums of $168.45 each to Progressive Insurance ($1,010.70); and 6 credit card payments to Chase Card Services ranging from $688.30 to $815.45 ($4,452.55).
The alerted transactions are 6 international wire transfers. Three incoming wires totaling $37,150.00 were received from entities registered in the Seychelles, categorized as Group 1. Three outgoing wires totaling $36,700.00 were sent to entities registered in Belize and in St Kitts and Nevis, categorized as Group 2:
$12,400.00 received 03/19/2026 from Nera Point Holdings Ltd, Victoria, Mahe, Seychelles, via BMI Offshore Bank Ltd, account SC58BMI0004471203, stated purpose "Consulting Retainer".
$12,250.00 sent 03/24/2026 to Corozal Linden Partners Ltd, Belize City, Belize, via Belize Bank International Ltd, account BZ47BBI0002298114, stated purpose "Project Settlement".
$11,800.00 received 05/14/2026 from Ardenne Vale Trading Ltd, Victoria, Mahe, Seychelles, via Al Salam Bank Seychelles Ltd, account SC22ASB0007719845, stated purpose "Contract Advance".
$11,650.00 sent 05/19/2026 to Westhaven Cay Ltd, Charlestown, Nevis, St Kitts and Nevis, via Bank of Nevis International Ltd, account KN63BNI0006640572, stated purpose "Advance Payment".
$12,950.00 received 07/21/2026 from Solmere Pacific Ltd, Victoria, Mahe, Seychelles, via BMI Offshore Bank Ltd, account SC91BMI0005583367, stated purpose "Service Fee Remittance".
$12,800.00 sent 07/24/2026 to Calderon Reef Trading Ltd, Belize City, Belize, via Heritage International Bank &amp; Trust Ltd, account BZ15HIB0001174429, stated purpose "Equipment Settlement".
Each incoming wire was followed by an outgoing wire within three to five days: 03/19/2026 to 03/24/2026 (5 days), 05/14/2026 to 05/19/2026 (5 days) and 07/21/2026 to 07/24/2026 (3 days). On each occasion the outgoing amount was $150.00 lower than the incoming amount, and the amounts retained in the account total $450.00 for the period. No other debit recorded in the account during the review period is of a value corresponding to the incoming wire funds; the 36 living-expense debits total $24,101.98 against payroll credits of $27,779.51. The account balance was $4,389.73 following the wire of 03/24/2026, $6,013.47 following the wire of 05/19/2026 and $7,180.83 following the wire of 07/24/2026.
Open-source research was conducted on all six counterparties. No corporate registry record, website, domain or other public record was located for Nera Point Holdings Ltd, Ardenne Vale Trading Ltd, Solmere Pacific Ltd, Corozal Linden Partners Ltd, Westhaven Cay Ltd or Calderon Reef Trading Ltd. The remitting and beneficiary entities could not be identified or verified.
Bank records hold no invoice, contract, consultancy agreement, employment record or other documentation supporting the stated purpose of any of the six wires. The stated purposes - "Consulting Retainer", "Contract Advance", "Service Fee Remittance", "Project Settlement", "Advance Payment" and "Equipment Settlement" - are commercial in nature. The only source of income recorded for the customer is salaried employment with Bayshore Precision Fabricators, Inc.
The Seychelles, Belize, and St Kitts and Nevis are offshore financial centres. No transactions with counterparties in these jurisdictions are recorded on the account before 03/19/2026.
Therefore, this activity is deemed suspicious, and it is recommended to file a Suspicious Activity Report (SAR). The amount reported is $37,150.00, being the incoming wire funds received into the account; the $36,700.00 of outgoing wires represents the same funds leaving the account and is described above rather than added to the reported amount.
Customer Marcus Delgado (DOB 07/14/1988) is located in Tampa, FL. Internal records list the occupation as Warehouse Operations Supervisor, employed by Bayshore Precision Fabricators, Inc. Open-source research failed to find any pertinent information.</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92" t="s">
        <v>94</v>
      </c>
      <c r="C1" s="93"/>
      <c r="D1" s="93"/>
      <c r="E1" s="93"/>
      <c r="F1" s="93"/>
      <c r="G1" s="93"/>
      <c r="H1" s="93"/>
      <c r="I1" s="93"/>
      <c r="J1" s="93"/>
      <c r="K1" s="93"/>
      <c r="L1" s="93"/>
      <c r="M1" s="93"/>
      <c r="N1" s="94"/>
    </row>
    <row r="2" spans="2:14" ht="15" customHeight="1" x14ac:dyDescent="0.2">
      <c r="B2" s="95"/>
      <c r="C2" s="96"/>
      <c r="D2" s="96"/>
      <c r="E2" s="96"/>
      <c r="F2" s="96"/>
      <c r="G2" s="96"/>
      <c r="H2" s="96"/>
      <c r="I2" s="96"/>
      <c r="J2" s="96"/>
      <c r="K2" s="96"/>
      <c r="L2" s="96"/>
      <c r="M2" s="96"/>
      <c r="N2" s="97"/>
    </row>
    <row r="3" spans="2:14" ht="21" customHeight="1" x14ac:dyDescent="0.2">
      <c r="B3" s="98"/>
      <c r="C3" s="99"/>
      <c r="D3" s="99"/>
      <c r="E3" s="99"/>
      <c r="F3" s="99"/>
      <c r="G3" s="99"/>
      <c r="H3" s="99"/>
      <c r="I3" s="99"/>
      <c r="J3" s="99"/>
      <c r="K3" s="99"/>
      <c r="L3" s="99"/>
      <c r="M3" s="99"/>
      <c r="N3" s="100"/>
    </row>
    <row r="4" spans="2:14" ht="21" customHeight="1" x14ac:dyDescent="0.2">
      <c r="B4" s="2"/>
      <c r="C4" s="2"/>
      <c r="D4" s="2"/>
      <c r="E4" s="2"/>
      <c r="F4" s="2"/>
      <c r="G4" s="2"/>
      <c r="H4" s="2"/>
      <c r="I4" s="2"/>
      <c r="J4" s="2"/>
      <c r="K4" s="2"/>
      <c r="L4" s="2"/>
      <c r="M4" s="2"/>
      <c r="N4" s="2"/>
    </row>
    <row r="5" spans="2:14" ht="21" customHeight="1" x14ac:dyDescent="0.2">
      <c r="B5" s="3" t="s">
        <v>95</v>
      </c>
      <c r="C5" s="2"/>
      <c r="D5" s="2"/>
      <c r="E5" s="4" t="s">
        <v>96</v>
      </c>
      <c r="F5" s="2"/>
      <c r="G5" s="2"/>
      <c r="H5" s="2"/>
      <c r="I5" s="2"/>
      <c r="J5" s="2"/>
      <c r="K5" s="2"/>
      <c r="L5" s="2"/>
      <c r="M5" s="2"/>
      <c r="N5" s="2"/>
    </row>
    <row r="6" spans="2:14" ht="21" customHeight="1" x14ac:dyDescent="0.2">
      <c r="B6" s="101" t="inlineStr">
        <is>
          <t xml:space="preserve">Large Wire In / Large Wire Out</t>
        </is>
      </c>
      <c r="C6" s="102"/>
      <c r="D6" s="2"/>
      <c r="E6" s="103"/>
      <c r="F6" s="104"/>
      <c r="G6" s="2"/>
      <c r="H6" s="2"/>
      <c r="I6" s="2"/>
      <c r="J6" s="2"/>
      <c r="K6" s="2"/>
      <c r="L6" s="2"/>
      <c r="M6" s="2"/>
      <c r="N6" s="2"/>
    </row>
    <row r="7" spans="2:14" ht="21" customHeight="1" x14ac:dyDescent="0.2">
      <c r="B7" s="105"/>
      <c r="C7" s="106"/>
      <c r="D7" s="2"/>
      <c r="E7" s="88"/>
      <c r="F7" s="89"/>
      <c r="G7" s="2"/>
      <c r="H7" s="2"/>
      <c r="I7" s="2"/>
      <c r="J7" s="2"/>
      <c r="K7" s="2"/>
      <c r="L7" s="2"/>
      <c r="M7" s="2"/>
      <c r="N7" s="2"/>
    </row>
    <row r="8" spans="2:14" ht="21" customHeight="1" x14ac:dyDescent="0.2">
      <c r="B8" s="90"/>
      <c r="C8" s="91"/>
      <c r="D8" s="2"/>
      <c r="E8" s="2"/>
      <c r="F8" s="2"/>
      <c r="G8" s="2"/>
      <c r="H8" s="2"/>
      <c r="I8" s="2"/>
      <c r="J8" s="2"/>
      <c r="K8" s="2"/>
      <c r="L8" s="2"/>
      <c r="M8" s="2"/>
      <c r="N8" s="2"/>
    </row>
    <row r="9" spans="2:14" ht="21" customHeight="1" x14ac:dyDescent="0.2">
      <c r="B9" s="3" t="s">
        <v>97</v>
      </c>
      <c r="C9" s="2"/>
      <c r="D9" s="2"/>
      <c r="E9" s="5" t="s">
        <v>98</v>
      </c>
      <c r="F9" s="2"/>
      <c r="G9" s="2"/>
      <c r="H9" s="2"/>
      <c r="I9" s="2"/>
      <c r="J9" s="2"/>
      <c r="K9" s="2"/>
      <c r="L9" s="2"/>
      <c r="M9" s="2"/>
      <c r="N9" s="2"/>
    </row>
    <row r="10" spans="2:14" ht="21" customHeight="1" x14ac:dyDescent="0.2">
      <c r="B10" s="78" t="inlineStr">
        <is>
          <t xml:space="preserve">Marcus Delgado</t>
        </is>
      </c>
      <c r="C10" s="79"/>
      <c r="D10" s="2"/>
      <c r="E10" s="80">
        <v>8135550142001</v>
      </c>
      <c r="F10" s="81"/>
      <c r="G10" s="2"/>
      <c r="H10" s="2"/>
      <c r="I10" s="2"/>
      <c r="J10" s="2"/>
      <c r="K10" s="2"/>
      <c r="L10" s="2"/>
      <c r="M10" s="2"/>
      <c r="N10" s="2"/>
    </row>
    <row r="11" spans="2:14" ht="21" customHeight="1" x14ac:dyDescent="0.2">
      <c r="B11" s="82"/>
      <c r="C11" s="83"/>
      <c r="D11" s="2"/>
      <c r="E11" s="84"/>
      <c r="F11" s="85"/>
      <c r="G11" s="2"/>
      <c r="H11" s="2"/>
      <c r="I11" s="2"/>
      <c r="J11" s="2"/>
      <c r="K11" s="2"/>
      <c r="L11" s="2"/>
      <c r="M11" s="2"/>
      <c r="N11" s="2"/>
    </row>
    <row r="12" spans="2:14" ht="21" customHeight="1" x14ac:dyDescent="0.2">
      <c r="B12" s="86"/>
      <c r="C12" s="87"/>
      <c r="D12" s="2"/>
      <c r="E12" s="88"/>
      <c r="F12" s="89"/>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99</v>
      </c>
      <c r="C14" s="2"/>
      <c r="D14" s="2"/>
      <c r="E14" s="2"/>
      <c r="F14" s="2"/>
      <c r="G14" s="2"/>
      <c r="H14" s="2"/>
      <c r="I14" s="2"/>
      <c r="J14" s="2"/>
      <c r="K14" s="2"/>
      <c r="L14" s="2"/>
      <c r="M14" s="2"/>
      <c r="N14" s="2"/>
    </row>
    <row r="15" spans="2:14" ht="19" x14ac:dyDescent="0.2">
      <c r="B15" s="6"/>
      <c r="C15" s="7" t="s">
        <v>100</v>
      </c>
      <c r="D15" s="7" t="s">
        <v>101</v>
      </c>
      <c r="E15" s="7" t="s">
        <v>49</v>
      </c>
      <c r="F15" s="7"/>
      <c r="G15" s="8"/>
      <c r="H15" s="8"/>
      <c r="I15" s="8"/>
      <c r="J15" s="8"/>
      <c r="K15" s="8"/>
      <c r="L15" s="8"/>
      <c r="M15" s="8"/>
      <c r="N15" s="8"/>
    </row>
    <row r="16" spans="2:14" ht="21" customHeight="1" x14ac:dyDescent="0.2">
      <c r="B16" s="5"/>
      <c r="C16" t="inlineStr">
        <is>
          <t xml:space="preserve">FL-TPA-02</t>
        </is>
      </c>
      <c r="D16" t="inlineStr">
        <is>
          <t xml:space="preserve">Tampa</t>
        </is>
      </c>
      <c r="E16" t="inlineStr">
        <is>
          <t xml:space="preserve">FL</t>
        </is>
      </c>
      <c r="F16" s="2"/>
      <c r="G16" s="2"/>
      <c r="H16" s="2"/>
      <c r="I16" s="2"/>
      <c r="J16" s="2"/>
      <c r="K16" s="2"/>
      <c r="L16" s="2"/>
      <c r="M16" s="2"/>
      <c r="N16" s="2"/>
    </row>
    <row r="17" spans="2:14" ht="21" customHeight="1" x14ac:dyDescent="0.2">
      <c r="B17" s="2"/>
      <c r="C17"/>
      <c r="D17"/>
      <c r="E17"/>
      <c r="F17" s="2"/>
      <c r="G17" s="2"/>
      <c r="H17" s="2"/>
      <c r="I17" s="2"/>
      <c r="J17" s="2"/>
      <c r="K17" s="2"/>
      <c r="L17" s="2"/>
      <c r="M17" s="2"/>
      <c r="N17" s="2"/>
    </row>
    <row r="18" spans="2:14" ht="21" customHeight="1" x14ac:dyDescent="0.2">
      <c r="B18" s="2"/>
      <c r="C18"/>
      <c r="D18"/>
      <c r="E18"/>
      <c r="F18" s="2"/>
      <c r="G18" s="2"/>
      <c r="H18" s="2"/>
      <c r="I18" s="2"/>
      <c r="J18" s="2"/>
      <c r="K18" s="2"/>
      <c r="L18" s="2"/>
      <c r="M18" s="2"/>
      <c r="N18" s="2"/>
    </row>
    <row r="19" spans="2:14" ht="21" customHeight="1" x14ac:dyDescent="0.2">
      <c r="B19" s="2"/>
      <c r="C19"/>
      <c r="D19"/>
      <c r="E19"/>
      <c r="F19" s="2"/>
      <c r="G19" s="2"/>
      <c r="H19" s="2"/>
      <c r="I19" s="2"/>
      <c r="J19" s="2"/>
      <c r="K19" s="2"/>
      <c r="L19" s="2"/>
      <c r="M19" s="2"/>
      <c r="N19" s="2"/>
    </row>
    <row r="20" spans="2:14" ht="15" x14ac:dyDescent="0.2">
      <c r="C20"/>
      <c r="D20"/>
      <c r="E20"/>
    </row>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102</v>
      </c>
      <c r="D23" s="15"/>
      <c r="N23" s="16"/>
    </row>
    <row r="24" spans="2:14" ht="16" thickBot="1" x14ac:dyDescent="0.25">
      <c r="B24" s="13"/>
      <c r="C24" s="15"/>
      <c r="D24" s="15"/>
      <c r="N24" s="16"/>
    </row>
    <row r="25" spans="2:14" ht="16" thickBot="1" x14ac:dyDescent="0.25">
      <c r="B25" s="13"/>
      <c r="C25" s="17" t="s">
        <v>103</v>
      </c>
      <c r="D25" s="17"/>
      <c r="E25" s="18">
        <v>37150</v>
      </c>
      <c r="F25" s="17"/>
      <c r="G25" s="17"/>
      <c r="H25" s="17"/>
      <c r="I25" s="17"/>
      <c r="J25" s="17"/>
      <c r="K25" s="17"/>
      <c r="L25" s="17"/>
      <c r="M25" s="17"/>
      <c r="N25" s="19"/>
    </row>
    <row r="26" spans="2:14" ht="15.75" customHeight="1" thickBot="1" x14ac:dyDescent="0.25">
      <c r="B26" s="13"/>
      <c r="C26" s="20" t="s">
        <v>104</v>
      </c>
      <c r="D26" s="17"/>
      <c r="E26" s="17"/>
      <c r="F26" s="17"/>
      <c r="G26" s="21" t="s">
        <v>105</v>
      </c>
      <c r="H26" s="1">
        <v>46100</v>
      </c>
      <c r="I26" s="21" t="s">
        <v>106</v>
      </c>
      <c r="J26" s="1">
        <v>46227</v>
      </c>
      <c r="M26" s="17"/>
      <c r="N26" s="19"/>
    </row>
    <row r="27" spans="2:14" ht="15.75" customHeight="1" thickBot="1" x14ac:dyDescent="0.25">
      <c r="B27" s="13"/>
      <c r="C27" s="20" t="s">
        <v>107</v>
      </c>
      <c r="D27" s="20"/>
      <c r="E27" s="20"/>
      <c r="F27" s="22"/>
      <c r="G27" s="20"/>
      <c r="H27" s="20"/>
      <c r="I27" s="20"/>
      <c r="J27" s="17"/>
      <c r="K27" s="17"/>
      <c r="L27" s="17"/>
      <c r="M27" s="17"/>
      <c r="N27" s="19"/>
    </row>
    <row r="28" spans="2:14" ht="15" x14ac:dyDescent="0.2">
      <c r="B28" s="13"/>
      <c r="C28" s="23"/>
      <c r="D28" s="23"/>
      <c r="E28" s="23"/>
      <c r="F28" s="23"/>
      <c r="G28" s="23"/>
      <c r="H28" s="23"/>
      <c r="I28" s="23"/>
      <c r="J28" s="23"/>
      <c r="K28" s="23"/>
      <c r="L28" s="23"/>
      <c r="M28" s="23"/>
      <c r="N28" s="24"/>
    </row>
    <row r="29" spans="2:14" ht="16" thickBot="1" x14ac:dyDescent="0.25">
      <c r="B29" s="13"/>
      <c r="C29" s="25"/>
      <c r="D29" s="25"/>
      <c r="E29" s="25"/>
      <c r="F29" s="25"/>
      <c r="G29" s="25"/>
      <c r="H29" s="25"/>
      <c r="I29" s="25"/>
      <c r="J29" s="25"/>
      <c r="K29" s="25"/>
      <c r="L29" s="25"/>
      <c r="M29" s="25"/>
      <c r="N29" s="16"/>
    </row>
    <row r="30" spans="2:14" ht="16" x14ac:dyDescent="0.2">
      <c r="B30" s="13"/>
      <c r="C30" s="14" t="s">
        <v>108</v>
      </c>
      <c r="D30" s="15"/>
      <c r="N30" s="16"/>
    </row>
    <row r="31" spans="2:14" ht="15" x14ac:dyDescent="0.2">
      <c r="B31" s="13"/>
      <c r="N31" s="16"/>
    </row>
    <row r="32" spans="2:14" ht="15" x14ac:dyDescent="0.2">
      <c r="B32" s="13"/>
      <c r="C32" s="15" t="s">
        <v>109</v>
      </c>
      <c r="E32" s="15"/>
      <c r="H32" s="15" t="s">
        <v>110</v>
      </c>
      <c r="L32" s="15"/>
      <c r="N32" s="16"/>
    </row>
    <row r="33" spans="2:14" ht="16" thickBot="1" x14ac:dyDescent="0.25">
      <c r="B33" s="13"/>
      <c r="C33" s="15" t="s">
        <v>111</v>
      </c>
      <c r="E33" s="15"/>
      <c r="H33" s="15" t="s">
        <v>112</v>
      </c>
      <c r="L33" s="70"/>
      <c r="M33" s="70"/>
      <c r="N33" s="16"/>
    </row>
    <row r="34" spans="2:14" ht="16" thickBot="1" x14ac:dyDescent="0.25">
      <c r="B34" s="13"/>
      <c r="C34" s="15" t="s">
        <v>113</v>
      </c>
      <c r="E34" s="15"/>
      <c r="H34" s="15" t="s">
        <v>114</v>
      </c>
      <c r="I34" s="71"/>
      <c r="J34" s="72"/>
      <c r="N34" s="16"/>
    </row>
    <row r="35" spans="2:14" ht="16" thickBot="1" x14ac:dyDescent="0.25">
      <c r="B35" s="13"/>
      <c r="C35" s="25"/>
      <c r="N35" s="16"/>
    </row>
    <row r="36" spans="2:14" ht="16" x14ac:dyDescent="0.2">
      <c r="B36" s="27"/>
      <c r="C36" s="14" t="s">
        <v>115</v>
      </c>
      <c r="D36" s="28"/>
      <c r="E36" s="28"/>
      <c r="F36" s="28"/>
      <c r="G36" s="28"/>
      <c r="H36" s="28"/>
      <c r="I36" s="28"/>
      <c r="J36" s="28"/>
      <c r="K36" s="28"/>
      <c r="L36" s="28"/>
      <c r="M36" s="28"/>
      <c r="N36" s="16"/>
    </row>
    <row r="37" spans="2:14" ht="15" x14ac:dyDescent="0.2">
      <c r="B37" s="13"/>
      <c r="N37" s="16"/>
    </row>
    <row r="38" spans="2:14" ht="15" customHeight="1" x14ac:dyDescent="0.2">
      <c r="B38" s="13"/>
      <c r="C38" s="15" t="s">
        <v>116</v>
      </c>
      <c r="F38" s="15" t="s">
        <v>117</v>
      </c>
      <c r="H38" s="15"/>
      <c r="N38" s="16"/>
    </row>
    <row r="39" spans="2:14" ht="15" x14ac:dyDescent="0.2">
      <c r="B39" s="13"/>
      <c r="C39" s="15" t="s">
        <v>118</v>
      </c>
      <c r="F39" s="15" t="s">
        <v>119</v>
      </c>
      <c r="H39" s="15"/>
      <c r="N39" s="16"/>
    </row>
    <row r="40" spans="2:14" ht="15" x14ac:dyDescent="0.2">
      <c r="B40" s="13"/>
      <c r="C40" s="15" t="s">
        <v>120</v>
      </c>
      <c r="F40" s="15" t="s">
        <v>121</v>
      </c>
      <c r="H40" s="15"/>
      <c r="N40" s="16"/>
    </row>
    <row r="41" spans="2:14" ht="15" x14ac:dyDescent="0.2">
      <c r="B41" s="13"/>
      <c r="C41" s="15" t="s">
        <v>122</v>
      </c>
      <c r="F41" s="15" t="s">
        <v>123</v>
      </c>
      <c r="H41" s="15"/>
      <c r="I41" s="73"/>
      <c r="J41" s="73"/>
      <c r="N41" s="16"/>
    </row>
    <row r="42" spans="2:14" ht="15" x14ac:dyDescent="0.2">
      <c r="B42" s="13"/>
      <c r="C42" s="15" t="s">
        <v>124</v>
      </c>
      <c r="F42" s="15" t="s">
        <v>125</v>
      </c>
      <c r="G42" s="15"/>
      <c r="N42" s="16"/>
    </row>
    <row r="43" spans="2:14" ht="16" thickBot="1" x14ac:dyDescent="0.25">
      <c r="B43" s="13"/>
      <c r="C43" s="15" t="s">
        <v>126</v>
      </c>
      <c r="F43" s="15" t="s">
        <v>127</v>
      </c>
      <c r="G43" s="15"/>
      <c r="N43" s="16"/>
    </row>
    <row r="44" spans="2:14" ht="16" thickBot="1" x14ac:dyDescent="0.25">
      <c r="B44" s="13"/>
      <c r="C44" s="15" t="s">
        <v>128</v>
      </c>
      <c r="D44" s="15"/>
      <c r="E44" s="15"/>
      <c r="F44" s="15" t="s">
        <v>114</v>
      </c>
      <c r="G44" s="74"/>
      <c r="H44" s="75"/>
      <c r="N44" s="16"/>
    </row>
    <row r="45" spans="2:14" ht="17" thickBot="1" x14ac:dyDescent="0.25">
      <c r="B45" s="13"/>
      <c r="C45" s="14"/>
      <c r="D45" s="15"/>
      <c r="E45" s="15"/>
      <c r="F45" s="15"/>
      <c r="G45" s="26"/>
      <c r="H45" s="26"/>
      <c r="N45" s="16"/>
    </row>
    <row r="46" spans="2:14" ht="16" x14ac:dyDescent="0.2">
      <c r="B46" s="27"/>
      <c r="C46" s="29" t="s">
        <v>129</v>
      </c>
      <c r="D46" s="28"/>
      <c r="E46" s="28"/>
      <c r="F46" s="28"/>
      <c r="G46" s="28"/>
      <c r="H46" s="28"/>
      <c r="I46" s="28"/>
      <c r="J46" s="28"/>
      <c r="K46" s="28"/>
      <c r="L46" s="28"/>
      <c r="M46" s="28"/>
      <c r="N46" s="16"/>
    </row>
    <row r="47" spans="2:14" ht="15" x14ac:dyDescent="0.2">
      <c r="B47" s="13"/>
      <c r="N47" s="16"/>
    </row>
    <row r="48" spans="2:14" ht="15" x14ac:dyDescent="0.2">
      <c r="B48" s="13"/>
      <c r="C48" s="15" t="s">
        <v>130</v>
      </c>
      <c r="E48" s="15" t="s">
        <v>131</v>
      </c>
      <c r="H48" s="15" t="s">
        <v>132</v>
      </c>
      <c r="N48" s="16"/>
    </row>
    <row r="49" spans="2:14" ht="15" x14ac:dyDescent="0.2">
      <c r="B49" s="13"/>
      <c r="C49" s="15" t="s">
        <v>133</v>
      </c>
      <c r="E49" s="15" t="s">
        <v>134</v>
      </c>
      <c r="H49" s="15" t="s">
        <v>135</v>
      </c>
      <c r="N49" s="16"/>
    </row>
    <row r="50" spans="2:14" ht="16" thickBot="1" x14ac:dyDescent="0.25">
      <c r="B50" s="13"/>
      <c r="C50" s="15" t="s">
        <v>136</v>
      </c>
      <c r="E50" s="15" t="s">
        <v>137</v>
      </c>
      <c r="H50" s="15" t="s">
        <v>138</v>
      </c>
      <c r="N50" s="16"/>
    </row>
    <row r="51" spans="2:14" ht="16" thickBot="1" x14ac:dyDescent="0.25">
      <c r="B51" s="13"/>
      <c r="C51" s="15" t="s">
        <v>139</v>
      </c>
      <c r="E51" s="15" t="s">
        <v>140</v>
      </c>
      <c r="H51" s="15" t="s">
        <v>141</v>
      </c>
      <c r="I51" s="76"/>
      <c r="J51" s="77"/>
      <c r="N51" s="16"/>
    </row>
    <row r="52" spans="2:14" ht="15" x14ac:dyDescent="0.2">
      <c r="B52" s="13"/>
      <c r="C52" s="15" t="s">
        <v>142</v>
      </c>
      <c r="E52" s="15" t="s">
        <v>143</v>
      </c>
      <c r="G52" s="15"/>
      <c r="N52" s="16"/>
    </row>
    <row r="53" spans="2:14" ht="15" x14ac:dyDescent="0.2">
      <c r="B53" s="13"/>
      <c r="C53" s="15" t="s">
        <v>144</v>
      </c>
      <c r="E53" s="15" t="s">
        <v>145</v>
      </c>
      <c r="G53" s="15"/>
      <c r="N53" s="16"/>
    </row>
    <row r="54" spans="2:14" ht="15" x14ac:dyDescent="0.2">
      <c r="B54" s="13"/>
      <c r="C54" s="15" t="s">
        <v>146</v>
      </c>
      <c r="D54" s="15"/>
      <c r="E54" s="15"/>
      <c r="G54" s="15"/>
      <c r="N54" s="16"/>
    </row>
    <row r="55" spans="2:14" ht="15" x14ac:dyDescent="0.2">
      <c r="B55" s="13"/>
      <c r="C55" s="15" t="s">
        <v>147</v>
      </c>
      <c r="N55" s="16"/>
    </row>
    <row r="56" spans="2:14" ht="15" x14ac:dyDescent="0.2">
      <c r="B56" s="13"/>
      <c r="C56" s="15" t="s">
        <v>148</v>
      </c>
      <c r="N56" s="16"/>
    </row>
    <row r="57" spans="2:14" ht="15" x14ac:dyDescent="0.2">
      <c r="B57" s="13"/>
      <c r="C57" s="15" t="s">
        <v>149</v>
      </c>
      <c r="D57" s="30"/>
      <c r="N57" s="16"/>
    </row>
    <row r="58" spans="2:14" ht="16" thickBot="1" x14ac:dyDescent="0.25">
      <c r="B58" s="13"/>
      <c r="C58" s="25"/>
      <c r="D58" s="25"/>
      <c r="E58" s="25"/>
      <c r="F58" s="25"/>
      <c r="G58" s="25"/>
      <c r="H58" s="25"/>
      <c r="I58" s="25"/>
      <c r="J58" s="25"/>
      <c r="K58" s="25"/>
      <c r="L58" s="25"/>
      <c r="M58" s="25"/>
      <c r="N58" s="16"/>
    </row>
    <row r="59" spans="2:14" ht="16" x14ac:dyDescent="0.2">
      <c r="B59" s="13"/>
      <c r="C59" s="14" t="s">
        <v>150</v>
      </c>
      <c r="D59" s="31"/>
      <c r="N59" s="16"/>
    </row>
    <row r="60" spans="2:14" ht="15" x14ac:dyDescent="0.2">
      <c r="B60" s="13"/>
      <c r="C60" s="32"/>
      <c r="D60" s="31"/>
      <c r="N60" s="16"/>
    </row>
    <row r="61" spans="2:14" ht="15" x14ac:dyDescent="0.2">
      <c r="B61" s="13"/>
      <c r="C61" s="15" t="s">
        <v>151</v>
      </c>
      <c r="E61" s="15" t="s">
        <v>152</v>
      </c>
      <c r="H61" s="15" t="s">
        <v>153</v>
      </c>
      <c r="N61" s="16"/>
    </row>
    <row r="62" spans="2:14" ht="15" x14ac:dyDescent="0.2">
      <c r="B62" s="13"/>
      <c r="C62" s="15" t="s">
        <v>154</v>
      </c>
      <c r="E62" s="15" t="s">
        <v>155</v>
      </c>
      <c r="H62" s="15" t="s">
        <v>156</v>
      </c>
      <c r="N62" s="16"/>
    </row>
    <row r="63" spans="2:14" ht="15" x14ac:dyDescent="0.2">
      <c r="B63" s="13"/>
      <c r="C63" s="15" t="s">
        <v>157</v>
      </c>
      <c r="E63" s="15" t="s">
        <v>158</v>
      </c>
      <c r="H63" s="15" t="s">
        <v>159</v>
      </c>
      <c r="N63" s="16"/>
    </row>
    <row r="64" spans="2:14" ht="15" x14ac:dyDescent="0.2">
      <c r="B64" s="13"/>
      <c r="C64" s="15" t="s">
        <v>160</v>
      </c>
      <c r="E64" s="15" t="s">
        <v>161</v>
      </c>
      <c r="H64" s="15" t="s">
        <v>162</v>
      </c>
      <c r="N64" s="16"/>
    </row>
    <row r="65" spans="2:14" ht="16" thickBot="1" x14ac:dyDescent="0.25">
      <c r="B65" s="13"/>
      <c r="C65" s="15" t="s">
        <v>163</v>
      </c>
      <c r="E65" s="15" t="s">
        <v>164</v>
      </c>
      <c r="H65" s="15" t="s">
        <v>165</v>
      </c>
      <c r="N65" s="16"/>
    </row>
    <row r="66" spans="2:14" ht="16" thickBot="1" x14ac:dyDescent="0.25">
      <c r="B66" s="13"/>
      <c r="C66" s="15" t="s">
        <v>166</v>
      </c>
      <c r="E66" s="15" t="s">
        <v>167</v>
      </c>
      <c r="H66" s="76"/>
      <c r="I66" s="77"/>
      <c r="N66" s="16"/>
    </row>
    <row r="67" spans="2:14" ht="15" x14ac:dyDescent="0.2">
      <c r="B67" s="13"/>
      <c r="C67" s="15" t="s">
        <v>168</v>
      </c>
      <c r="E67" s="15" t="s">
        <v>169</v>
      </c>
      <c r="N67" s="16"/>
    </row>
    <row r="68" spans="2:14" ht="15" x14ac:dyDescent="0.2">
      <c r="B68" s="13"/>
      <c r="C68" s="15" t="s">
        <v>170</v>
      </c>
      <c r="E68" s="15" t="s">
        <v>171</v>
      </c>
      <c r="N68" s="16"/>
    </row>
    <row r="69" spans="2:14" ht="15" x14ac:dyDescent="0.2">
      <c r="B69" s="13"/>
      <c r="D69" s="32"/>
      <c r="N69" s="16"/>
    </row>
    <row r="70" spans="2:14" ht="16" thickBot="1" x14ac:dyDescent="0.25">
      <c r="B70" s="13"/>
      <c r="C70" s="25"/>
      <c r="D70" s="25"/>
      <c r="E70" s="25"/>
      <c r="F70" s="25"/>
      <c r="G70" s="25"/>
      <c r="H70" s="25"/>
      <c r="I70" s="25"/>
      <c r="J70" s="25"/>
      <c r="K70" s="25"/>
      <c r="L70" s="25"/>
      <c r="M70" s="25"/>
      <c r="N70" s="16"/>
    </row>
    <row r="71" spans="2:14" ht="16" x14ac:dyDescent="0.2">
      <c r="B71" s="13"/>
      <c r="C71" s="14" t="s">
        <v>172</v>
      </c>
      <c r="D71" s="31"/>
      <c r="N71" s="16"/>
    </row>
    <row r="72" spans="2:14" ht="15" x14ac:dyDescent="0.2">
      <c r="B72" s="13"/>
      <c r="C72" s="32"/>
      <c r="D72" s="32"/>
      <c r="N72" s="16"/>
    </row>
    <row r="73" spans="2:14" s="34" customFormat="1" ht="15" x14ac:dyDescent="0.2">
      <c r="B73" s="33"/>
      <c r="C73" s="15" t="s">
        <v>173</v>
      </c>
      <c r="D73"/>
      <c r="E73" s="15" t="s">
        <v>174</v>
      </c>
      <c r="G73"/>
      <c r="H73" s="15" t="s">
        <v>175</v>
      </c>
      <c r="N73" s="35"/>
    </row>
    <row r="74" spans="2:14" s="34" customFormat="1" ht="15" x14ac:dyDescent="0.2">
      <c r="B74" s="33"/>
      <c r="C74" s="15" t="s">
        <v>176</v>
      </c>
      <c r="D74"/>
      <c r="E74" s="15" t="s">
        <v>177</v>
      </c>
      <c r="G74"/>
      <c r="H74" s="15" t="s">
        <v>178</v>
      </c>
      <c r="N74" s="35"/>
    </row>
    <row r="75" spans="2:14" s="34" customFormat="1" ht="15" x14ac:dyDescent="0.2">
      <c r="B75" s="13"/>
      <c r="C75" s="15" t="s">
        <v>179</v>
      </c>
      <c r="D75"/>
      <c r="E75" s="15" t="s">
        <v>180</v>
      </c>
      <c r="G75"/>
      <c r="H75" s="15" t="s">
        <v>181</v>
      </c>
      <c r="N75" s="35"/>
    </row>
    <row r="76" spans="2:14" s="34" customFormat="1" ht="15" x14ac:dyDescent="0.2">
      <c r="B76" s="33"/>
      <c r="G76"/>
      <c r="H76" s="15" t="s">
        <v>141</v>
      </c>
      <c r="N76" s="35"/>
    </row>
    <row r="77" spans="2:14" ht="16" thickBot="1" x14ac:dyDescent="0.25">
      <c r="B77" s="13"/>
      <c r="C77" s="25"/>
      <c r="D77" s="36"/>
      <c r="E77" s="25"/>
      <c r="F77" s="25"/>
      <c r="G77" s="25"/>
      <c r="H77" s="25"/>
      <c r="I77" s="25"/>
      <c r="J77" s="25"/>
      <c r="K77" s="25"/>
      <c r="L77" s="25"/>
      <c r="M77" s="25"/>
      <c r="N77" s="16"/>
    </row>
    <row r="78" spans="2:14" ht="15" x14ac:dyDescent="0.2">
      <c r="B78" s="13"/>
      <c r="D78" s="32"/>
      <c r="N78" s="16"/>
    </row>
    <row r="79" spans="2:14" ht="15" x14ac:dyDescent="0.2">
      <c r="B79" s="37"/>
      <c r="C79" s="38"/>
      <c r="D79" s="39"/>
      <c r="E79" s="38"/>
      <c r="F79" s="38"/>
      <c r="G79" s="38"/>
      <c r="H79" s="38"/>
      <c r="I79" s="38"/>
      <c r="J79" s="38"/>
      <c r="K79" s="38"/>
      <c r="L79" s="38"/>
      <c r="M79" s="38"/>
      <c r="N79" s="40"/>
    </row>
    <row r="80" spans="2:14" ht="15" x14ac:dyDescent="0.2">
      <c r="D80" s="32"/>
    </row>
    <row r="81" spans="3:4" ht="15" hidden="1" x14ac:dyDescent="0.2">
      <c r="D81" s="32"/>
    </row>
    <row r="82" spans="3:4" ht="15" hidden="1" x14ac:dyDescent="0.2">
      <c r="D82" s="32"/>
    </row>
    <row r="83" spans="3:4" ht="15" hidden="1" x14ac:dyDescent="0.2">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baseColWidth="10" defaultColWidth="8.83203125" defaultRowHeight="15" x14ac:dyDescent="0.2"/>
  <cols>
    <col min="1" max="2" width="4.83203125" customWidth="1"/>
  </cols>
  <sheetData>
    <row r="1" spans="1:15" x14ac:dyDescent="0.2">
      <c r="A1" t="inlineStr">
        <is>
          <t xml:space="preserve">Select Answer by placing X in corresponding row</t>
        </is>
      </c>
    </row>
    <row r="2" spans="1:15" x14ac:dyDescent="0.2">
      <c r="B2">
        <v>1</v>
      </c>
      <c r="C2" t="inlineStr">
        <is>
          <t xml:space="preserve">What is the primary red flag that initiates the suspicion in this account?</t>
        </is>
      </c>
    </row>
    <row r="3" spans="1:15" x14ac:dyDescent="0.2">
      <c r="B3" t="inlineStr">
        <is>
          <t xml:space="preserve">a</t>
        </is>
      </c>
      <c r="C3" t="inlineStr">
        <is>
          <t xml:space="preserve">The customer's occupation as a Warehouse Operations Supervisor and his address in Tampa, FL.</t>
        </is>
      </c>
    </row>
    <row r="4" spans="1:15" x14ac:dyDescent="0.2">
      <c r="A4" s="60" t="inlineStr">
        <is>
          <t xml:space="preserve">X</t>
        </is>
      </c>
      <c r="B4" s="60" t="inlineStr">
        <is>
          <t xml:space="preserve">b</t>
        </is>
      </c>
      <c r="C4" s="60" t="inlineStr">
        <is>
          <t xml:space="preserve">Three incoming wire transfers of $11,800 to $12,950 received from entities in the Seychelles, each forwarded within three to five days to entities in Belize and St Kitts and Nevis, on an account otherwise funded only by payroll.</t>
        </is>
      </c>
      <c r="D4" s="60"/>
      <c r="E4" s="60"/>
      <c r="F4" s="60"/>
      <c r="G4" s="60"/>
      <c r="H4" s="60"/>
      <c r="I4" s="60"/>
      <c r="J4" s="60"/>
      <c r="K4" s="60"/>
      <c r="L4" s="60"/>
      <c r="M4" s="60"/>
      <c r="N4" s="60"/>
      <c r="O4" s="60"/>
    </row>
    <row r="5" spans="1:15" x14ac:dyDescent="0.2">
      <c r="B5" t="inlineStr">
        <is>
          <t xml:space="preserve">c</t>
        </is>
      </c>
      <c r="C5" t="inlineStr">
        <is>
          <t xml:space="preserve">The use of a debit card for grocery purchases at Publix Super Market.</t>
        </is>
      </c>
    </row>
    <row r="7" spans="1:15" x14ac:dyDescent="0.2">
      <c r="B7">
        <v>2</v>
      </c>
      <c r="C7" t="inlineStr">
        <is>
          <t xml:space="preserve">Why is the customer's salaried income of approximately $4,600 per month a critical piece of information in this investigation?</t>
        </is>
      </c>
    </row>
    <row r="8" spans="1:15" x14ac:dyDescent="0.2">
      <c r="A8" s="60" t="inlineStr">
        <is>
          <t xml:space="preserve">X</t>
        </is>
      </c>
      <c r="B8" s="60" t="inlineStr">
        <is>
          <t xml:space="preserve">a</t>
        </is>
      </c>
      <c r="C8" s="60" t="inlineStr">
        <is>
          <t xml:space="preserve">It establishes the expected level and source of account activity, and nothing on file explains the $37,150 received from entities in the Seychelles.</t>
        </is>
      </c>
      <c r="D8" s="60"/>
      <c r="E8" s="60"/>
      <c r="F8" s="60"/>
      <c r="G8" s="60"/>
      <c r="H8" s="60"/>
      <c r="I8" s="60"/>
      <c r="J8" s="60"/>
      <c r="K8" s="60"/>
      <c r="L8" s="60"/>
      <c r="M8" s="60"/>
      <c r="N8" s="60"/>
      <c r="O8" s="60"/>
    </row>
    <row r="9" spans="1:15" x14ac:dyDescent="0.2">
      <c r="B9" t="inlineStr">
        <is>
          <t xml:space="preserve">b</t>
        </is>
      </c>
      <c r="C9" t="inlineStr">
        <is>
          <t xml:space="preserve">It shows the customer can afford to send international wire transfers.</t>
        </is>
      </c>
    </row>
    <row r="10" spans="1:15" x14ac:dyDescent="0.2">
      <c r="B10" t="inlineStr">
        <is>
          <t xml:space="preserve">c</t>
        </is>
      </c>
      <c r="C10" t="inlineStr">
        <is>
          <t xml:space="preserve">It indicates that the account should be closed immediately due to high risk.</t>
        </is>
      </c>
    </row>
    <row r="12" spans="1:15" x14ac:dyDescent="0.2">
      <c r="B12">
        <v>3</v>
      </c>
      <c r="C12" t="inlineStr">
        <is>
          <t xml:space="preserve">Funds are received from an entity in one offshore jurisdiction and forwarded to an entity in a different offshore jurisdiction within three to five days, with $150 retained on each occasion. This pattern is best described as:</t>
        </is>
      </c>
    </row>
    <row r="13" spans="1:15" x14ac:dyDescent="0.2">
      <c r="B13" t="inlineStr">
        <is>
          <t xml:space="preserve">a</t>
        </is>
      </c>
      <c r="C13" t="inlineStr">
        <is>
          <t xml:space="preserve">Normal international remittance activity between family members.</t>
        </is>
      </c>
    </row>
    <row r="14" spans="1:15" x14ac:dyDescent="0.2">
      <c r="A14" s="60" t="inlineStr">
        <is>
          <t xml:space="preserve">X</t>
        </is>
      </c>
      <c r="B14" s="60" t="inlineStr">
        <is>
          <t xml:space="preserve">b</t>
        </is>
      </c>
      <c r="C14" s="60" t="inlineStr">
        <is>
          <t xml:space="preserve">Pass-through activity, with the account used as an intermediary between two unrelated foreign parties.</t>
        </is>
      </c>
      <c r="D14" s="60"/>
      <c r="E14" s="60"/>
      <c r="F14" s="60"/>
      <c r="G14" s="60"/>
      <c r="H14" s="60"/>
      <c r="I14" s="60"/>
      <c r="J14" s="60"/>
      <c r="K14" s="60"/>
      <c r="L14" s="60"/>
      <c r="M14" s="60"/>
      <c r="N14" s="60"/>
      <c r="O14" s="60"/>
    </row>
    <row r="15" spans="1:15" x14ac:dyDescent="0.2">
      <c r="B15" t="inlineStr">
        <is>
          <t xml:space="preserve">c</t>
        </is>
      </c>
      <c r="C15" t="inlineStr">
        <is>
          <t xml:space="preserve">Elder financial exploitation.</t>
        </is>
      </c>
    </row>
    <row r="17" spans="1:15" x14ac:dyDescent="0.2">
      <c r="B17">
        <v>4</v>
      </c>
      <c r="C17" t="inlineStr">
        <is>
          <t xml:space="preserve">Which combination of factors regarding the six wire transfers makes them most suspicious?</t>
        </is>
      </c>
    </row>
    <row r="18" spans="1:15" x14ac:dyDescent="0.2">
      <c r="B18" t="inlineStr">
        <is>
          <t xml:space="preserve">a</t>
        </is>
      </c>
      <c r="C18" t="inlineStr">
        <is>
          <t xml:space="preserve">The transfers were all sent on weekdays.</t>
        </is>
      </c>
    </row>
    <row r="19" spans="1:15" x14ac:dyDescent="0.2">
      <c r="B19" t="inlineStr">
        <is>
          <t xml:space="preserve">b</t>
        </is>
      </c>
      <c r="C19" t="inlineStr">
        <is>
          <t xml:space="preserve">The wire amounts are all below $25,000.</t>
        </is>
      </c>
    </row>
    <row r="20" spans="1:15" x14ac:dyDescent="0.2">
      <c r="A20" s="60" t="inlineStr">
        <is>
          <t xml:space="preserve">X</t>
        </is>
      </c>
      <c r="B20" s="60" t="inlineStr">
        <is>
          <t xml:space="preserve">c</t>
        </is>
      </c>
      <c r="C20" s="60" t="inlineStr">
        <is>
          <t xml:space="preserve">The counterparties in the Seychelles, Belize and St Kitts and Nevis have no corporate registry record, website or public presence, and the stated purposes are commercial although no business is recorded for the customer.</t>
        </is>
      </c>
      <c r="D20" s="60"/>
      <c r="E20" s="60"/>
      <c r="F20" s="60"/>
      <c r="G20" s="60"/>
      <c r="H20" s="60"/>
      <c r="I20" s="60"/>
      <c r="J20" s="60"/>
      <c r="K20" s="60"/>
      <c r="L20" s="60"/>
      <c r="M20" s="60"/>
      <c r="N20" s="60"/>
      <c r="O20" s="60"/>
    </row>
    <row r="22" spans="1:15" x14ac:dyDescent="0.2">
      <c r="B22">
        <v>5</v>
      </c>
      <c r="C22" t="inlineStr">
        <is>
          <t xml:space="preserve">What is the most appropriate next step for the analyst upon completing this review?</t>
        </is>
      </c>
    </row>
    <row r="23" spans="1:15" x14ac:dyDescent="0.2">
      <c r="B23" t="inlineStr">
        <is>
          <t xml:space="preserve">a</t>
        </is>
      </c>
      <c r="C23" t="inlineStr">
        <is>
          <t xml:space="preserve">Close the alert, as the wire narrations state plausible business reasons such as “Consulting Retainer” and “Project Settlement.”</t>
        </is>
      </c>
    </row>
    <row r="24" spans="1:15" x14ac:dyDescent="0.2">
      <c r="B24" t="inlineStr">
        <is>
          <t xml:space="preserve">b</t>
        </is>
      </c>
      <c r="C24" t="inlineStr">
        <is>
          <t xml:space="preserve">Contact the customer to ask for clarification on the source of the incoming wires.</t>
        </is>
      </c>
    </row>
    <row r="25" spans="1:15" x14ac:dyDescent="0.2">
      <c r="A25" s="60" t="inlineStr">
        <is>
          <t xml:space="preserve">X</t>
        </is>
      </c>
      <c r="B25" s="60" t="inlineStr">
        <is>
          <t xml:space="preserve">c</t>
        </is>
      </c>
      <c r="C25" s="60" t="inlineStr">
        <is>
          <t xml:space="preserve">Escalate the case and recommend filing a Suspicious Activity Report (SAR) based on the combined red flags.</t>
        </is>
      </c>
      <c r="D25" s="60"/>
      <c r="E25" s="60"/>
      <c r="F25" s="60"/>
      <c r="G25" s="60"/>
      <c r="H25" s="60"/>
      <c r="I25" s="60"/>
      <c r="J25" s="60"/>
      <c r="K25" s="60"/>
      <c r="L25" s="60"/>
      <c r="M25" s="60"/>
      <c r="N25" s="60"/>
      <c r="O25" s="60"/>
    </row>
    <row r="27" spans="1:15" x14ac:dyDescent="0.2">
      <c r="A27">
        <v>6</v>
      </c>
      <c r="B27" t="inlineStr">
        <is>
          <t xml:space="preserve">What is the total dollar amount of the incoming wire transfers received over the six-month review period?</t>
        </is>
      </c>
    </row>
    <row r="28" spans="1:15" x14ac:dyDescent="0.2">
      <c r="B28" t="inlineStr">
        <is>
          <t xml:space="preserve">a) $36,700</t>
        </is>
      </c>
    </row>
    <row r="29" spans="1:15" x14ac:dyDescent="0.2">
      <c r="A29" s="60" t="inlineStr">
        <is>
          <t xml:space="preserve">X</t>
        </is>
      </c>
      <c r="B29" s="60" t="inlineStr">
        <is>
          <t xml:space="preserve">b) $37,150</t>
        </is>
      </c>
      <c r="C29" s="60"/>
    </row>
    <row r="30" spans="1:15" x14ac:dyDescent="0.2">
      <c r="B30" t="inlineStr">
        <is>
          <t xml:space="preserve">c) $27,779.51</t>
        </is>
      </c>
    </row>
    <row r="31" spans="1:15" x14ac:dyDescent="0.2">
      <c r="B31" t="inlineStr">
        <is>
          <t xml:space="preserve">d) $24,101.98</t>
        </is>
      </c>
    </row>
    <row r="33" spans="1:15" x14ac:dyDescent="0.2">
      <c r="A33">
        <v>7</v>
      </c>
      <c r="B33" t="inlineStr">
        <is>
          <t xml:space="preserve">From which jurisdiction were the three incoming wire transfers received?</t>
        </is>
      </c>
    </row>
    <row r="34" spans="1:15" x14ac:dyDescent="0.2">
      <c r="B34" t="inlineStr">
        <is>
          <t xml:space="preserve">a) Belize</t>
        </is>
      </c>
    </row>
    <row r="35" spans="1:15" x14ac:dyDescent="0.2">
      <c r="B35" t="inlineStr">
        <is>
          <t xml:space="preserve">b) St Kitts and Nevis</t>
        </is>
      </c>
    </row>
    <row r="36" spans="1:15" x14ac:dyDescent="0.2">
      <c r="A36" s="60" t="inlineStr">
        <is>
          <t xml:space="preserve">X</t>
        </is>
      </c>
      <c r="B36" s="60" t="inlineStr">
        <is>
          <t xml:space="preserve">c) Seychelles</t>
        </is>
      </c>
      <c r="C36" s="60"/>
    </row>
    <row r="37" spans="1:15" x14ac:dyDescent="0.2">
      <c r="B37" t="inlineStr">
        <is>
          <t xml:space="preserve">d) Cayman Islands</t>
        </is>
      </c>
    </row>
    <row r="39" spans="1:15" x14ac:dyDescent="0.2">
      <c r="A39">
        <v>8</v>
      </c>
      <c r="B39" t="inlineStr">
        <is>
          <t xml:space="preserve">Payroll credits over the six months totalled $27,779.51 and living-expense debits totalled $24,101.98. What does this comparison show?</t>
        </is>
      </c>
    </row>
    <row r="40" spans="1:15" x14ac:dyDescent="0.2">
      <c r="B40" t="inlineStr">
        <is>
          <t xml:space="preserve">a) The customer was living beyond his means and required the wire funds.</t>
        </is>
      </c>
    </row>
    <row r="41" spans="1:15" x14ac:dyDescent="0.2">
      <c r="A41" s="60" t="inlineStr">
        <is>
          <t xml:space="preserve">X</t>
        </is>
      </c>
      <c r="B41" s="60" t="inlineStr">
        <is>
          <t xml:space="preserve">b) The salary covered the recorded living expenses, and the wire funds were not applied to any household or living cost.</t>
        </is>
      </c>
      <c r="C41" s="60"/>
    </row>
    <row r="42" spans="1:15" x14ac:dyDescent="0.2">
      <c r="B42" t="inlineStr">
        <is>
          <t xml:space="preserve">c) The living expenses were funded by the incoming wire transfers.</t>
        </is>
      </c>
    </row>
    <row r="43" spans="1:15" x14ac:dyDescent="0.2">
      <c r="B43" t="inlineStr">
        <is>
          <t xml:space="preserve">d) The customer was accumulating the wire funds as savings in the account.</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