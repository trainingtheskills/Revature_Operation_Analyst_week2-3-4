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b373291f00e3d4d/Desktop/CAMS TRAINING/2026/Revature/Assessments ^0 Case studies/Charles Case Studies/"/>
    </mc:Choice>
  </mc:AlternateContent>
  <xr:revisionPtr revIDLastSave="19" documentId="11_30B61DD914180D081A6161F72BF001323307847C" xr6:coauthVersionLast="47" xr6:coauthVersionMax="47" xr10:uidLastSave="{637E2F51-2984-4A51-99C7-1CF2870AA266}"/>
  <bookViews>
    <workbookView xWindow="28680" yWindow="-225" windowWidth="29040" windowHeight="15720" tabRatio="795" firstSheet="1" activeTab="9" xr2:uid="{00000000-000D-0000-FFFF-FFFF00000000}"/>
  </bookViews>
  <sheets>
    <sheet name="Investigation Guide" sheetId="1" r:id="rId1"/>
    <sheet name="Party &amp; Accounts Details" sheetId="2" r:id="rId2"/>
    <sheet name="Accounts" sheetId="3" r:id="rId3"/>
    <sheet name="Event Details" sheetId="4" r:id="rId4"/>
    <sheet name="Transactions" sheetId="5" r:id="rId5"/>
    <sheet name="Support_Docs" sheetId="6" r:id="rId6"/>
    <sheet name="Open_Source_Research" sheetId="7" r:id="rId7"/>
    <sheet name="Disposition &amp; Narrative" sheetId="8" r:id="rId8"/>
    <sheet name="SAR Structured Form" sheetId="9" r:id="rId9"/>
    <sheet name="Case Study Questions" sheetId="10" r:id="rId10"/>
    <sheet name="Instructor – Answer Key" sheetId="11" r:id="rId11"/>
    <sheet name="Instructor – Fact Checklist" sheetId="12" r:id="rId12"/>
    <sheet name="Instructor – Data Traps" sheetId="13" r:id="rId13"/>
    <sheet name="Instructor – Group Legend" sheetId="14" r:id="rId14"/>
    <sheet name="Instructor – Case Summary" sheetId="15" r:id="rId15"/>
  </sheets>
  <definedNames>
    <definedName name="_xlnm._FilterDatabase" localSheetId="3" hidden="1">'Event Details'!$A$3:$F$3</definedName>
    <definedName name="_xlnm._FilterDatabase" localSheetId="4" hidden="1">Transactions!$A$1:$AB$111</definedName>
    <definedName name="_xlnm.Print_Titles" localSheetId="2">Accounts!$3:$3</definedName>
    <definedName name="_xlnm.Print_Titles" localSheetId="9">'Case Study Questions'!$4:$4</definedName>
    <definedName name="_xlnm.Print_Titles" localSheetId="3">'Event Details'!$3:$3</definedName>
    <definedName name="_xlnm.Print_Titles" localSheetId="10">'Instructor – Answer Key'!$4:$4</definedName>
    <definedName name="_xlnm.Print_Titles" localSheetId="12">'Instructor – Data Traps'!$4:$4</definedName>
    <definedName name="_xlnm.Print_Titles" localSheetId="11">'Instructor – Fact Checklist'!$4:$4</definedName>
    <definedName name="_xlnm.Print_Titles" localSheetId="13">'Instructor – Group Legend'!$4:$4</definedName>
    <definedName name="_xlnm.Print_Titles" localSheetId="8">'SAR Structured Form'!$1:$1</definedName>
    <definedName name="_xlnm.Print_Titles" localSheetId="4">Transactions!$1:$1,Transactions!$A:$B</definedName>
    <definedName name="SAR_32_a" hidden="1">'SAR Structured Form'!$A$30</definedName>
    <definedName name="SAR_32_b" hidden="1">'SAR Structured Form'!$A$31</definedName>
    <definedName name="SAR_32_c" hidden="1">'SAR Structured Form'!$A$32</definedName>
    <definedName name="SAR_32_d" hidden="1">'SAR Structured Form'!$A$33</definedName>
    <definedName name="SAR_32_e" hidden="1">'SAR Structured Form'!$C$30</definedName>
    <definedName name="SAR_32_f" hidden="1">'SAR Structured Form'!$C$31</definedName>
    <definedName name="SAR_32_z" hidden="1">'SAR Structured Form'!$C$32</definedName>
    <definedName name="SAR_36_a" hidden="1">'SAR Structured Form'!$A$36</definedName>
    <definedName name="SAR_36_b" hidden="1">'SAR Structured Form'!$A$37</definedName>
    <definedName name="SAR_36_c" hidden="1">'SAR Structured Form'!$A$38</definedName>
    <definedName name="SAR_36_d" hidden="1">'SAR Structured Form'!$A$39</definedName>
    <definedName name="SAR_36_e" hidden="1">'SAR Structured Form'!$A$40</definedName>
    <definedName name="SAR_36_f" hidden="1">'SAR Structured Form'!$A$41</definedName>
    <definedName name="SAR_36_g" hidden="1">'SAR Structured Form'!$A$42</definedName>
    <definedName name="SAR_36_h" hidden="1">'SAR Structured Form'!$C$36</definedName>
    <definedName name="SAR_36_i" hidden="1">'SAR Structured Form'!$C$37</definedName>
    <definedName name="SAR_36_j" hidden="1">'SAR Structured Form'!$C$38</definedName>
    <definedName name="SAR_36_k" hidden="1">'SAR Structured Form'!$C$39</definedName>
    <definedName name="SAR_36_l" hidden="1">'SAR Structured Form'!$C$40</definedName>
    <definedName name="SAR_36_m" hidden="1">'SAR Structured Form'!$C$41</definedName>
    <definedName name="SAR_36_z" hidden="1">'SAR Structured Form'!$C$42</definedName>
    <definedName name="SAR_38_a" hidden="1">'SAR Structured Form'!$A$45</definedName>
    <definedName name="SAR_38_b" hidden="1">'SAR Structured Form'!$A$46</definedName>
    <definedName name="SAR_38_c" hidden="1">'SAR Structured Form'!$A$47</definedName>
    <definedName name="SAR_38_d" hidden="1">'SAR Structured Form'!$A$48</definedName>
    <definedName name="SAR_38_e" hidden="1">'SAR Structured Form'!$A$49</definedName>
    <definedName name="SAR_38_f" hidden="1">'SAR Structured Form'!$A$50</definedName>
    <definedName name="SAR_38_g" hidden="1">'SAR Structured Form'!$A$51</definedName>
    <definedName name="SAR_38_h" hidden="1">'SAR Structured Form'!$A$52</definedName>
    <definedName name="SAR_38_i" hidden="1">'SAR Structured Form'!$A$53</definedName>
    <definedName name="SAR_38_j" hidden="1">'SAR Structured Form'!$A$54</definedName>
    <definedName name="SAR_38_k" hidden="1">'SAR Structured Form'!$C$45</definedName>
    <definedName name="SAR_38_l" hidden="1">'SAR Structured Form'!$C$46</definedName>
    <definedName name="SAR_38_m" hidden="1">'SAR Structured Form'!$C$47</definedName>
    <definedName name="SAR_38_n" hidden="1">'SAR Structured Form'!$C$48</definedName>
    <definedName name="SAR_38_o" hidden="1">'SAR Structured Form'!$C$49</definedName>
    <definedName name="SAR_38_p" hidden="1">'SAR Structured Form'!$C$50</definedName>
    <definedName name="SAR_38_q" hidden="1">'SAR Structured Form'!$C$51</definedName>
    <definedName name="SAR_38_r" hidden="1">'SAR Structured Form'!$C$52</definedName>
    <definedName name="SAR_38_s" hidden="1">'SAR Structured Form'!$C$53</definedName>
    <definedName name="SAR_38_z" hidden="1">'SAR Structured Form'!$C$54</definedName>
    <definedName name="SAR_45_a" hidden="1">'SAR Structured Form'!$A$57</definedName>
    <definedName name="SAR_45_b" hidden="1">'SAR Structured Form'!$A$58</definedName>
    <definedName name="SAR_45_c" hidden="1">'SAR Structured Form'!$A$59</definedName>
    <definedName name="SAR_45_d" hidden="1">'SAR Structured Form'!$A$60</definedName>
    <definedName name="SAR_45_e" hidden="1">'SAR Structured Form'!$A$61</definedName>
    <definedName name="SAR_45_f" hidden="1">'SAR Structured Form'!$A$62</definedName>
    <definedName name="SAR_45_g" hidden="1">'SAR Structured Form'!$A$63</definedName>
    <definedName name="SAR_45_h" hidden="1">'SAR Structured Form'!$A$64</definedName>
    <definedName name="SAR_45_i" hidden="1">'SAR Structured Form'!$A$65</definedName>
    <definedName name="SAR_45_j" hidden="1">'SAR Structured Form'!$A$66</definedName>
    <definedName name="SAR_45_k" hidden="1">'SAR Structured Form'!$A$67</definedName>
    <definedName name="SAR_45_l" hidden="1">'SAR Structured Form'!$C$57</definedName>
    <definedName name="SAR_45_m" hidden="1">'SAR Structured Form'!$C$58</definedName>
    <definedName name="SAR_45_n" hidden="1">'SAR Structured Form'!$C$59</definedName>
    <definedName name="SAR_45_o" hidden="1">'SAR Structured Form'!$C$60</definedName>
    <definedName name="SAR_45_p" hidden="1">'SAR Structured Form'!$C$61</definedName>
    <definedName name="SAR_45_q" hidden="1">'SAR Structured Form'!$C$62</definedName>
    <definedName name="SAR_45_r" hidden="1">'SAR Structured Form'!$C$63</definedName>
    <definedName name="SAR_45_s" hidden="1">'SAR Structured Form'!$C$64</definedName>
    <definedName name="SAR_45_t" hidden="1">'SAR Structured Form'!$C$65</definedName>
    <definedName name="SAR_45_z" hidden="1">'SAR Structured Form'!$C$66</definedName>
    <definedName name="SAR_46_a" hidden="1">'SAR Structured Form'!$A$70</definedName>
    <definedName name="SAR_46_b" hidden="1">'SAR Structured Form'!$A$71</definedName>
    <definedName name="SAR_46_c" hidden="1">'SAR Structured Form'!$A$72</definedName>
    <definedName name="SAR_46_d" hidden="1">'SAR Structured Form'!$A$73</definedName>
    <definedName name="SAR_46_e" hidden="1">'SAR Structured Form'!$A$74</definedName>
    <definedName name="SAR_46_f" hidden="1">'SAR Structured Form'!$C$70</definedName>
    <definedName name="SAR_46_g" hidden="1">'SAR Structured Form'!$C$71</definedName>
    <definedName name="SAR_46_h" hidden="1">'SAR Structured Form'!$C$72</definedName>
    <definedName name="SAR_46_i" hidden="1">'SAR Structured Form'!$C$73</definedName>
    <definedName name="SAR_46_z" hidden="1">'SAR Structured Form'!$C$74</definedName>
    <definedName name="SAR_ACCOUNTS" hidden="1">'SAR Structured Form'!$D$10</definedName>
    <definedName name="SAR_BRANCH_HEADER" hidden="1">'SAR Structured Form'!$B$13</definedName>
    <definedName name="SAR_EVENTS" hidden="1">'SAR Structured Form'!$D$7</definedName>
    <definedName name="SAR_F29" hidden="1">'SAR Structured Form'!$D$24</definedName>
    <definedName name="SAR_F30_FROM" hidden="1">'SAR Structured Form'!$D$25</definedName>
    <definedName name="SAR_F30_TO" hidden="1">'SAR Structured Form'!$D$26</definedName>
    <definedName name="SAR_F31" hidden="1">'SAR Structured Form'!$D$27</definedName>
    <definedName name="SAR_RFI" hidden="1">'SAR Structured Form'!$D$8</definedName>
    <definedName name="SAR_SUSPECTS" hidden="1">'SAR Structured Form'!$D$9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1" i="15" l="1"/>
  <c r="B40" i="15"/>
  <c r="E37" i="15"/>
  <c r="D37" i="15"/>
  <c r="E36" i="15"/>
  <c r="D36" i="15"/>
  <c r="E35" i="15"/>
  <c r="D35" i="15"/>
  <c r="E34" i="15"/>
  <c r="D34" i="15"/>
  <c r="E33" i="15"/>
  <c r="D33" i="15"/>
  <c r="E32" i="15"/>
  <c r="D32" i="15"/>
  <c r="E31" i="15"/>
  <c r="D31" i="15"/>
  <c r="E30" i="15"/>
  <c r="D30" i="15"/>
  <c r="E29" i="15"/>
  <c r="D29" i="15"/>
  <c r="E28" i="15"/>
  <c r="D28" i="15"/>
  <c r="E27" i="15"/>
  <c r="D27" i="15"/>
  <c r="E26" i="15"/>
  <c r="D26" i="15"/>
  <c r="E25" i="15"/>
  <c r="D25" i="15"/>
  <c r="E24" i="15"/>
  <c r="D24" i="15"/>
  <c r="E23" i="15"/>
  <c r="D23" i="15"/>
  <c r="E22" i="15"/>
  <c r="D22" i="15"/>
  <c r="E21" i="15"/>
  <c r="D21" i="15"/>
  <c r="D17" i="15"/>
  <c r="C17" i="15"/>
  <c r="D16" i="15"/>
  <c r="C16" i="15"/>
  <c r="E15" i="14"/>
  <c r="D15" i="14"/>
  <c r="C15" i="14"/>
  <c r="E14" i="14"/>
  <c r="D14" i="14"/>
  <c r="C14" i="14"/>
  <c r="E13" i="14"/>
  <c r="D13" i="14"/>
  <c r="C13" i="14"/>
  <c r="E12" i="14"/>
  <c r="D12" i="14"/>
  <c r="F12" i="14" s="1"/>
  <c r="C12" i="14"/>
  <c r="E11" i="14"/>
  <c r="D11" i="14"/>
  <c r="C11" i="14"/>
  <c r="E10" i="14"/>
  <c r="D10" i="14"/>
  <c r="C10" i="14"/>
  <c r="E9" i="14"/>
  <c r="D9" i="14"/>
  <c r="C9" i="14"/>
  <c r="E8" i="14"/>
  <c r="D8" i="14"/>
  <c r="C8" i="14"/>
  <c r="E7" i="14"/>
  <c r="D7" i="14"/>
  <c r="C7" i="14"/>
  <c r="E6" i="14"/>
  <c r="D6" i="14"/>
  <c r="C6" i="14"/>
  <c r="E5" i="14"/>
  <c r="D5" i="14"/>
  <c r="C5" i="14"/>
  <c r="D87" i="5"/>
  <c r="D88" i="5" s="1"/>
  <c r="D89" i="5" s="1"/>
  <c r="D90" i="5" s="1"/>
  <c r="D91" i="5" s="1"/>
  <c r="D92" i="5" s="1"/>
  <c r="D93" i="5" s="1"/>
  <c r="D94" i="5" s="1"/>
  <c r="D95" i="5" s="1"/>
  <c r="D96" i="5" s="1"/>
  <c r="D97" i="5" s="1"/>
  <c r="D98" i="5" s="1"/>
  <c r="D99" i="5" s="1"/>
  <c r="D100" i="5" s="1"/>
  <c r="D101" i="5" s="1"/>
  <c r="D102" i="5" s="1"/>
  <c r="D103" i="5" s="1"/>
  <c r="D104" i="5" s="1"/>
  <c r="D105" i="5" s="1"/>
  <c r="D106" i="5" s="1"/>
  <c r="D107" i="5" s="1"/>
  <c r="D108" i="5" s="1"/>
  <c r="D109" i="5" s="1"/>
  <c r="D110" i="5" s="1"/>
  <c r="D111" i="5" s="1"/>
  <c r="D2" i="5"/>
  <c r="D3" i="5" s="1"/>
  <c r="D4" i="5" s="1"/>
  <c r="D5" i="5" s="1"/>
  <c r="D6" i="5" s="1"/>
  <c r="D7" i="5" s="1"/>
  <c r="D8" i="5" s="1"/>
  <c r="D9" i="5" s="1"/>
  <c r="D10" i="5" s="1"/>
  <c r="D11" i="5" s="1"/>
  <c r="D12" i="5" s="1"/>
  <c r="D13" i="5" s="1"/>
  <c r="D14" i="5" s="1"/>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D40" i="5" s="1"/>
  <c r="D41" i="5" s="1"/>
  <c r="D42" i="5" s="1"/>
  <c r="D43" i="5" s="1"/>
  <c r="D44" i="5" s="1"/>
  <c r="D45" i="5" s="1"/>
  <c r="D46" i="5" s="1"/>
  <c r="D47" i="5" s="1"/>
  <c r="D48" i="5" s="1"/>
  <c r="D49" i="5" s="1"/>
  <c r="D50" i="5" s="1"/>
  <c r="D51" i="5" s="1"/>
  <c r="D52" i="5" s="1"/>
  <c r="D53" i="5" s="1"/>
  <c r="D54" i="5" s="1"/>
  <c r="D55" i="5" s="1"/>
  <c r="D56" i="5" s="1"/>
  <c r="D57" i="5" s="1"/>
  <c r="D58" i="5" s="1"/>
  <c r="D59" i="5" s="1"/>
  <c r="D60" i="5" s="1"/>
  <c r="D61" i="5" s="1"/>
  <c r="D62" i="5" s="1"/>
  <c r="D63" i="5" s="1"/>
  <c r="D64" i="5" s="1"/>
  <c r="D65" i="5" s="1"/>
  <c r="D66" i="5" s="1"/>
  <c r="D67" i="5" s="1"/>
  <c r="D68" i="5" s="1"/>
  <c r="D69" i="5" s="1"/>
  <c r="D70" i="5" s="1"/>
  <c r="D71" i="5" s="1"/>
  <c r="D72" i="5" s="1"/>
  <c r="D73" i="5" s="1"/>
  <c r="D74" i="5" s="1"/>
  <c r="D75" i="5" s="1"/>
  <c r="D76" i="5" s="1"/>
  <c r="D77" i="5" s="1"/>
  <c r="D78" i="5" s="1"/>
  <c r="D79" i="5" s="1"/>
  <c r="D80" i="5" s="1"/>
  <c r="D81" i="5" s="1"/>
  <c r="D82" i="5" s="1"/>
  <c r="D83" i="5" s="1"/>
  <c r="D84" i="5" s="1"/>
  <c r="D85" i="5" s="1"/>
  <c r="D86" i="5" s="1"/>
  <c r="F14" i="14" l="1"/>
  <c r="F28" i="15"/>
  <c r="F37" i="15"/>
  <c r="F13" i="14"/>
  <c r="F9" i="14"/>
  <c r="F15" i="14"/>
  <c r="F11" i="14"/>
  <c r="F30" i="15"/>
  <c r="F6" i="14"/>
  <c r="E16" i="14"/>
  <c r="F7" i="14"/>
  <c r="F36" i="15"/>
  <c r="F10" i="14"/>
  <c r="F5" i="14"/>
  <c r="E17" i="15"/>
  <c r="F17" i="15" s="1"/>
  <c r="F29" i="15"/>
  <c r="F22" i="15"/>
  <c r="F8" i="14"/>
  <c r="F16" i="14" s="1"/>
  <c r="F21" i="15"/>
  <c r="F31" i="15"/>
  <c r="F23" i="15"/>
  <c r="F35" i="15"/>
  <c r="F27" i="15"/>
  <c r="C16" i="14"/>
  <c r="E16" i="15"/>
  <c r="F16" i="15" s="1"/>
  <c r="F24" i="15"/>
  <c r="F32" i="15"/>
  <c r="F34" i="15"/>
  <c r="F33" i="15"/>
  <c r="F25" i="15"/>
  <c r="F26" i="15"/>
  <c r="D1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400-000001000000}">
      <text>
        <r>
          <rPr>
            <sz val="10"/>
            <rFont val="Arial"/>
            <family val="2"/>
          </rPr>
          <t>Opening balance for account 5523018846120: $21,486.37 (from the case file). Each later row adds that row's credit and subtracts its debit.</t>
        </r>
      </text>
    </comment>
    <comment ref="D87" authorId="0" shapeId="0" xr:uid="{00000000-0006-0000-0400-000002000000}">
      <text>
        <r>
          <rPr>
            <sz val="10"/>
            <rFont val="Arial"/>
            <family val="2"/>
          </rPr>
          <t>Opening balance for account 5523018851447: $6,214.58 (from the case file). Each later row adds that row's credit and subtracts its debit.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4" authorId="0" shapeId="0" xr:uid="{00000000-0006-0000-0800-000006000000}">
      <text>
        <r>
          <rPr>
            <sz val="10"/>
            <rFont val="Arial"/>
            <family val="2"/>
          </rPr>
          <t>Field 29 – Amount involved: total of the suspicious transactions you are reporting, both the suspicious deposits and the suspicious withdrawals or wires. Exclude transfers between the subject's own accounts, returned or reversed items, fees, and anything you concluded is legitimate. Whole dollars, rounded UP.</t>
        </r>
      </text>
    </comment>
    <comment ref="B27" authorId="0" shapeId="0" xr:uid="{00000000-0006-0000-0800-000007000000}">
      <text>
        <r>
          <rPr>
            <sz val="10"/>
            <rFont val="Arial"/>
            <family val="2"/>
          </rPr>
          <t>Field 31 - Cumulative amount: only for a continuing-activity report. It is the running total of this report plus the earlier related reports. Leave blank on an initial report.</t>
        </r>
      </text>
    </comment>
    <comment ref="A29" authorId="0" shapeId="0" xr:uid="{00000000-0006-0000-0800-000001000000}">
      <text>
        <r>
          <rPr>
            <sz val="10"/>
            <rFont val="Arial"/>
            <family val="2"/>
          </rPr>
          <t>Item 32 - Structuring: mark only when the evidence shows transactions were split, altered or cancelled to stay under a reporting or recordkeeping threshold. Mark every letter that applies.</t>
        </r>
      </text>
    </comment>
    <comment ref="A35" authorId="0" shapeId="0" xr:uid="{00000000-0006-0000-0800-000002000000}">
      <text>
        <r>
          <rPr>
            <sz val="10"/>
            <rFont val="Arial"/>
            <family val="2"/>
          </rPr>
          <t>Item 36 - Money laundering: mark each characteristic the activity actually shows (for example an unexplained source of funds, suspicious wires, or activity out of pattern for the customer).</t>
        </r>
      </text>
    </comment>
    <comment ref="A44" authorId="0" shapeId="0" xr:uid="{00000000-0006-0000-0800-000003000000}">
      <text>
        <r>
          <rPr>
            <sz val="10"/>
            <rFont val="Arial"/>
            <family val="2"/>
          </rPr>
          <t>Item 38 - Other suspicious activities: types not covered above. Choose only what the facts in your narrative support.</t>
        </r>
      </text>
    </comment>
    <comment ref="A56" authorId="0" shapeId="0" xr:uid="{00000000-0006-0000-0800-000004000000}">
      <text>
        <r>
          <rPr>
            <sz val="10"/>
            <rFont val="Arial"/>
            <family val="2"/>
          </rPr>
          <t>Item 45 - Product type: the bank product(s) the money moved through. A checking or savings account is a Deposit account.</t>
        </r>
      </text>
    </comment>
    <comment ref="A69" authorId="0" shapeId="0" xr:uid="{00000000-0006-0000-0800-000005000000}">
      <text>
        <r>
          <rPr>
            <sz val="10"/>
            <rFont val="Arial"/>
            <family val="2"/>
          </rPr>
          <t>Item 46 - Instrument / payment mechanism: how the money moved - cash (U.S. Currency), wires (Funds transfer), checks, money orders and so on. Mark every instrument that carried the suspicious funds.</t>
        </r>
      </text>
    </comment>
  </commentList>
</comments>
</file>

<file path=xl/sharedStrings.xml><?xml version="1.0" encoding="utf-8"?>
<sst xmlns="http://schemas.openxmlformats.org/spreadsheetml/2006/main" count="2427" uniqueCount="761">
  <si>
    <t>Practice Case A – Investigation Guide</t>
  </si>
  <si>
    <t>Work through the tabs in the order listed below, base every conclusion on the evidence in this workbook, and record your work where each step tells you to.</t>
  </si>
  <si>
    <t>INVESTIGATION OBJECTIVE</t>
  </si>
  <si>
    <t>Review the alerted activity and decide whether it is consistent with what the bank knows about the customer (the KYC profile). Trace the source and the use of the funds - where the money came from and where it went - and quantify what you find. Document a clear, well-supported disposition in 'Disposition &amp; Narrative'. Complete the 'SAR Structured Form' only if your disposition is to file a SAR; if you decide not to file, leave that tab blank.</t>
  </si>
  <si>
    <t>STEP</t>
  </si>
  <si>
    <t>TAB</t>
  </si>
  <si>
    <t>REVIEW FOCUS</t>
  </si>
  <si>
    <t>ACTION / EXPECTED OUTPUT</t>
  </si>
  <si>
    <t>NOTE</t>
  </si>
  <si>
    <t>Party &amp; Accounts Details</t>
  </si>
  <si>
    <t>Who the customer is: identity, occupation or business type, expected activity, stated source of funds, the accounts held and any related cases.</t>
  </si>
  <si>
    <t>Summarise the KYC profile. Note the expected activity you will measure the alerted activity against.</t>
  </si>
  <si>
    <t>Accounts</t>
  </si>
  <si>
    <t>Each account's type, number, owner(s), status, dates and how many alerted events it carries.</t>
  </si>
  <si>
    <t>Confirm which accounts are in scope and record the account numbers exactly as shown.</t>
  </si>
  <si>
    <t>Event Details</t>
  </si>
  <si>
    <t>The alerted events: monitoring rule, date, account, amount and direction (debits are shown as negative amounts).</t>
  </si>
  <si>
    <t>List the alerts and find each one on the 'Transactions' tab before you form a view.</t>
  </si>
  <si>
    <t>Transactions</t>
  </si>
  <si>
    <t>All activity on all accounts for the review period: inflows, outflows, counterparties, locations, timing and running balances.</t>
  </si>
  <si>
    <t>Filter and sort to trace where the money came from and where it went. Use the Group column to tag related rows, and quantify the total of every pattern you rely on.</t>
  </si>
  <si>
    <t>Use the filters on row 1</t>
  </si>
  <si>
    <t>Support_Docs</t>
  </si>
  <si>
    <t>Supporting documents.</t>
  </si>
  <si>
    <t>No action needed for this practice case.</t>
  </si>
  <si>
    <t>Not Required for this case study</t>
  </si>
  <si>
    <t>Open_Source_Research</t>
  </si>
  <si>
    <t>Open-source (internet / media) research.</t>
  </si>
  <si>
    <t>Disposition &amp; Narrative</t>
  </si>
  <si>
    <t>Your written conclusion.</t>
  </si>
  <si>
    <t>Enter your complete narrative in cell A1 of 'Disposition &amp; Narrative' only. Cover who, what, when, where, why the activity is or is not suspicious, the key amounts, accounts and counterparties, the flow of funds, and your final disposition (SAR / No SAR).</t>
  </si>
  <si>
    <t>Cell A1 only</t>
  </si>
  <si>
    <t>SAR Structured Form</t>
  </si>
  <si>
    <t>FinCEN-style SAR data fields.</t>
  </si>
  <si>
    <t>If you file, record the filing details here. Mark options by choosing X in the shaded box to the left of each option; type text answers in the shaded boxes.</t>
  </si>
  <si>
    <t>Complete only if your disposition is to file a SAR</t>
  </si>
  <si>
    <t>Case Study Questions</t>
  </si>
  <si>
    <t>Questions that test how well your findings reconcile to the evidence.</t>
  </si>
  <si>
    <t>Select one answer per question by entering X in column A.</t>
  </si>
  <si>
    <t>Complete after steps 7–8</t>
  </si>
  <si>
    <t>FINAL QUALITY CHECK</t>
  </si>
  <si>
    <t>Before you submit: (1) reconcile every alerted event on 'Event Details' to its matching row on 'Transactions'; (2) confirm you have considered all relevant inflows and outflows - not only the alerted items - and that every total you quote adds up; (3) make sure your narrative is in cell A1 of 'Disposition &amp; Narrative' and nowhere else; (4) complete the 'SAR Structured Form' only if your disposition supports filing, otherwise leave it blank.</t>
  </si>
  <si>
    <t>Customer Name</t>
  </si>
  <si>
    <t>Northgate Mobile Repair LLC</t>
  </si>
  <si>
    <t>CUSTOMER INFORMATION</t>
  </si>
  <si>
    <t>BANK RELATIONSHIP INFORMATION</t>
  </si>
  <si>
    <t>Title / Address</t>
  </si>
  <si>
    <t>4127 Kessler Commons Blvd, Suite C</t>
  </si>
  <si>
    <t>Customer Since</t>
  </si>
  <si>
    <t>Columbus, OH 43229</t>
  </si>
  <si>
    <t>Party ID</t>
  </si>
  <si>
    <t>United States</t>
  </si>
  <si>
    <t>TIN/SSN</t>
  </si>
  <si>
    <t>XX-XXX7316</t>
  </si>
  <si>
    <t>CONTACT INFORMATION</t>
  </si>
  <si>
    <t>Date Established</t>
  </si>
  <si>
    <t>Phone</t>
  </si>
  <si>
    <t>(614) 555-0147</t>
  </si>
  <si>
    <t>Business Type / NAICS Description</t>
  </si>
  <si>
    <t>Cell-phone repair and accessories retail (NAICS 811210 - Electronic and Precision Equipment Repair and Maintenance)</t>
  </si>
  <si>
    <t>E-mail</t>
  </si>
  <si>
    <t>northgate.repair@example.com</t>
  </si>
  <si>
    <t>Owner / Authorized Signer</t>
  </si>
  <si>
    <t>Desmond J. Bennett - Managing Member, 100% owner, authorized signer</t>
  </si>
  <si>
    <t>Doing Business As</t>
  </si>
  <si>
    <t>Northgate Phone Fix</t>
  </si>
  <si>
    <t>Owner Residential Address</t>
  </si>
  <si>
    <t>7720 Saddle Creek Ct, Dublin, OH 43017</t>
  </si>
  <si>
    <t>Related Personal Account</t>
  </si>
  <si>
    <t>Personal checking 5523018851447 - Desmond J. Bennett, customer since 2017-08-10</t>
  </si>
  <si>
    <t>Authorized Depositors (on file)</t>
  </si>
  <si>
    <t>Desmond J. Bennett (owner); Luis A. Ortega (store manager)</t>
  </si>
  <si>
    <t>Expected Monthly Activity (2025 KYC refresh)</t>
  </si>
  <si>
    <t>Card settlements $20,000-$28,000; cash deposits $2,000-$4,000 (night depository); ACH payroll, rent and parts-supplier payments; no international wire activity expected</t>
  </si>
  <si>
    <t>Source of Funds (onboarding)</t>
  </si>
  <si>
    <t>Retail cell-phone repair services and accessory sales, paid by card and cash</t>
  </si>
  <si>
    <t>Primary Supplier (onboarding)</t>
  </si>
  <si>
    <t>MobileSource Parts Distribution Inc. - domestic parts distributor, paid by ACH</t>
  </si>
  <si>
    <t>Annual Sales (2025 KYC refresh)</t>
  </si>
  <si>
    <t>$310,000</t>
  </si>
  <si>
    <t>RM Contact Note (2026-08-20)</t>
  </si>
  <si>
    <t>During a routine KYC refresh call, the owner attributed higher cash deposits to increased accessory sales and said 'some customers prefer to pay cash'. He described Golden Kestrel General Trading FZE as an 'inventory supplier' and Stonebridge Crest Holdings LLC as 'my holding company'. No sales records, invoices or agreements were provided as of case open.</t>
  </si>
  <si>
    <t>ACCOUNTS</t>
  </si>
  <si>
    <t>Type</t>
  </si>
  <si>
    <t>Status</t>
  </si>
  <si>
    <t>Open Date</t>
  </si>
  <si>
    <t>Close Date</t>
  </si>
  <si>
    <t>DDA – 5523018846120</t>
  </si>
  <si>
    <t>Business</t>
  </si>
  <si>
    <t>Open</t>
  </si>
  <si>
    <t>DDA – 5523018851447</t>
  </si>
  <si>
    <t>Personal</t>
  </si>
  <si>
    <t>Related Cases</t>
  </si>
  <si>
    <t>None</t>
  </si>
  <si>
    <t>Account</t>
  </si>
  <si>
    <t>Account Type</t>
  </si>
  <si>
    <t>Account Number</t>
  </si>
  <si>
    <t>Account Owners</t>
  </si>
  <si>
    <t># of Alerted Events</t>
  </si>
  <si>
    <t>Closed Date</t>
  </si>
  <si>
    <t>DDA</t>
  </si>
  <si>
    <t>5523018846120</t>
  </si>
  <si>
    <t>Northgate Mobile Repair LLC (authorized signer: Desmond J. Bennett)</t>
  </si>
  <si>
    <t>5523018851447</t>
  </si>
  <si>
    <t>Desmond J. Bennett</t>
  </si>
  <si>
    <t>Case Open Date</t>
  </si>
  <si>
    <t>Review Period</t>
  </si>
  <si>
    <t>05/01/2026 – 08/31/2026</t>
  </si>
  <si>
    <t>Event</t>
  </si>
  <si>
    <t>Date</t>
  </si>
  <si>
    <t>Amount</t>
  </si>
  <si>
    <t>C/D</t>
  </si>
  <si>
    <t>Structuring - Cash</t>
  </si>
  <si>
    <t>C</t>
  </si>
  <si>
    <t>Cash</t>
  </si>
  <si>
    <t>Multi-Location Cash</t>
  </si>
  <si>
    <t>International Wire - Cash Velocity</t>
  </si>
  <si>
    <t>D</t>
  </si>
  <si>
    <t>Wire</t>
  </si>
  <si>
    <t>Cash Spike vs. Profile</t>
  </si>
  <si>
    <t>High Value Wire - Foreign</t>
  </si>
  <si>
    <t>Structuring - Cash (Multi-Account)</t>
  </si>
  <si>
    <t>Rapid Movement of Funds - Wire</t>
  </si>
  <si>
    <t>Name</t>
  </si>
  <si>
    <t>P/B</t>
  </si>
  <si>
    <t>Daily Balance</t>
  </si>
  <si>
    <t>Credit</t>
  </si>
  <si>
    <t>Debit</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</si>
  <si>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</si>
  <si>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</si>
  <si>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</si>
  <si>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</si>
  <si>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</si>
  <si>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</si>
  <si>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</si>
  <si>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</si>
  <si>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</si>
  <si>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</si>
  <si>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</si>
  <si>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</si>
  <si>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</si>
  <si>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</si>
  <si>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</si>
  <si>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</si>
  <si>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</si>
  <si>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</si>
  <si>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</si>
  <si>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B</t>
  </si>
  <si>
    <t>ACH</t>
  </si>
  <si>
    <t>Group 9</t>
  </si>
  <si>
    <t>ACH debit - Kessler Commons Properties LLC - RENT 05/2026</t>
  </si>
  <si>
    <t>Harborview National Bank, N.A.</t>
  </si>
  <si>
    <t>Kessler Commons Properties LLC</t>
  </si>
  <si>
    <t>Tidewell Commerce Trust</t>
  </si>
  <si>
    <t>6620193377</t>
  </si>
  <si>
    <t>Card Settlement</t>
  </si>
  <si>
    <t>Group 7</t>
  </si>
  <si>
    <t>Merchant card settlement - Cardline Merchant Services - batch 0504</t>
  </si>
  <si>
    <t>Cardline Merchant Services</t>
  </si>
  <si>
    <t>8800412290</t>
  </si>
  <si>
    <t>Group 5</t>
  </si>
  <si>
    <t>Teller cash deposit</t>
  </si>
  <si>
    <t>Columbus</t>
  </si>
  <si>
    <t>OH</t>
  </si>
  <si>
    <t>43229</t>
  </si>
  <si>
    <t>HNB-B12 Northland</t>
  </si>
  <si>
    <t>T-OH-127</t>
  </si>
  <si>
    <t>Cash in over $10,000 - CTR filed; conductor Desmond J. Bennett (owner), ID verified</t>
  </si>
  <si>
    <t>Group 8</t>
  </si>
  <si>
    <t>Night depository cash deposit - store receipts</t>
  </si>
  <si>
    <t>T-OH-NDP</t>
  </si>
  <si>
    <t>Night drop bag prepared by Luis A. Ortega (store manager)</t>
  </si>
  <si>
    <t>ACH debit - PayBridge Payroll Services - PAYROLL</t>
  </si>
  <si>
    <t>PayBridge Payroll Services</t>
  </si>
  <si>
    <t>4471100825</t>
  </si>
  <si>
    <t>Merchant card settlement - Cardline Merchant Services - batch 0511</t>
  </si>
  <si>
    <t>ACH debit - MobileSource Parts Distribution Inc. - INV MS-40228</t>
  </si>
  <si>
    <t>MobileSource Parts Distribution Inc.</t>
  </si>
  <si>
    <t>Bramblecrest Bank &amp; Trust</t>
  </si>
  <si>
    <t>2209187764</t>
  </si>
  <si>
    <t>Check</t>
  </si>
  <si>
    <t>Other</t>
  </si>
  <si>
    <t>Check #1186 paid - Kessler Commons Properties LLC</t>
  </si>
  <si>
    <t>1186</t>
  </si>
  <si>
    <t>Memo: 2025 CAM reconciliation</t>
  </si>
  <si>
    <t>Internal Transfer</t>
  </si>
  <si>
    <t>Online transfer to personal checking ...1447 - owner draw</t>
  </si>
  <si>
    <t>Online Banking</t>
  </si>
  <si>
    <t>Merchant card settlement - Cardline Merchant Services - batch 0518</t>
  </si>
  <si>
    <t>ACH debit - Olentangy Electric &amp; Gas - COMMERCIAL UTILITY</t>
  </si>
  <si>
    <t>Olentangy Electric &amp; Gas</t>
  </si>
  <si>
    <t>3390022184</t>
  </si>
  <si>
    <t>Group 1</t>
  </si>
  <si>
    <t>Depositor: Desmond J. Bennett (owner); in-person teller deposit</t>
  </si>
  <si>
    <t>Northgate Mobil Repair LLC</t>
  </si>
  <si>
    <t>Westerville</t>
  </si>
  <si>
    <t>43081</t>
  </si>
  <si>
    <t>HNB-B27 Westerville</t>
  </si>
  <si>
    <t>T-OH-274</t>
  </si>
  <si>
    <t>Luis A. Ortega</t>
  </si>
  <si>
    <t>Depositor: Luis A. Ortega (store manager, authorized depositor); in-person teller deposit</t>
  </si>
  <si>
    <t>Merchant card settlement - Cardline Merchant Services - batch 0526</t>
  </si>
  <si>
    <t>Group 2</t>
  </si>
  <si>
    <t>Outgoing international wire (USD) - Golden Kestrel General Trading FZE</t>
  </si>
  <si>
    <t>Golden Kestrel General Trading FZE</t>
  </si>
  <si>
    <t>Dunecrest Commercial Bank PJSC, Dubai, UAE</t>
  </si>
  <si>
    <t>AE07 0450 **** **** 1862</t>
  </si>
  <si>
    <t>Currency USD; OBI: INVENTORY; Bene address: Warehouse 14, Free Zone South, Dubai, UAE; Bene country AE - HNB country-risk rating: Medium (not FATF-listed); OFAC screen: no match; New beneficiary added via online banking 05/26/2026</t>
  </si>
  <si>
    <t>ACH debit - MobileSource Parts Distribution Inc. - INV MS-40256</t>
  </si>
  <si>
    <t>Fee</t>
  </si>
  <si>
    <t>Account analysis fee - 05/2026 (maintenance, cash handling, wire services)</t>
  </si>
  <si>
    <t>Maintenance $32.00; cash handling $48.54 ($1.50 per $1,000 of $32,359.12 cash deposited); 1 international wire(s) at $45.00; 0 domestic wire(s) at $30.00</t>
  </si>
  <si>
    <t>Merchant card settlement - Cardline Merchant Services - batch 0601</t>
  </si>
  <si>
    <t>ACH debit - Kessler Commons Properties LLC - RENT 06/2026</t>
  </si>
  <si>
    <t>Merchant card settlement - Cardline Merchant Services - batch 0608</t>
  </si>
  <si>
    <t>Depositor: Desmond J. Bennett (owner); in-person teller deposit; aggregated with same-day deposit at Westerville - CTR filed for business day 06/08/2026, total $18,400.00</t>
  </si>
  <si>
    <t>Depositor: Luis A. Ortega (store manager, authorized depositor); in-person teller deposit; aggregated with same-day deposit at Northland - CTR filed for business day 06/08/2026, total $18,400.00</t>
  </si>
  <si>
    <t>ACH debit - MobileSource Parts Distribution Inc. - INV MS-40279</t>
  </si>
  <si>
    <t>Worthington</t>
  </si>
  <si>
    <t>43085</t>
  </si>
  <si>
    <t>HNB-B33 Worthington</t>
  </si>
  <si>
    <t>T-OH-335</t>
  </si>
  <si>
    <t>Group 3</t>
  </si>
  <si>
    <t>Outgoing domestic wire (USD) - Stonebridge Crest Holdings LLC</t>
  </si>
  <si>
    <t>Stonebridge Crest Holdings LLC</t>
  </si>
  <si>
    <t>Lakemont Federal Bank</t>
  </si>
  <si>
    <t>7310045528</t>
  </si>
  <si>
    <t>OBI: CONSULTING; Bene address: 7720 Saddle Creek Ct, Dublin, OH 43017</t>
  </si>
  <si>
    <t>Merchant card settlement - Cardline Merchant Services - batch 0615</t>
  </si>
  <si>
    <t>Currency USD; OBI: CONSULTING SERVICES; Bene address: Warehouse 14, Free Zone South, Dubai, UAE; Bene country AE - HNB country-risk rating: Medium (not FATF-listed); OFAC screen: no match</t>
  </si>
  <si>
    <t>Merchant card settlement - Cardline Merchant Services - batch 0622</t>
  </si>
  <si>
    <t>Group 6</t>
  </si>
  <si>
    <t>ACH credit - Buckeye Shield Mutual Insurance Co. - CLAIM CP-2026-044718</t>
  </si>
  <si>
    <t>Buckeye Shield Mutual Insurance Co.</t>
  </si>
  <si>
    <t>9014452260</t>
  </si>
  <si>
    <t>Commercial property claim CP-2026-044718 - water damage at store, loss date 06/03/2026</t>
  </si>
  <si>
    <t>ACH debit - MobileSource Parts Distribution Inc. - INV MS-40297</t>
  </si>
  <si>
    <t>Check #1187 paid - Ridgeway Build &amp; Restore LLC</t>
  </si>
  <si>
    <t>1187</t>
  </si>
  <si>
    <t>Ridgeway Build &amp; Restore LLC</t>
  </si>
  <si>
    <t>5580031946</t>
  </si>
  <si>
    <t>Memo: water damage repairs - claim CP-2026-044718</t>
  </si>
  <si>
    <t>Merchant card settlement - Cardline Merchant Services - batch 0629</t>
  </si>
  <si>
    <t>ACH debit - TechBench Repair Equipment Co. - INV TB-55821</t>
  </si>
  <si>
    <t>TechBench Repair Equipment Co.</t>
  </si>
  <si>
    <t>7702918845</t>
  </si>
  <si>
    <t>Replacement micro-soldering station and ultrasonic cleaner</t>
  </si>
  <si>
    <t>Account analysis fee - 06/2026 (maintenance, cash handling, wire services)</t>
  </si>
  <si>
    <t>Maintenance $32.00; cash handling $59.20 ($1.50 per $1,000 of $39,463.98 cash deposited); 1 international wire(s) at $45.00; 1 domestic wire(s) at $30.00</t>
  </si>
  <si>
    <t>ACH debit - Kessler Commons Properties LLC - RENT 07/2026</t>
  </si>
  <si>
    <t>Merchant card settlement - Cardline Merchant Services - batch 0706</t>
  </si>
  <si>
    <t>ACH debit - MobileSource Parts Distribution Inc. - INV MS-40325</t>
  </si>
  <si>
    <t>Group 4</t>
  </si>
  <si>
    <t>Outgoing international wire (USD) - Golden Kestral General Trading FZE</t>
  </si>
  <si>
    <t>Golden Kestral General Trading FZE</t>
  </si>
  <si>
    <t>Currency USD; OBI: INV 0709 GOODS; Bene address: Warehouse 14, Free Zone South, Dubai, UAE; Bene country AE - HNB country-risk rating: Medium (not FATF-listed); OFAC screen: no match</t>
  </si>
  <si>
    <t>Merchant card settlement - Cardline Merchant Services - batch 0713</t>
  </si>
  <si>
    <t>Incoming wire (USD) - RETURN of 07/09/2026 outgoing wire</t>
  </si>
  <si>
    <t>Returned by beneficiary bank: beneficiary name does not match account; returned amount is net of $42.50 correspondent charges</t>
  </si>
  <si>
    <t>Currency USD; OBI: INV 0709 GOODS; Bene address: Warehouse 14, Free Zone South, Dubai, UAE; Bene country AE - HNB country-risk rating: Medium (not FATF-listed); OFAC screen: no match; Re-send of 07/09/2026 wire with corrected beneficiary name</t>
  </si>
  <si>
    <t>Merchant card settlement - Cardline Merchant Services - batch 0720</t>
  </si>
  <si>
    <t>ACH debit - MobileSource Parts Distribution Inc. - INV MS-40352</t>
  </si>
  <si>
    <t>Merchant card settlement - Cardline Merchant Services - batch 0727</t>
  </si>
  <si>
    <t>Depositor: Desmond J. Bennett (owner); in-person teller deposit; same conductor, two accounts - CTR filed for business day 07/27/2026, total $18,900.00</t>
  </si>
  <si>
    <t>Account analysis fee - 07/2026 (maintenance, cash handling, wire services)</t>
  </si>
  <si>
    <t>Maintenance $32.00; cash handling $59.09 ($1.50 per $1,000 of $39,394.03 cash deposited); 2 international wire(s) at $45.00; 0 domestic wire(s) at $30.00</t>
  </si>
  <si>
    <t>Merchant card settlement - Cardline Merchant Services - batch 0803</t>
  </si>
  <si>
    <t>ACH debit - Kessler Commons Properties LLC - RENT 08/2026</t>
  </si>
  <si>
    <t>ACH debit - MobileSource Parts Distribution Inc. - INV MS-40369</t>
  </si>
  <si>
    <t>Merchant card settlement - Cardline Merchant Services - batch 0810</t>
  </si>
  <si>
    <t>Currency USD; OBI: CONSULTING Q3; Bene address: Warehouse 14, Free Zone South, Dubai, UAE; Bene country AE - HNB country-risk rating: Medium (not FATF-listed); OFAC screen: no match</t>
  </si>
  <si>
    <t>Merchant card settlement - Cardline Merchant Services - batch 0817</t>
  </si>
  <si>
    <t>OBI: MGMT FEE; Bene address: 7720 Saddle Creek Ct, Dublin, OH 43017</t>
  </si>
  <si>
    <t>ACH debit - MobileSource Parts Distribution Inc. - INV MS-40382</t>
  </si>
  <si>
    <t>Merchant card settlement - Cardline Merchant Services - batch 0824</t>
  </si>
  <si>
    <t>Merchant card settlement - Cardline Merchant Services - batch 0831</t>
  </si>
  <si>
    <t>Account analysis fee - 08/2026 (maintenance, cash handling, wire services)</t>
  </si>
  <si>
    <t>Maintenance $32.00; cash handling $45.65 ($1.50 per $1,000 of $30,435.12 cash deposited); 1 international wire(s) at $45.00; 1 domestic wire(s) at $30.00</t>
  </si>
  <si>
    <t>P</t>
  </si>
  <si>
    <t>ACH debit - Tallgrass Home Lending - MORTGAGE PMT</t>
  </si>
  <si>
    <t>Tallgrass Home Lending</t>
  </si>
  <si>
    <t>1188420057</t>
  </si>
  <si>
    <t>Debit Card</t>
  </si>
  <si>
    <t>Debit card purchase - Dublin Market Grocery</t>
  </si>
  <si>
    <t>XXXXXXXXXXXX7742</t>
  </si>
  <si>
    <t>Dublin</t>
  </si>
  <si>
    <t>43017</t>
  </si>
  <si>
    <t>POS-55120871</t>
  </si>
  <si>
    <t>Dublin Market Grocery</t>
  </si>
  <si>
    <t>Online transfer from business checking ...6120 - owner draw</t>
  </si>
  <si>
    <t>ACH debit - Olentangy Electric &amp; Gas - RESIDENTIAL</t>
  </si>
  <si>
    <t>ACH debit - Larkhaven Card Services - CREDIT CARD PMT</t>
  </si>
  <si>
    <t>Larkhaven Card Services</t>
  </si>
  <si>
    <t>5004417730</t>
  </si>
  <si>
    <t>ACH debit - Cobblestone Mutual Insurance - HOME/AUTO PREMIUM (QTRLY)</t>
  </si>
  <si>
    <t>Cobblestone Mutual Insurance</t>
  </si>
  <si>
    <t>6127705519</t>
  </si>
  <si>
    <t>Debit card purchase - Sawmill Fuel Stop</t>
  </si>
  <si>
    <t>POS-55134409</t>
  </si>
  <si>
    <t>Sawmill Fuel Stop</t>
  </si>
  <si>
    <t>HNB-B41 Dublin</t>
  </si>
  <si>
    <t>T-OH-511</t>
  </si>
  <si>
    <t>OBI: LOAN REPAYMENT; Bene address: 7720 Saddle Creek Ct, Dublin, OH 43017</t>
  </si>
  <si>
    <t>Outgoing domestic wire fee</t>
  </si>
  <si>
    <t>Debit card purchase - Avery Road Pharmacy</t>
  </si>
  <si>
    <t>43016</t>
  </si>
  <si>
    <t>POS-55167713</t>
  </si>
  <si>
    <t>Avery Road Pharmacy</t>
  </si>
  <si>
    <t>Insert any supporting documents (statements, ID, correspondence) on this tab. Not required for this practice case.</t>
  </si>
  <si>
    <t>Insert screenshots of your open-source research on this tab. Each screenshot must show the source link (URL). Not required for this practice case.</t>
  </si>
  <si>
    <t>Harborview National Bank, N.A. (HNB) is filing this SAR to report suspected structuring of cash deposits, followed by rapid wire transfers, involving Northgate Mobile Repair LLC (Northgate), a Columbus, Ohio cell-phone repair business, and its owner and managing member, Desmond J. Bennett. Between May 19, 2026 and August 18, 2026, 16 cash deposits totaling $148,150.00, each between $8,400.00 and $9,950.00, were made to Northgate's business account and Mr. Bennett's personal account, and seven wires totaling $140,044.45 were sent to Golden Kestrel General Trading FZE in Dubai, United Arab Emirates, and to Stonebridge Crest Holdings LLC, an entity linked to Mr. Bennett. The total suspicious activity is $288,194.45. The primary concern is that cash was deposited in amounts kept below the $10,000 currency transaction reporting threshold and then wired out of the bank within days.
Northgate (TIN XX-XXX7316) has banked with HNB since April 2019 and holds business checking account 5523018846120; Mr. Bennett holds personal checking account 5523018851447. Northgate's KYC profile anticipates $20,000-$28,000 per month in card settlements, $2,000-$4,000 per month in night-depository cash and no international wires.
On May 5, 2026, Mr. Bennett deposited $11,240.00 in cash at the Northland branch and a Currency Transaction Report (CTR) was filed; no later single cash deposit exceeded $10,000. From May 19, 2026 to August 12, 2026, Mr. Bennett made eleven teller cash deposits ($103,750.00) and store manager Luis A. Ortega made five ($44,400.00), at HNB's Northland (Columbus), Westerville, Worthington and Dublin branches, often on consecutive days. On June 8, $9,800.00 was deposited at Northland and $8,600.00 at Westerville; on July 27, Mr. Bennett deposited $9,700.00 to the business account at Northland and $9,200.00 to his personal account at Dublin. Treating each pair as one business day's cash, HNB filed CTRs for $18,400.00 and $18,900.00; no other business day exceeded $10,000. Within two to six days of each cluster, a wire was initiated: four wires totaling $98,544.45 went to Golden Kestrel on May 26, June 15, July 15 and August 14, with memos citing "inventory" or "consulting," and three totaling $41,500.00 went to Stonebridge Crest at Lakemont Federal Bank on June 12, July 30 (from the personal account) and August 18, citing "consulting," "loan repayment" and "management fee." The July 9 wire ($27,835.60), sent three days after the July 6 deposit to a misspelled beneficiary, was returned July 14 and re-sent July 15; it is counted once.
Weekly card settlements totaled $96,728.59, consistent with the KYC profile, and were largely used for rent, payroll, parts-supplier and utility payments totaling $90,883.54. Established parts-supplier payments continued normally, and night-depository cash ($9,812.25) matched expected sales. An $18,650.00 insurance claim payment on June 22 was spent on repairs and equipment and is excluded. On August 20, 2026, Mr. Bennett told his relationship manager that cash rose with accessory sales, that Golden Kestrel is an inventory supplier and that Stonebridge Crest, whose beneficiary address is his residence, is his holding company; he provided no sales records, invoices or agreements. Although payments to an owner's holding company can be owner compensation, the stated purpose changed with each payment, one came from his personal account, and each followed sub-threshold cash deposits.
The activity is suspicious because cash deposits totaled $169,202.25 in four months, more than ten times the $16,000 implied by the KYC profile, while card settlements stayed steady; after one reportable deposit, every later teller deposit was kept below $10,000 and spread across four branches, two depositors and two accounts, exceeding the threshold only when same-day deposits were aggregated by the bank; and the funds were quickly wired to a foreign general-trading company with no documented link to phone repair and to an owner-linked entity. The source of the cash and the purpose of the wires remain unexplained.
Supporting documentation, including account statements, teller deposit records, CTRs dated 05/05, 06/08 and 07/27/2026, wire records and the KYC file, is retained by HNB and available upon request.</t>
  </si>
  <si>
    <t>Model narrative (Instructor Key). Trainees enter their narrative in cell A1 only.</t>
  </si>
  <si>
    <t>SAR STRUCTURED FORM</t>
  </si>
  <si>
    <t>Complete this form ONLY if your disposition is to file a SAR. If your disposition is No SAR, leave every field blank.</t>
  </si>
  <si>
    <t>How to complete: choose X from the drop-down in the shaded box to the LEFT of each option that applies; type text answers in the shaded boxes in column D.</t>
  </si>
  <si>
    <t>Instructor key legend:  X = required; (ok) = acceptable, neither required nor penalised; anything else ticked = incorrect</t>
  </si>
  <si>
    <t>PART I – FILING INSTITUTION, SUBJECT AND ACCOUNT INFORMATION</t>
  </si>
  <si>
    <t>Events</t>
  </si>
  <si>
    <t>Structuring - Cash; Multi-Location Cash; International Wire - Cash Velocity; Cash Spike vs. Profile; High Value Wire - Foreign; Structuring - Cash (Multi-Account); Rapid Movement of Funds - Wire (10 alerted events, 06/08/2026-08/14/2026; 9 on account 5523018846120, 1 on account 5523018851447)</t>
  </si>
  <si>
    <t>Report on Following RFI (filing institution)</t>
  </si>
  <si>
    <t>Suspect(s) (one per line)</t>
  </si>
  <si>
    <t>Northgate Mobile Repair LLC (DBA Northgate Phone Fix), TIN XX-XXX7316, 4127 Kessler Commons Blvd, Suite C, Columbus, OH 43229
Desmond J. Bennett, managing member / 100% owner, 7720 Saddle Creek Ct, Dublin, OH 43017</t>
  </si>
  <si>
    <t>(ok) Luis A. Ortega, store manager of Northgate Mobile Repair LLC - conductor of 5 structured cash deposits ($44,400.00)</t>
  </si>
  <si>
    <t>Report on the following Account(s) (one per line)</t>
  </si>
  <si>
    <t>5523018846120 - business checking - Northgate Mobile Repair LLC (open)
5523018851447 - personal checking - Desmond J. Bennett (open)</t>
  </si>
  <si>
    <t>BRANCH INFORMATION</t>
  </si>
  <si>
    <t>#</t>
  </si>
  <si>
    <t>Branch Name</t>
  </si>
  <si>
    <t>Harborview National Bank - Northland Branch</t>
  </si>
  <si>
    <t>Harborview National Bank - Westerville Branch</t>
  </si>
  <si>
    <t>Harborview National Bank - Worthington Branch</t>
  </si>
  <si>
    <t>Harborview National Bank - Dublin Branch</t>
  </si>
  <si>
    <t>PART II – SUSPICIOUS ACTIVITY INFORMATION</t>
  </si>
  <si>
    <t>29  Amount Involved in this report $</t>
  </si>
  <si>
    <t>(ok) $299,435</t>
  </si>
  <si>
    <t>30  Date or date range – From</t>
  </si>
  <si>
    <t>(ok) 05/05/2026</t>
  </si>
  <si>
    <t>30  Date or date range – To</t>
  </si>
  <si>
    <t>31  Cumulative amount (continuing activity only)</t>
  </si>
  <si>
    <t>32  Structuring</t>
  </si>
  <si>
    <t>a. Alters or cancels transaction to avoid BSA recordkeeping requirement</t>
  </si>
  <si>
    <t>X</t>
  </si>
  <si>
    <t>e. Multiple transactions below CTR threshold</t>
  </si>
  <si>
    <t>b. Alters or cancels transaction to avoid CTR requirement</t>
  </si>
  <si>
    <t>f. Suspicious inquiry by customer regarding BSA reporting or recordkeeping requirements</t>
  </si>
  <si>
    <t>c. Customer cancels transaction to avoid BSA reporting and recordkeeping requirements</t>
  </si>
  <si>
    <t>z. Other (describe in the narrative)</t>
  </si>
  <si>
    <t>d. Multiple transactions below BSA recordkeeping threshold</t>
  </si>
  <si>
    <t>36  Money Laundering</t>
  </si>
  <si>
    <t>a. Exchange small bills for large bills or vice versa</t>
  </si>
  <si>
    <t>h. Suspicious receipt of government payments/benefits</t>
  </si>
  <si>
    <t>b. Funnel account</t>
  </si>
  <si>
    <r>
      <rPr>
        <sz val="10"/>
        <color rgb="FF1A1A1A"/>
        <rFont val="Arial"/>
        <family val="2"/>
      </rPr>
      <t>i. Suspicious use of multiple accounts</t>
    </r>
    <r>
      <rPr>
        <i/>
        <sz val="10"/>
        <color rgb="FF8C8C8C"/>
        <rFont val="Arial"/>
        <family val="2"/>
      </rPr>
      <t xml:space="preserve">  (ok)</t>
    </r>
  </si>
  <si>
    <t>c. Suspicion concerning the physical condition of funds</t>
  </si>
  <si>
    <t>j. Suspicious use of noncash monetary instruments</t>
  </si>
  <si>
    <t>d. Suspicion concerning the source of funds</t>
  </si>
  <si>
    <t>k. Suspicious use of third-party transactors (straw-man)</t>
  </si>
  <si>
    <t>e. Suspicious designation of beneficiaries, assignees or joint owners</t>
  </si>
  <si>
    <t>l. Trade-based money laundering / Black Market Peso Exchange</t>
  </si>
  <si>
    <t>f. Suspicious EFT/wire transfers</t>
  </si>
  <si>
    <r>
      <rPr>
        <sz val="10"/>
        <color rgb="FF1A1A1A"/>
        <rFont val="Arial"/>
        <family val="2"/>
      </rPr>
      <t>m. Transaction out of pattern for customer(s)</t>
    </r>
    <r>
      <rPr>
        <i/>
        <sz val="10"/>
        <color rgb="FF8C8C8C"/>
        <rFont val="Arial"/>
        <family val="2"/>
      </rPr>
      <t xml:space="preserve">  (ok)</t>
    </r>
  </si>
  <si>
    <t>g. Suspicious exchange of currencies</t>
  </si>
  <si>
    <t>38  Other Suspicious Activities</t>
  </si>
  <si>
    <t>a. Account takeover</t>
  </si>
  <si>
    <t>k. Misuse of position or self-dealing</t>
  </si>
  <si>
    <t>b. Bribery or gratuity</t>
  </si>
  <si>
    <t>l. Suspected public/private corruption (domestic)</t>
  </si>
  <si>
    <t>c. Counterfeit instruments</t>
  </si>
  <si>
    <t>m. Suspected public/private corruption (foreign)</t>
  </si>
  <si>
    <t>d. Elder financial exploitation</t>
  </si>
  <si>
    <t>n. Suspicious use of informal value transfer system</t>
  </si>
  <si>
    <t>e. Embezzlement / theft / disappearance of funds</t>
  </si>
  <si>
    <t>o. Suspicious use of multiple transaction locations</t>
  </si>
  <si>
    <t>f. Forgeries</t>
  </si>
  <si>
    <r>
      <rPr>
        <sz val="10"/>
        <color rgb="FF1A1A1A"/>
        <rFont val="Arial"/>
        <family val="2"/>
      </rPr>
      <t>p. Transaction with no apparent economic, business or lawful purpose</t>
    </r>
    <r>
      <rPr>
        <i/>
        <sz val="10"/>
        <color rgb="FF8C8C8C"/>
        <rFont val="Arial"/>
        <family val="2"/>
      </rPr>
      <t xml:space="preserve">  (ok)</t>
    </r>
  </si>
  <si>
    <t>g. Human smuggling</t>
  </si>
  <si>
    <r>
      <rPr>
        <sz val="10"/>
        <color rgb="FF1A1A1A"/>
        <rFont val="Arial"/>
        <family val="2"/>
      </rPr>
      <t>q. Transaction(s) involving foreign high-risk jurisdiction</t>
    </r>
    <r>
      <rPr>
        <i/>
        <sz val="10"/>
        <color rgb="FF8C8C8C"/>
        <rFont val="Arial"/>
        <family val="2"/>
      </rPr>
      <t xml:space="preserve">  (ok)</t>
    </r>
  </si>
  <si>
    <t>h. Human trafficking</t>
  </si>
  <si>
    <r>
      <rPr>
        <sz val="10"/>
        <color rgb="FF1A1A1A"/>
        <rFont val="Arial"/>
        <family val="2"/>
      </rPr>
      <t>r. Two or more individuals working together</t>
    </r>
    <r>
      <rPr>
        <i/>
        <sz val="10"/>
        <color rgb="FF8C8C8C"/>
        <rFont val="Arial"/>
        <family val="2"/>
      </rPr>
      <t xml:space="preserve">  (ok)</t>
    </r>
  </si>
  <si>
    <t>i. Identity theft</t>
  </si>
  <si>
    <t>s. Unlicensed or unregistered MSB</t>
  </si>
  <si>
    <t>j. Little or no concern for product performance, penalties, fees or tax consequences</t>
  </si>
  <si>
    <t>45  Product type(s) involved</t>
  </si>
  <si>
    <t>a. Bonds/Notes</t>
  </si>
  <si>
    <t>l. Insurance/Annuity products</t>
  </si>
  <si>
    <t>b. Commercial mortgage</t>
  </si>
  <si>
    <t>m. Microcap securities</t>
  </si>
  <si>
    <t>c. Commercial paper</t>
  </si>
  <si>
    <t>n. Mutual fund</t>
  </si>
  <si>
    <t>d. Credit card</t>
  </si>
  <si>
    <t>o. Options on securities</t>
  </si>
  <si>
    <t>e. Debit card</t>
  </si>
  <si>
    <t>p. Prepaid access</t>
  </si>
  <si>
    <t>f. Deposit account</t>
  </si>
  <si>
    <t>q. Residential mortgage</t>
  </si>
  <si>
    <t>g. Forex transactions</t>
  </si>
  <si>
    <t>r. Security futures products</t>
  </si>
  <si>
    <t>h. Futures/Options on futures</t>
  </si>
  <si>
    <t>s. Stocks</t>
  </si>
  <si>
    <t>i. Hedge fund</t>
  </si>
  <si>
    <t>t. Swap, hybrid or other derivatives</t>
  </si>
  <si>
    <t>j. Home equity line of credit</t>
  </si>
  <si>
    <t>k. Home equity loan</t>
  </si>
  <si>
    <t>46  Instrument type(s) / payment mechanism(s) involved</t>
  </si>
  <si>
    <t>a. Bank/Cashier's check</t>
  </si>
  <si>
    <t>f. Money orders</t>
  </si>
  <si>
    <t>b. Foreign currency</t>
  </si>
  <si>
    <t>g. Personal/Business check</t>
  </si>
  <si>
    <t>c. Funds transfer</t>
  </si>
  <si>
    <t>h. Travelers checks</t>
  </si>
  <si>
    <t>d. Gaming instruments</t>
  </si>
  <si>
    <t>i. U.S. Currency</t>
  </si>
  <si>
    <t>e. Government payment</t>
  </si>
  <si>
    <t>END OF FORM</t>
  </si>
  <si>
    <t>CASE STUDY QUESTIONNAIRE</t>
  </si>
  <si>
    <t>Select one answer per question by entering X in column A (use the drop-down).</t>
  </si>
  <si>
    <t>SELECT</t>
  </si>
  <si>
    <t>OPTION</t>
  </si>
  <si>
    <t>ANSWER</t>
  </si>
  <si>
    <t>1. Counting each completed transaction once, add the teller cash deposits that were each under $10,000 to the completed wires to Golden Kestrel General Trading FZE and Stonebridge Crest Holdings LLC. What is the result?</t>
  </si>
  <si>
    <t>A</t>
  </si>
  <si>
    <t>$244,344.45</t>
  </si>
  <si>
    <t>$316,030.05</t>
  </si>
  <si>
    <t>$288,194.45</t>
  </si>
  <si>
    <t>$298,006.70</t>
  </si>
  <si>
    <t>2. An $18,650.00 ACH credit posted to the business account on 06/22/2026, about three weeks before the largest wire to Golden Kestrel. How should it be treated in the analysis?</t>
  </si>
  <si>
    <t>Include it: any single credit over $10,000 in the review period belongs in the unexplained total.</t>
  </si>
  <si>
    <t>Exclude it: a documented insurance claim (CP-2026-044718) spent on a repair contractor and equipment.</t>
  </si>
  <si>
    <t>Include it: it was the source of the 07/15/2026 wire of $27,835.60 to Golden Kestrel.</t>
  </si>
  <si>
    <t>Include only the $910.00 that was not spent on the repair contractor or the equipment.</t>
  </si>
  <si>
    <t>3. Which fact most strongly indicates that the cash deposits were structured to avoid currency transaction reporting, rather than reflecting busier trading?</t>
  </si>
  <si>
    <t>Cash deposits totaled $169,202.25 over the four months, far above the KYC expectation of $2,000-$4,000 per month.</t>
  </si>
  <si>
    <t>The store manager, as well as the owner, made several of the in-person teller cash deposits at the branches.</t>
  </si>
  <si>
    <t>The larger deposits were made in person at a teller rather than through the business's night depository.</t>
  </si>
  <si>
    <t>After a CTR was filed on the 05/05 deposit, every later teller deposit was $8,400-$9,950, often split across branches.</t>
  </si>
  <si>
    <t>4. Card settlements are a mitigating factor. What does the transaction trail show about their link to the outgoing wires?</t>
  </si>
  <si>
    <t>No link: settlements stayed in the KYC range and were largely spent on rent, payroll, parts and utilities.</t>
  </si>
  <si>
    <t>They funded the wires: settlement amounts rose in the weeks before each wire, in line with accessory sales.</t>
  </si>
  <si>
    <t>They funded the Stonebridge Crest wires, while the cash deposits funded the Golden Kestrel wires.</t>
  </si>
  <si>
    <t>It cannot be determined, because weekly settlement batches cannot be matched to specific outgoing wires.</t>
  </si>
  <si>
    <t>5. Which branches were used to conduct the cash deposits and wires that are not explained by the business's legitimate income?</t>
  </si>
  <si>
    <t>Northland (Columbus), Westerville and Online Banking</t>
  </si>
  <si>
    <t>Northland (Columbus), Worthington and Dublin</t>
  </si>
  <si>
    <t>Northland (Columbus), Westerville, Worthington and Dublin</t>
  </si>
  <si>
    <t>Northland (Columbus), Westerville, Worthington, Dublin and Online Banking</t>
  </si>
  <si>
    <t>6. Which entries belong in SAR Fields 29 and 30 for this case?</t>
  </si>
  <si>
    <t>$316,031 | 05/19/2026 - 08/18/2026</t>
  </si>
  <si>
    <t>$288,195 | 06/08/2026 - 08/14/2026</t>
  </si>
  <si>
    <t>None - the disposition does not support filing, so the form stays blank</t>
  </si>
  <si>
    <t>$288,195 | 05/19/2026 - 08/18/2026</t>
  </si>
  <si>
    <t>7. If a SAR is filed, which Part II boxes best describe the outgoing wires to Golden Kestrel General Trading FZE?</t>
  </si>
  <si>
    <t>36 l Trade-based money laundering and 46 c Funds transfer</t>
  </si>
  <si>
    <t>36 f Suspicious EFT/wire transfers and 46 c Funds transfer</t>
  </si>
  <si>
    <t>36 b Funnel account and 46 c Funds transfer</t>
  </si>
  <si>
    <t>36 f Suspicious EFT/wire transfers, 46 c Funds transfer and 46 b Foreign currency</t>
  </si>
  <si>
    <t>8. Which disposition is best supported by the evidence in this workbook?</t>
  </si>
  <si>
    <t>SAR: documented card, night-drop and insurance income does not explain $148,150.00 in sub-threshold cash or $140,044.45 wired out within days.</t>
  </si>
  <si>
    <t>No SAR: the owner attributed the extra cash to accessory sales, named both wire beneficiaries as his supplier and holding company, and card income matched KYC.</t>
  </si>
  <si>
    <t>No SAR: CTRs were filed on 05/05, 06/08 and 07/27/2026, so the bank's currency reporting obligations for this cash have already been met.</t>
  </si>
  <si>
    <t>SAR: the wires show that Mr. Bennett laundered criminal proceeds through Golden Kestrel General Trading FZE in Dubai.</t>
  </si>
  <si>
    <t>INSTRUCTOR ONLY – not for distribution to trainees</t>
  </si>
  <si>
    <t>Answer Key – Practice Case A</t>
  </si>
  <si>
    <t>Q#</t>
  </si>
  <si>
    <t>Correct option</t>
  </si>
  <si>
    <t>Rationale</t>
  </si>
  <si>
    <t>Skill tested</t>
  </si>
  <si>
    <t>C – $288,194.45</t>
  </si>
  <si>
    <t>16 teller deposits of $8,400.00-$9,950.00 ($148,150.00) plus 7 completed wires ($140,044.45) = $288,194.45. A drops the 5 Westerville deposits ($43,850.00) whose Name reads 'Northgate Mobil Repair LLC' - reconcile by account number. B also counts the 07/09/2026 wire that was returned on 07/14/2026 and re-sent on 07/15/2026. D adds the KYC-consistent night-depository cash ($9,812.25), which is not teller cash.</t>
  </si>
  <si>
    <t>Reconciliation of totals</t>
  </si>
  <si>
    <t>B – Exclude it: a documented insurance claim (CP-2026-044718) spent on a repair contractor and equipment.</t>
  </si>
  <si>
    <t>The credit names the insurer and claim number, follows a documented loss (water damage, 06/03/2026) and is traced within eight days to check #1187 to Ridgeway Build &amp; Restore LLC ($11,800.00) and an ACH to TechBench Repair Equipment Co. ($5,940.00). It is legitimate and unrelated to the cash-to-wire pattern, so no part of it belongs in the suspicious total (A, D). The 07/15 wire followed the cash build-up of 06/29-07/06, not this credit (C).</t>
  </si>
  <si>
    <t>Exclusion of legitimate activity</t>
  </si>
  <si>
    <t>D – After a CTR was filed on the 05/05 deposit, every later teller deposit was $8,400-$9,950, often split across branches.</t>
  </si>
  <si>
    <t>Volume above profile (A) shows the activity is unusual, not that the threshold was avoided; B and C describe how the cash was deposited, not why the amounts were chosen. After one CTR-reportable deposit ($11,240.00), every later teller deposit sat in a tight band just under $10,000 and was split across branches, conductors and accounts. HNB's same-day aggregation still produced CTRs for 06/08 ($18,400.00) and 07/27 ($18,900.00), but structuring is the attempt to evade reporting - the bank catching it does not remove the indicator.</t>
  </si>
  <si>
    <t>Structuring red-flag identification</t>
  </si>
  <si>
    <t>A – No link: settlements stayed in the KYC range and were largely spent on rent, payroll, parts and utilities.</t>
  </si>
  <si>
    <t>The 18 weekly settlements ranged only from $5,109.70 to $5,568.13 with no build-up before any wire (B), and operating payments of $90,883.54 absorbed most of the $96,728.59 received. The wires instead track the cash clusters (e.g., 08/10-08/12 cash of $27,900.00, then the 08/14 wire of $26,410.30); nothing ties settlements to Stonebridge Crest (C), and the timing evidence answers D.</t>
  </si>
  <si>
    <t>Source-of-funds analysis / weighing mitigating facts</t>
  </si>
  <si>
    <t>C – Northland (Columbus), Westerville, Worthington and Dublin</t>
  </si>
  <si>
    <t>Unexplained deposits were conducted at Northland (5), Westerville (5), Worthington (4) and Dublin (2, plus the 07/30 personal-account wire). The Westerville rows carry the name variant 'Northgate Mobil Repair LLC', so a name filter drops them (B). Online banking is a channel, not a branch (A, D), and A also omits Worthington and Dublin. These four branches go in the SAR form's Branch Information table if a SAR is filed.</t>
  </si>
  <si>
    <t>Branch / location information</t>
  </si>
  <si>
    <t>D – $288,195 | 05/19/2026 - 08/18/2026</t>
  </si>
  <si>
    <t>The evidence supports filing (Q8), so C is wrong. Field 29 counts the suspicious deposits and the suspicious wires: $288,194.45 rounded UP = $288,195; A also counts the returned 07/09/2026 wire ($27,835.60), which came back and was re-sent. Field 30 runs from the first suspicious transaction (05/19/2026 deposit) to the last (08/18/2026 wire), not the alert window (B). Also acceptable: $299,435 with Field 30 from 05/05/2026, if the 05/05/2026 CTR deposit is included as unexplained cash and the narrative says so.</t>
  </si>
  <si>
    <t>SAR form - Fields 29 and 30</t>
  </si>
  <si>
    <t>B – 36 f Suspicious EFT/wire transfers and 46 c Funds transfer</t>
  </si>
  <si>
    <t>The concern is the wires themselves: first-ever international transfers, shifting memos, no documented purpose, sent within days of the cash. The wire rows show the currency as USD, so 46 b is wrong (D). No trade documents or pricing anomalies support TBML (A), and a funnel account involves deposits by multiple parties in dispersed locations (C). 38 q is acceptable on the form if the narrative explains the basis (HNB rates the UAE Medium), so it is not offered here.</t>
  </si>
  <si>
    <t>SAR form - checkbox selection</t>
  </si>
  <si>
    <t>A – SAR: documented card, night-drop and insurance income does not explain $148,150.00 in sub-threshold cash or $140,044.45 wired out within days.</t>
  </si>
  <si>
    <t>A follows the evidence: legitimate income is documented and explains the operating activity, but not the sub-threshold cash or the wires, and the owner produced no records. B accepts undocumented statements and ignores the structuring pattern. C confuses CTRs (currency reporting) with SARs (suspicion) - aggregation by the bank does not cure structuring. D states an unproven crime as fact; the standard is knowledge, suspicion or reason to suspect.</t>
  </si>
  <si>
    <t>SAR decisioning</t>
  </si>
  <si>
    <t>SAR FORM KEY – REQUIRED vs ACCEPTABLE ENTRIES</t>
  </si>
  <si>
    <t>Legend: X = required; (ok) = acceptable, neither required nor penalised; anything else ticked = incorrect</t>
  </si>
  <si>
    <t>SAR item</t>
  </si>
  <si>
    <t>Required (instructor key)</t>
  </si>
  <si>
    <t>Also acceptable – neither required nor penalised</t>
  </si>
  <si>
    <t>Suspect(s)</t>
  </si>
  <si>
    <t>Luis A. Ortega, store manager of Northgate Mobile Repair LLC - conductor of 5 structured cash deposits ($44,400.00)</t>
  </si>
  <si>
    <t>Account(s)</t>
  </si>
  <si>
    <t>Branch information</t>
  </si>
  <si>
    <t>Harborview National Bank - Northland Branch, Columbus OH
Harborview National Bank - Westerville Branch, Westerville OH
Harborview National Bank - Worthington Branch, Worthington OH
Harborview National Bank - Dublin Branch, Dublin OH</t>
  </si>
  <si>
    <t>29 Amount involved</t>
  </si>
  <si>
    <t>$288,195</t>
  </si>
  <si>
    <t>$299,435</t>
  </si>
  <si>
    <t>30 Date range – From</t>
  </si>
  <si>
    <t>05/19/2026</t>
  </si>
  <si>
    <t>05/05/2026</t>
  </si>
  <si>
    <t>30 Date range – To</t>
  </si>
  <si>
    <t>08/18/2026</t>
  </si>
  <si>
    <t>31 Cumulative amount</t>
  </si>
  <si>
    <t>(blank)</t>
  </si>
  <si>
    <t>32 Structuring</t>
  </si>
  <si>
    <t>36 Money Laundering</t>
  </si>
  <si>
    <t>d. Suspicion concerning the source of funds
f. Suspicious EFT/wire transfers</t>
  </si>
  <si>
    <t>i. Suspicious use of multiple accounts
m. Transaction out of pattern for customer(s)</t>
  </si>
  <si>
    <t>38 Other Suspicious Activities</t>
  </si>
  <si>
    <t>p. Transaction with no apparent economic, business or lawful purpose
q. Transaction(s) involving foreign high-risk jurisdiction
r. Two or more individuals working together</t>
  </si>
  <si>
    <t>45 Product type(s) involved</t>
  </si>
  <si>
    <t>46 Instrument type(s) / payment mechanism(s) involved</t>
  </si>
  <si>
    <t>c. Funds transfer
i. U.S. Currency</t>
  </si>
  <si>
    <t>Fact Checklist – material facts a strong narrative must convey</t>
  </si>
  <si>
    <t>ID</t>
  </si>
  <si>
    <t>Fact</t>
  </si>
  <si>
    <t>5W1H category</t>
  </si>
  <si>
    <t>Rubric section</t>
  </si>
  <si>
    <t>Weight (Core / Supporting / Optional)</t>
  </si>
  <si>
    <t>Accepted variants</t>
  </si>
  <si>
    <t>Critical if wrong/missing (Y/N)</t>
  </si>
  <si>
    <t>F01</t>
  </si>
  <si>
    <t>Subjects are Northgate Mobile Repair LLC, a cell-phone repair and accessories business in Columbus, Ohio, and its owner/managing member Desmond J. Bennett.</t>
  </si>
  <si>
    <t>WHO</t>
  </si>
  <si>
    <t>Executive Summary</t>
  </si>
  <si>
    <t>Core</t>
  </si>
  <si>
    <t>Northgate; Northgate Mobile Repair; 'the business and its owner'; Columbus OH</t>
  </si>
  <si>
    <t>Y</t>
  </si>
  <si>
    <t>F02</t>
  </si>
  <si>
    <t>Harborview National Bank, N.A. is filing a SAR (disposition: SAR).</t>
  </si>
  <si>
    <t>DECISION</t>
  </si>
  <si>
    <t>'HNB is filing this SAR'; 'the bank is reporting'; disposition stated first</t>
  </si>
  <si>
    <t>F03</t>
  </si>
  <si>
    <t>Total suspicious activity is $288,194.45 (Field 29: $288,195): $148,150.00 structured cash plus $140,044.45 in wires.</t>
  </si>
  <si>
    <t>WHAT</t>
  </si>
  <si>
    <t>$288,195 (key: suspicious deposits + suspicious wires). Also accepted: $299,434.45 / $299,435 with activity from 05/05/2026, if the narrative states that the 05/05/2026 CTR deposit ($11,240.00) is included as unexplained cash. A rounded total is acceptable only if both components are stated; component figures must be exact. Critical only if the components are wrong or the total includes legitimate or returned items.</t>
  </si>
  <si>
    <t>F04</t>
  </si>
  <si>
    <t>Suspicious activity ran from 05/19/2026 to 08/18/2026, within the 05/01/2026-08/31/2026 review period.</t>
  </si>
  <si>
    <t>WHEN</t>
  </si>
  <si>
    <t>May 19 - August 18, 2026; from 05/05/2026 if the CTR deposit is included; review period May-August 2026 also acceptable</t>
  </si>
  <si>
    <t>N</t>
  </si>
  <si>
    <t>F05</t>
  </si>
  <si>
    <t>Primary concern: cash deposits kept below the $10,000 CTR threshold, then moved out by wire within days.</t>
  </si>
  <si>
    <t>WHY</t>
  </si>
  <si>
    <t>structuring / threshold avoidance + rapid outbound wires; 'cash-in, wire-out'</t>
  </si>
  <si>
    <t>F06</t>
  </si>
  <si>
    <t>Northgate has banked with HNB since April 2019 (business checking 5523018846120); KYC expects $20,000-$28,000/month card settlements, $2,000-$4,000/month cash and no international wires.</t>
  </si>
  <si>
    <t>BACKGROUND</t>
  </si>
  <si>
    <t>Customer Background</t>
  </si>
  <si>
    <t>customer since 2019; expected cash of $2,000-$4,000 per month; 'no international wire activity expected'</t>
  </si>
  <si>
    <t>F07</t>
  </si>
  <si>
    <t>The owner's personal checking account 5523018851447 (customer since 2017) was also used for structured cash and one wire.</t>
  </si>
  <si>
    <t>Supporting</t>
  </si>
  <si>
    <t>personal account ...1447; 'second account held by the owner'</t>
  </si>
  <si>
    <t>F08</t>
  </si>
  <si>
    <t>An $11,240.00 cash deposit on 05/05/2026 (CTR filed) was followed only by single deposits below $10,000.</t>
  </si>
  <si>
    <t>Suspicious Activity &amp; Transaction Pattern</t>
  </si>
  <si>
    <t>May 5 deposit over $10,000; 'after a CTR was filed, deposits dropped below the threshold'</t>
  </si>
  <si>
    <t>F09</t>
  </si>
  <si>
    <t>16 teller cash deposits of $8,400.00-$9,950.00 totaling $148,150.00 (13 business = $120,600.00; 3 personal = $27,550.00).</t>
  </si>
  <si>
    <t>16 deposits; $148,150; 'between $8,400 and $9,950'; business/personal split optional</t>
  </si>
  <si>
    <t>F10</t>
  </si>
  <si>
    <t>Deposits were made at four branches: Northland (Columbus), Westerville, Worthington and Dublin, Ohio.</t>
  </si>
  <si>
    <t>WHERE</t>
  </si>
  <si>
    <t>four branches named; 'multiple branches in the Columbus area' = partial</t>
  </si>
  <si>
    <t>F11</t>
  </si>
  <si>
    <t>Two depositors: Desmond J. Bennett (11 deposits, $103,750.00) and store manager Luis A. Ortega (5 deposits, $44,400.00).</t>
  </si>
  <si>
    <t>owner and an employee/store manager; counts optional</t>
  </si>
  <si>
    <t>F12</t>
  </si>
  <si>
    <t>Same-day splits across branches: 06/08/2026 ($18,400.00, Northland + Westerville) and 07/27/2026 ($18,900.00, business at Northland + personal at Dublin); HNB aggregated each pair and filed CTRs.</t>
  </si>
  <si>
    <t>HOW</t>
  </si>
  <si>
    <t>either example; 'same-day deposits at different branches aggregating over $10,000'; 'aggregated CTRs filed 06/08 and 07/27'. Incorrect (not critical) to state that no CTRs were filed or that the bank failed to file CTRs</t>
  </si>
  <si>
    <t>F13</t>
  </si>
  <si>
    <t>4 international wires (USD) totaling $98,544.45 to Golden Kestrel General Trading FZE, Dunecrest Commercial Bank PJSC, Dubai, UAE (05/26, 06/15, 07/15, 08/14), memos 'inventory'/'consulting'.</t>
  </si>
  <si>
    <t>Golden Kestrel; Dubai/UAE; four wires; $98,544.45</t>
  </si>
  <si>
    <t>F14</t>
  </si>
  <si>
    <t>3 domestic wires totaling $41,500.00 to Stonebridge Crest Holdings LLC at Lakemont Federal Bank (06/12, 07/30 from the personal account, 08/18), memos 'consulting', 'loan repayment', 'management fee'.</t>
  </si>
  <si>
    <t>Stonebridge Crest; three wires; $41,500</t>
  </si>
  <si>
    <t>F15</t>
  </si>
  <si>
    <t>A wire was initiated within 2-6 days after each cluster of cash deposits (cash-in / wire-out); the 07/09 wire was returned and re-sent 07/15.</t>
  </si>
  <si>
    <t>'within days'; 'shortly after the deposits'; '2-9 days' (counting the 07/15 re-send); examples with dates</t>
  </si>
  <si>
    <t>F16</t>
  </si>
  <si>
    <t>The 07/09/2026 wire of $27,835.60 to a misspelled beneficiary was returned 07/14/2026 ($27,793.10, net of $42.50 charges) and re-sent 07/15; counted once.</t>
  </si>
  <si>
    <t>mention optional; CRITICAL only if the returned wire is double-counted in the total</t>
  </si>
  <si>
    <t>F17</t>
  </si>
  <si>
    <t>Card settlements of $96,728.59 (avg $24,182.15/month) were consistent with KYC and largely used for operating expenses of $90,883.54.</t>
  </si>
  <si>
    <t>Investigative Findings</t>
  </si>
  <si>
    <t>'card sales consistent with profile'; 'legitimate business income covers payroll/rent/suppliers'</t>
  </si>
  <si>
    <t>F18</t>
  </si>
  <si>
    <t>Insurance claim proceeds of $18,650.00 (06/22/2026) were legitimate, spent on repairs/equipment, and excluded.</t>
  </si>
  <si>
    <t>insurance payment excluded; may be omitted entirely - CRITICAL only if counted as suspicious</t>
  </si>
  <si>
    <t>F19</t>
  </si>
  <si>
    <t>Night-depository cash of $9,812.25 (8 deposits) was consistent with expected cash sales.</t>
  </si>
  <si>
    <t>Optional</t>
  </si>
  <si>
    <t>'routine cash deposits consistent with KYC'</t>
  </si>
  <si>
    <t>F20</t>
  </si>
  <si>
    <t>The Stonebridge Crest Holdings LLC beneficiary address matches the owner's residence (7720 Saddle Creek Ct, Dublin, OH 43017); owner described it as his holding company; stated purposes changed with each payment.</t>
  </si>
  <si>
    <t>'related to/controlled by the owner'; 'shares owner's address'; acknowledging possible owner compensation is a plus</t>
  </si>
  <si>
    <t>F21</t>
  </si>
  <si>
    <t>On 08/20/2026 the owner attributed the cash to accessory sales and called Golden Kestrel an inventory supplier, but provided no sales records, invoices or agreements.</t>
  </si>
  <si>
    <t>'explanation not supported by documentation'; 'RM outreach'</t>
  </si>
  <si>
    <t>F22</t>
  </si>
  <si>
    <t>Payments to the established domestic supplier (MobileSource Parts Distribution Inc.) continued at normal levels, so the FZE wires are not replacing the known supply chain.</t>
  </si>
  <si>
    <t>'regular supplier paid by ACH unchanged'</t>
  </si>
  <si>
    <t>F23</t>
  </si>
  <si>
    <t>Total cash of $169,202.25 in four months is more than ten times the $16,000 implied by the KYC profile, while card settlements stayed steady.</t>
  </si>
  <si>
    <t>Why Suspicious</t>
  </si>
  <si>
    <t>'cash far exceeds expected'; ratio or totals; the contrast with steady card income strengthens it but is not required</t>
  </si>
  <si>
    <t>F24</t>
  </si>
  <si>
    <t>Pattern of deposits just below $10,000, split across branches, depositors and accounts after a CTR-reportable deposit indicates threshold avoidance, even though HNB's same-day aggregation produced CTRs on 06/08 and 07/27.</t>
  </si>
  <si>
    <t>structuring indicators described, not merely labelled; aggregation by the bank does not remove the indicator</t>
  </si>
  <si>
    <t>F25</t>
  </si>
  <si>
    <t>Funds moved within days to a foreign general-trading company with no documented business link and to an owner-linked entity; source of cash and purpose of wires remain unexplained. No crime is stated as fact.</t>
  </si>
  <si>
    <t>'source and purpose unexplained'; 'no apparent business purpose'; CRITICAL if narrative asserts laundering/crime as fact</t>
  </si>
  <si>
    <t>F26</t>
  </si>
  <si>
    <t>Account numbers 5523018846120 and 5523018851447, beneficiary banks (Dunecrest Commercial Bank PJSC, Dubai, UAE; Lakemont Federal Bank) and jurisdictions are identified.</t>
  </si>
  <si>
    <t>Specificity, Accuracy &amp; Supporting Information</t>
  </si>
  <si>
    <t>last four digits acceptable; beneficiary bank names helpful but optional</t>
  </si>
  <si>
    <t>F27</t>
  </si>
  <si>
    <t>Supporting documentation (statements, teller records, CTRs dated 05/05, 06/08 and 07/27/2026, wire records, KYC/RM note) is retained and available on request.</t>
  </si>
  <si>
    <t>any equivalent supporting-information line</t>
  </si>
  <si>
    <t>F28</t>
  </si>
  <si>
    <t>The UAE is described neutrally (HNB country-risk rating Medium; not FATF-listed), not as a high-risk jurisdiction without basis.</t>
  </si>
  <si>
    <t>neutral reference to Dubai/UAE; flag as incorrect (not critical) if called 'high-risk' without stating a basis</t>
  </si>
  <si>
    <t>Data Traps – planted data-quality issues</t>
  </si>
  <si>
    <t>Data trap</t>
  </si>
  <si>
    <t>Where it appears</t>
  </si>
  <si>
    <t>What a careful analyst should do</t>
  </si>
  <si>
    <t>Customer-name spelling variant: the five Westerville teller deposits to the business account show 'Northgate Mobil Repair LLC' in the Name column.</t>
  </si>
  <si>
    <t>Transactions tab, account 5523018846120, Group 1 rows dated 05/20, 06/08, 07/01, 07/28 and 08/12/2026 (Branch Ref HNB-B27 Westerville); 5 rows, $43,850.00.</t>
  </si>
  <si>
    <t>Filter and reconcile by account number, not name. Include these deposits in the structured total ($148,150.00) and list the Westerville branch. Analysts who filter on the exact name understate structured cash by $43,850.00 and list only three branches.</t>
  </si>
  <si>
    <t>CTR-reportable cash deposit early in the period ($11,240.00 on 05/05/2026, note 'CTR filed') followed by a switch to single deposits of $8,400.00-$9,950.00; the two same-day pairs (06/08 $18,400.00, 07/27 $18,900.00) carry notes showing HNB aggregated them and filed CTRs.</t>
  </si>
  <si>
    <t>Transactions tab: account 5523018846120, 05/05/2026, Northland (Group 5); Transaction Notes on the 06/08 and 07/27 Group 1 rows.</t>
  </si>
  <si>
    <t>Recognise the 05/05/2026 deposit as evidence of threshold awareness and cite it as context. Do not treat it as a below-threshold deposit; the key excludes it from Field 29 and starts Field 30 at 05/19/2026 (including it - $299,435, from 05/05/2026 - is an accepted alternative if the narrative says so). Note that the bank's aggregation caught the 06/08 and 07/27 splits: do not claim CTRs were missed, and do not treat the aggregated CTRs as resolving the concern - deposits were still kept individually below $10,000 and split across branches, conductors and accounts.</t>
  </si>
  <si>
    <t>Large legitimate credit: $18,650.00 ACH insurance claim payment on 06/22/2026, three weeks before the largest foreign wire.</t>
  </si>
  <si>
    <t>Transactions tab, account 5523018846120, 06/22/2026 (Group 6), traced to check #1187 $11,800.00 on 06/26 and ACH $5,940.00 on 06/30.</t>
  </si>
  <si>
    <t>Trace the use of funds, document it as legitimate (claim number, loss date, contractor and equipment payments) and exclude it from the suspicious total. Acknowledge it as a mitigating fact or omit it; never present it as a source of the wires.</t>
  </si>
  <si>
    <t>Returned wire: the 07/09/2026 wire of $27,835.60 to 'Golden Kestral General Trading FZE' (misspelled) was returned on 07/14/2026 as $27,793.10 (net of $42.50 charges) and re-sent on 07/15/2026.</t>
  </si>
  <si>
    <t>Transactions tab, account 5523018846120, Group 4 rows on 07/09/2026 (debit) and 07/14/2026 (credit); re-send in Group 2 on 07/15/2026.</t>
  </si>
  <si>
    <t>Pair the debit and the return credit even though the amounts differ by $42.50, exclude both legs, and count the completed 07/15 wire once. Counting both wires overstates the total by $27,835.60; treating the return as new incoming foreign funds misstates the funds flow.</t>
  </si>
  <si>
    <t>Group Legend – what each Transactions 'Group' tag represents</t>
  </si>
  <si>
    <t>Counts and totals are live formulas over the Transactions tab.</t>
  </si>
  <si>
    <t>What it represents</t>
  </si>
  <si>
    <t># Transactions</t>
  </si>
  <si>
    <t>Total Credits</t>
  </si>
  <si>
    <t>Total Debits</t>
  </si>
  <si>
    <t>Total (Credits + Debits)</t>
  </si>
  <si>
    <t>SUSPICIOUS - Structured cash: in-person teller cash deposits of $8,000-$9,999 to the business and personal accounts, made by the owner and the store manager at four branches, on consecutive days or split between branches on the same day. HNB aggregated the 06/08 and 07/27 same-day pairs and filed CTRs.</t>
  </si>
  <si>
    <t>SUSPICIOUS - Completed outgoing international wires (USD) to Golden Kestrel General Trading FZE (Dunecrest Commercial Bank PJSC, Dubai, UAE); vague memos ('inventory', 'consulting'). Excludes the returned 07/09 wire (Group 4).</t>
  </si>
  <si>
    <t>SUSPICIOUS - Outgoing domestic wires to Stonebridge Crest Holdings LLC (Lakemont Federal Bank); beneficiary address matches the owner's residence. Two from the business account, one from the personal account.</t>
  </si>
  <si>
    <t>EXCLUDED - Returned wire pair: 07/09 wire to a misspelled beneficiary ('Golden Kestral...') and its 07/14 return credit (less a correspondent charge). The funds were re-sent on 07/15 (counted in Group 2).</t>
  </si>
  <si>
    <t>EXCLUDED (context; acceptable alternative to include) - Single cash deposit above $10,000 on 05/05; CTR filed. Shows awareness of the reporting threshold; every later single deposit is below $10,000.</t>
  </si>
  <si>
    <t>EXCLUDED - Legitimate: insurance claim proceeds (06/22) and their documented use (repair contractor check and equipment ACH).</t>
  </si>
  <si>
    <t>MITIGATING - Weekly merchant card settlements from Cardline Merchant Services; consistent with KYC expected card volume.</t>
  </si>
  <si>
    <t>MITIGATING - Routine night-depository cash deposits of store receipts; consistent with KYC expected cash.</t>
  </si>
  <si>
    <t>MITIGATING - Operating expenses: rent, payroll, established parts supplier (MobileSource) and utilities, paid by ACH.</t>
  </si>
  <si>
    <t>Not material - account analysis fees, personal wire fee, owner-draw internal transfers between the two accounts (excluded to avoid double counting), check for CAM charges, and personal household payments.</t>
  </si>
  <si>
    <t>Untagged</t>
  </si>
  <si>
    <t>Activity not tagged to any group (context / ordinary activity)</t>
  </si>
  <si>
    <t>All</t>
  </si>
  <si>
    <t>All transactions on the Transactions tab</t>
  </si>
  <si>
    <t>Case Summary – Practice Case A</t>
  </si>
  <si>
    <t>Case</t>
  </si>
  <si>
    <t>Practice Case A (case id A)</t>
  </si>
  <si>
    <t>Customer</t>
  </si>
  <si>
    <t>Decision</t>
  </si>
  <si>
    <t>SAR – file a Suspicious Activity Report</t>
  </si>
  <si>
    <t>Filing institution</t>
  </si>
  <si>
    <t>Case open date</t>
  </si>
  <si>
    <t>09/16/2026</t>
  </si>
  <si>
    <t>Review period</t>
  </si>
  <si>
    <t>Suspicious activity total</t>
  </si>
  <si>
    <t>SAR field 29 (amount involved, rounded up)</t>
  </si>
  <si>
    <t>SAR field 30 (date range)</t>
  </si>
  <si>
    <t>05/19/2026 – 08/18/2026</t>
  </si>
  <si>
    <t>ACCOUNT ACTIVITY (live formulas over the Transactions tab)</t>
  </si>
  <si>
    <t>Opening Balance</t>
  </si>
  <si>
    <t>Closing Balance</t>
  </si>
  <si>
    <t>Basis</t>
  </si>
  <si>
    <t>DDA – 5523018846120 (Business)</t>
  </si>
  <si>
    <t>Closing balance agrees with the last running balance (Transactions!D86)</t>
  </si>
  <si>
    <t>DDA – 5523018851447 (Personal)</t>
  </si>
  <si>
    <t>Closing balance agrees with the last running balance (Transactions!D111)</t>
  </si>
  <si>
    <t>TOTALS BY FLOW (stated in the case file vs. recomputed from Transactions)</t>
  </si>
  <si>
    <t>Flow</t>
  </si>
  <si>
    <t>Count (stated)</t>
  </si>
  <si>
    <t>Amount (stated)</t>
  </si>
  <si>
    <t>Count (recomputed)</t>
  </si>
  <si>
    <t>Amount (recomputed)</t>
  </si>
  <si>
    <t>Basis of recomputation</t>
  </si>
  <si>
    <t>Structured cash deposits - business account (Group 1)</t>
  </si>
  <si>
    <t>Group = Group 1; Account = 5523018846120</t>
  </si>
  <si>
    <t>Structured cash deposits - personal account (Group 1)</t>
  </si>
  <si>
    <t>Group = Group 1; Account = 5523018851447</t>
  </si>
  <si>
    <t>Structured cash deposits - total (Group 1)</t>
  </si>
  <si>
    <t>Group = Group 1</t>
  </si>
  <si>
    <t>International wires to Golden Kestrel General Trading FZE - completed (Group 2)</t>
  </si>
  <si>
    <t>Group = Group 2</t>
  </si>
  <si>
    <t>Domestic wires to Stonebridge Crest Holdings LLC (Group 3)</t>
  </si>
  <si>
    <t>Group = Group 3</t>
  </si>
  <si>
    <t>Suspicious wires - total (Groups 2 + 3)</t>
  </si>
  <si>
    <t>Group = Group 2 or Group 3</t>
  </si>
  <si>
    <t>SUSPICIOUS TOTAL (Groups 1 + 2 + 3) - Field 29 basis</t>
  </si>
  <si>
    <t>Group = Group 1 or Group 2 or Group 3</t>
  </si>
  <si>
    <t>Accepted alternative: suspicious total incl. 05/05 CTR deposit (Groups 1 + 2 + 3 + 5)</t>
  </si>
  <si>
    <t>Group = Group 1 or Group 2 or Group 3 or Group 5</t>
  </si>
  <si>
    <t>Excluded: returned wire 07/09 (Group 4, debit leg)</t>
  </si>
  <si>
    <t>Group = Group 4; C/D = D</t>
  </si>
  <si>
    <t>Excluded: wire return credit 07/14 (Group 4, credit leg)</t>
  </si>
  <si>
    <t>Group = Group 4; C/D = C</t>
  </si>
  <si>
    <t>Excluded: CTR-reportable cash deposit 05/05 (Group 5)</t>
  </si>
  <si>
    <t>Group = Group 5</t>
  </si>
  <si>
    <t>Excluded: insurance claim credit 06/22 (Group 6)</t>
  </si>
  <si>
    <t>Group = Group 6; C/D = C</t>
  </si>
  <si>
    <t>Card settlements (Group 7)</t>
  </si>
  <si>
    <t>Group = Group 7</t>
  </si>
  <si>
    <t>Night-depository cash (Group 8)</t>
  </si>
  <si>
    <t>Group = Group 8</t>
  </si>
  <si>
    <t>Operating expenses: rent, payroll, parts supplier, utilities (Group 9)</t>
  </si>
  <si>
    <t>Group = Group 9</t>
  </si>
  <si>
    <t>All cash deposits, both accounts (Groups 1 + 5 + 8)</t>
  </si>
  <si>
    <t>Type = Cash; C/D = C</t>
  </si>
  <si>
    <t>Owner-draw internal transfers, business to personal (excluded; both legs in 'Other')</t>
  </si>
  <si>
    <t>Type = Internal Transfer; C/D = D</t>
  </si>
  <si>
    <t>ALERTED EVENTS</t>
  </si>
  <si>
    <t>Number of alerted events (Event Details)</t>
  </si>
  <si>
    <t>Absolute value of alerted amounts</t>
  </si>
  <si>
    <t>Alerted events matched to Transactions</t>
  </si>
  <si>
    <t>10 of 10 (validated by the builder)</t>
  </si>
  <si>
    <t>RED FLAGS</t>
  </si>
  <si>
    <t>•  Cash deposits of $169,202.25 in four months against a KYC expectation of $2,000-$4,000 per month ($16,000 at most for the period).</t>
  </si>
  <si>
    <t>•  After an $11,240.00 cash deposit on 05/05/2026 (CTR filed), all 16 later large cash deposits were $8,400.00-$9,950.00.</t>
  </si>
  <si>
    <t>•  Same-day deposits split between branches: 06/08/2026 ($18,400.00, Northland + Westerville) and 07/27/2026 ($18,900.00, business at Northland + personal at Dublin) (aggregated CTRs filed).</t>
  </si>
  <si>
    <t>•  Four branches, two depositors (owner: 11 deposits / $103,750.00; store manager: 5 deposits / $44,400.00) and two accounts used for the cash.</t>
  </si>
  <si>
    <t>•  A wire was initiated within 2-6 days after each cluster of structured deposits (the 07/09 wire was returned and re-sent on 07/15).</t>
  </si>
  <si>
    <t>•  First international wires on the relationship (4 wires, $98,544.45) to a general-trading FZE in Dubai with no documented link to phone repair; memos alternate 'inventory' and 'consulting'.</t>
  </si>
  <si>
    <t>•  Domestic wires of $41,500.00 to Stonebridge Crest Holdings LLC, whose beneficiary address is the owner's residence; memos 'consulting', 'loan repayment', 'management fee'.</t>
  </si>
  <si>
    <t>•  Owner's explanation (08/20/2026) not supported by any records; card settlements did not rise with the claimed sales increase.</t>
  </si>
  <si>
    <t>MITIGATING FACTORS</t>
  </si>
  <si>
    <t>•  18 weekly card settlements totaling $96,728.59 (average $24,182.15 per month), within the KYC range.</t>
  </si>
  <si>
    <t>•  Operating payments of $90,883.54 for rent, payroll, the established parts supplier and utilities - consistent with a functioning business.</t>
  </si>
  <si>
    <t>•  8 night-depository cash deposits totaling $9,812.25, consistent with expected cash sales.</t>
  </si>
  <si>
    <t>•  Insurance claim credit of $18,650.00 on 06/22/2026 documented and spent on repairs ($11,800.00) and equipment ($5,940.00).</t>
  </si>
  <si>
    <t>•  Payments to an owner's holding company can be owner compensation - but memos changed with each payment and no agreement was provided.</t>
  </si>
  <si>
    <t>•  Relationship since 2019 (owner's personal account since 2017); no related cases; HNB rates the UAE Medium country risk. None of these facts explains the structured cash or the wires.</t>
  </si>
  <si>
    <t>KEY RECONCILIATIONS</t>
  </si>
  <si>
    <t>•  Suspicious total = structured cash $148,150.00 + completed wires $140,044.45 = $288,194.45; Field 29 = $288,195 (rounded up). Accepted alternative incl. the 05/05 CTR deposit: $299,434.45 -&gt; $299,435, Field 30 from 05/05/2026.</t>
  </si>
  <si>
    <t>•  Structured cash by account: business 13 / $120,600.00; personal 3 / $27,550.00.</t>
  </si>
  <si>
    <t>•  Structured cash by branch: Northland 5 / $48,350.00; Westerville 5 / $43,850.00 (name variant 'Northgate Mobil Repair LLC'); Worthington 4 / $37,300.00; Dublin 2 / $18,650.00.</t>
  </si>
  <si>
    <t>•  Wires: Golden Kestrel 4 / $98,544.45; Stonebridge Crest 3 / $41,500.00 (business $24,000.00, personal $17,500.00).</t>
  </si>
  <si>
    <t>•  Returned wire $27,835.60 (07/09/2026) and return credit $27,793.10 (07/14/2026) excluded; the $42.50 difference is the correspondent charge.</t>
  </si>
  <si>
    <t>•  All cash $169,202.25 = structured $148,150.00 + CTR deposit $11,240.00 + night-depository $9,812.25.</t>
  </si>
  <si>
    <t>•  CTRs: 05/05 single deposit $11,240.00; aggregated same-day 06/08 $18,400.00 (same account) and 07/27 $18,900.00 (same conductor, two accounts); no other business day exceeds $10,000.</t>
  </si>
  <si>
    <t>•  Alerted events: 10 (9 business, 1 personal) dated 06/08/2026-08/14/2026; Field 30 (05/19/2026-08/18/2026) is wider than the alert window - 13 of the 23 suspicious transactions were not alerted.</t>
  </si>
  <si>
    <t>•  Owner draws (4 x business to personal, $13,000.00) are internal and excluded to avoid double 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</si>
</sst>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0.00;[Red]&quot;-$&quot;#,##0.00;\$0.00"/>
    <numFmt numFmtId="166" formatCode="\$#,##0.00_);[Red]&quot;($&quot;#,##0.00\);\$0.00_)"/>
    <numFmt numFmtId="167" formatCode="\$#,##0.00_);&quot;($&quot;#,##0.00\);\-_)"/>
    <numFmt numFmtId="168" formatCode="\$#,##0_);&quot;($&quot;#,##0\)"/>
  </numFmts>
  <fonts count="16" x14ac:knownFonts="1">
    <font>
      <sz val="11"/>
      <color theme="1"/>
      <name val="Calibri"/>
      <family val="2"/>
      <charset val="1"/>
    </font>
    <font>
      <b/>
      <sz val="14"/>
      <color rgb="FFFFFFFF"/>
      <name val="Arial"/>
      <family val="2"/>
    </font>
    <font>
      <i/>
      <sz val="10"/>
      <color rgb="FF7F7F7F"/>
      <name val="Arial"/>
      <family val="2"/>
    </font>
    <font>
      <b/>
      <sz val="11"/>
      <color rgb="FFFFFFFF"/>
      <name val="Arial"/>
      <family val="2"/>
    </font>
    <font>
      <sz val="10"/>
      <color rgb="FF1A1A1A"/>
      <name val="Arial"/>
      <family val="2"/>
    </font>
    <font>
      <b/>
      <sz val="10"/>
      <color rgb="FFFFFFFF"/>
      <name val="Arial"/>
      <family val="2"/>
    </font>
    <font>
      <b/>
      <sz val="10"/>
      <color rgb="FF1A1A1A"/>
      <name val="Arial"/>
      <family val="2"/>
    </font>
    <font>
      <i/>
      <sz val="10"/>
      <color rgb="FF1A1A1A"/>
      <name val="Arial"/>
      <family val="2"/>
    </font>
    <font>
      <i/>
      <sz val="10"/>
      <color rgb="FF8B1E2D"/>
      <name val="Arial"/>
      <family val="2"/>
    </font>
    <font>
      <b/>
      <sz val="12"/>
      <color rgb="FF1A1A1A"/>
      <name val="Arial"/>
      <family val="2"/>
    </font>
    <font>
      <sz val="10"/>
      <name val="Arial"/>
      <family val="2"/>
    </font>
    <font>
      <i/>
      <sz val="10"/>
      <color rgb="FFA6A6A6"/>
      <name val="Arial"/>
      <family val="2"/>
    </font>
    <font>
      <b/>
      <sz val="10"/>
      <color rgb="FF8B1E2D"/>
      <name val="Arial"/>
      <family val="2"/>
    </font>
    <font>
      <b/>
      <sz val="10"/>
      <color rgb="FF1F2A44"/>
      <name val="Arial"/>
      <family val="2"/>
    </font>
    <font>
      <sz val="10"/>
      <color rgb="FF7F7F7F"/>
      <name val="Arial"/>
      <family val="2"/>
    </font>
    <font>
      <i/>
      <sz val="10"/>
      <color rgb="FF8C8C8C"/>
      <name val="Arial"/>
      <family val="2"/>
    </font>
  </fonts>
  <fills count="11">
    <fill>
      <patternFill patternType="none"/>
    </fill>
    <fill>
      <patternFill patternType="gray125"/>
    </fill>
    <fill>
      <patternFill patternType="solid">
        <fgColor rgb="FF1F2A44"/>
        <bgColor rgb="FF1A1A1A"/>
      </patternFill>
    </fill>
    <fill>
      <patternFill patternType="solid">
        <fgColor rgb="FFDCE3ED"/>
        <bgColor rgb="FFE2EFDA"/>
      </patternFill>
    </fill>
    <fill>
      <patternFill patternType="solid">
        <fgColor rgb="FFF4F6F9"/>
        <bgColor rgb="FFFFFFFF"/>
      </patternFill>
    </fill>
    <fill>
      <patternFill patternType="solid">
        <fgColor rgb="FFFFF7D6"/>
        <bgColor rgb="FFF4F6F9"/>
      </patternFill>
    </fill>
    <fill>
      <patternFill patternType="solid">
        <fgColor rgb="FF3B5378"/>
        <bgColor rgb="FF666699"/>
      </patternFill>
    </fill>
    <fill>
      <patternFill patternType="solid">
        <fgColor rgb="FFE2EFDA"/>
        <bgColor rgb="FFDCE3ED"/>
      </patternFill>
    </fill>
    <fill>
      <patternFill patternType="solid">
        <fgColor rgb="FF8B1E2D"/>
        <bgColor rgb="FF993366"/>
      </patternFill>
    </fill>
    <fill>
      <patternFill patternType="solid">
        <fgColor rgb="FFFFFF00"/>
        <bgColor rgb="FFFFFFFF"/>
      </patternFill>
    </fill>
    <fill>
      <patternFill patternType="solid">
        <fgColor rgb="FFFFFF00"/>
        <bgColor indexed="64"/>
      </patternFill>
    </fill>
  </fills>
  <borders count="2">
    <border>
      <left/>
      <right/>
      <top/>
      <bottom/>
      <diagonal/>
    </border>
    <border>
      <left style="thin">
        <color rgb="FFB4BDCB"/>
      </left>
      <right style="thin">
        <color rgb="FFB4BDCB"/>
      </right>
      <top style="thin">
        <color rgb="FFB4BDCB"/>
      </top>
      <bottom style="thin">
        <color rgb="FFB4BDCB"/>
      </bottom>
      <diagonal/>
    </border>
  </borders>
  <cellStyleXfs count="1">
    <xf numFmtId="0" fontId="0" fillId="0" borderId="0"/>
  </cellStyleXfs>
  <cellXfs count="63">
    <xf numFmtId="0" fontId="0" fillId="0" borderId="0" xfId="0"/>
    <xf numFmtId="0" fontId="4" fillId="0" borderId="1" xfId="0" applyFont="1" applyBorder="1" applyAlignment="1">
      <alignment vertical="top"/>
    </xf>
    <xf numFmtId="0" fontId="6" fillId="0" borderId="1" xfId="0" applyFont="1" applyBorder="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vertical="top" wrapText="1"/>
    </xf>
    <xf numFmtId="0" fontId="4" fillId="0" borderId="1" xfId="0" applyFont="1" applyBorder="1" applyAlignment="1">
      <alignment vertical="top" wrapText="1"/>
    </xf>
    <xf numFmtId="0" fontId="3" fillId="2" borderId="0" xfId="0" applyFont="1" applyFill="1" applyAlignment="1">
      <alignment vertical="center"/>
    </xf>
    <xf numFmtId="0" fontId="2" fillId="0" borderId="0" xfId="0" applyFont="1" applyAlignment="1">
      <alignment vertical="top"/>
    </xf>
    <xf numFmtId="0" fontId="1" fillId="2" borderId="0" xfId="0" applyFont="1" applyFill="1" applyAlignment="1">
      <alignment vertical="center"/>
    </xf>
    <xf numFmtId="0" fontId="6" fillId="0" borderId="1" xfId="0" applyFont="1" applyBorder="1" applyAlignment="1">
      <alignment horizontal="center" vertical="top"/>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xf>
    <xf numFmtId="164" fontId="4" fillId="0" borderId="1" xfId="0" applyNumberFormat="1" applyFont="1" applyBorder="1" applyAlignment="1">
      <alignment horizontal="left" vertical="top"/>
    </xf>
    <xf numFmtId="1" fontId="4" fillId="0" borderId="1" xfId="0" applyNumberFormat="1" applyFont="1" applyBorder="1" applyAlignment="1">
      <alignment horizontal="left" vertical="top"/>
    </xf>
    <xf numFmtId="164" fontId="4" fillId="0" borderId="1" xfId="0" applyNumberFormat="1" applyFont="1" applyBorder="1" applyAlignment="1">
      <alignment horizontal="center" vertical="top"/>
    </xf>
    <xf numFmtId="49" fontId="4" fillId="0" borderId="1" xfId="0" applyNumberFormat="1" applyFont="1" applyBorder="1" applyAlignment="1">
      <alignment vertical="top"/>
    </xf>
    <xf numFmtId="0" fontId="4" fillId="0" borderId="1" xfId="0" applyFont="1" applyBorder="1" applyAlignment="1">
      <alignment horizontal="center" vertical="top"/>
    </xf>
    <xf numFmtId="164" fontId="6" fillId="0" borderId="1" xfId="0" applyNumberFormat="1" applyFont="1" applyBorder="1" applyAlignment="1">
      <alignment horizontal="center" vertical="top"/>
    </xf>
    <xf numFmtId="165" fontId="4" fillId="0" borderId="1" xfId="0" applyNumberFormat="1" applyFont="1" applyBorder="1" applyAlignment="1">
      <alignment vertical="top"/>
    </xf>
    <xf numFmtId="166" fontId="4" fillId="0" borderId="1" xfId="0" applyNumberFormat="1" applyFont="1" applyBorder="1" applyAlignment="1">
      <alignment vertical="top"/>
    </xf>
    <xf numFmtId="167" fontId="4" fillId="0" borderId="1" xfId="0" applyNumberFormat="1" applyFont="1" applyBorder="1" applyAlignment="1">
      <alignment vertical="top"/>
    </xf>
    <xf numFmtId="20" fontId="4" fillId="0" borderId="1" xfId="0" applyNumberFormat="1" applyFont="1" applyBorder="1" applyAlignment="1">
      <alignment horizontal="center" vertical="top"/>
    </xf>
    <xf numFmtId="0" fontId="4" fillId="4" borderId="1" xfId="0" applyFont="1" applyFill="1" applyBorder="1" applyAlignment="1">
      <alignment vertical="top"/>
    </xf>
    <xf numFmtId="49" fontId="4" fillId="4" borderId="1" xfId="0" applyNumberFormat="1" applyFont="1" applyFill="1" applyBorder="1" applyAlignment="1">
      <alignment vertical="top"/>
    </xf>
    <xf numFmtId="0" fontId="4" fillId="4" borderId="1" xfId="0" applyFont="1" applyFill="1" applyBorder="1" applyAlignment="1">
      <alignment horizontal="center" vertical="top"/>
    </xf>
    <xf numFmtId="166" fontId="4" fillId="4" borderId="1" xfId="0" applyNumberFormat="1" applyFont="1" applyFill="1" applyBorder="1" applyAlignment="1">
      <alignment vertical="top"/>
    </xf>
    <xf numFmtId="164" fontId="4" fillId="4" borderId="1" xfId="0" applyNumberFormat="1" applyFont="1" applyFill="1" applyBorder="1" applyAlignment="1">
      <alignment horizontal="center" vertical="top"/>
    </xf>
    <xf numFmtId="167" fontId="4" fillId="4" borderId="1" xfId="0" applyNumberFormat="1" applyFont="1" applyFill="1" applyBorder="1" applyAlignment="1">
      <alignment vertical="top"/>
    </xf>
    <xf numFmtId="0" fontId="6" fillId="4" borderId="1" xfId="0" applyFont="1" applyFill="1" applyBorder="1" applyAlignment="1">
      <alignment horizontal="center" vertical="top"/>
    </xf>
    <xf numFmtId="0" fontId="4" fillId="4" borderId="1" xfId="0" applyFont="1" applyFill="1" applyBorder="1" applyAlignment="1">
      <alignment vertical="top" wrapText="1"/>
    </xf>
    <xf numFmtId="20" fontId="4" fillId="4" borderId="1" xfId="0" applyNumberFormat="1" applyFont="1" applyFill="1" applyBorder="1" applyAlignment="1">
      <alignment horizontal="center" vertical="top"/>
    </xf>
    <xf numFmtId="0" fontId="4" fillId="5" borderId="1" xfId="0" applyFont="1" applyFill="1" applyBorder="1" applyAlignment="1">
      <alignment vertical="top" wrapText="1"/>
    </xf>
    <xf numFmtId="0" fontId="11" fillId="0" borderId="0" xfId="0" applyFont="1" applyAlignment="1">
      <alignment vertical="top"/>
    </xf>
    <xf numFmtId="0" fontId="12" fillId="0" borderId="0" xfId="0" applyFont="1" applyAlignment="1">
      <alignment vertical="center"/>
    </xf>
    <xf numFmtId="0" fontId="13" fillId="0" borderId="0" xfId="0" applyFont="1" applyAlignment="1">
      <alignment vertical="center"/>
    </xf>
    <xf numFmtId="0" fontId="5" fillId="6" borderId="0" xfId="0" applyFont="1" applyFill="1" applyAlignment="1">
      <alignment vertical="center"/>
    </xf>
    <xf numFmtId="0" fontId="14" fillId="0" borderId="1" xfId="0" applyFont="1" applyBorder="1" applyAlignment="1">
      <alignment horizontal="center" vertical="top"/>
    </xf>
    <xf numFmtId="0" fontId="4" fillId="5" borderId="1" xfId="0" applyFont="1" applyFill="1" applyBorder="1" applyAlignment="1">
      <alignment horizontal="center" vertical="top" wrapText="1"/>
    </xf>
    <xf numFmtId="168" fontId="4" fillId="5" borderId="1" xfId="0" applyNumberFormat="1" applyFont="1" applyFill="1" applyBorder="1" applyAlignment="1">
      <alignment horizontal="left" vertical="top"/>
    </xf>
    <xf numFmtId="164" fontId="4" fillId="5" borderId="1" xfId="0" applyNumberFormat="1" applyFont="1" applyFill="1" applyBorder="1" applyAlignment="1">
      <alignment horizontal="left" vertical="top"/>
    </xf>
    <xf numFmtId="0" fontId="6" fillId="5" borderId="1" xfId="0" applyFont="1" applyFill="1" applyBorder="1" applyAlignment="1">
      <alignment horizontal="center" vertical="center"/>
    </xf>
    <xf numFmtId="0" fontId="6" fillId="7" borderId="1" xfId="0" applyFont="1" applyFill="1" applyBorder="1" applyAlignment="1">
      <alignment horizontal="center" vertical="top"/>
    </xf>
    <xf numFmtId="0" fontId="4" fillId="7" borderId="1" xfId="0" applyFont="1" applyFill="1" applyBorder="1" applyAlignment="1">
      <alignment vertical="top" wrapText="1"/>
    </xf>
    <xf numFmtId="1" fontId="4" fillId="0" borderId="1" xfId="0" applyNumberFormat="1" applyFont="1" applyBorder="1" applyAlignment="1">
      <alignment horizontal="center" vertical="top"/>
    </xf>
    <xf numFmtId="0" fontId="6" fillId="3" borderId="1" xfId="0" applyFont="1" applyFill="1" applyBorder="1" applyAlignment="1">
      <alignment horizontal="center" vertical="top" wrapText="1"/>
    </xf>
    <xf numFmtId="1" fontId="6" fillId="3" borderId="1" xfId="0" applyNumberFormat="1" applyFont="1" applyFill="1" applyBorder="1" applyAlignment="1">
      <alignment horizontal="center" vertical="top" wrapText="1"/>
    </xf>
    <xf numFmtId="167" fontId="6" fillId="3" borderId="1" xfId="0" applyNumberFormat="1" applyFont="1" applyFill="1" applyBorder="1" applyAlignment="1">
      <alignment vertical="top" wrapText="1"/>
    </xf>
    <xf numFmtId="0" fontId="6" fillId="0" borderId="1" xfId="0" applyFont="1" applyBorder="1" applyAlignment="1">
      <alignment vertical="top"/>
    </xf>
    <xf numFmtId="0" fontId="4" fillId="0" borderId="0" xfId="0" applyFont="1" applyAlignment="1">
      <alignment vertical="top" wrapText="1"/>
    </xf>
    <xf numFmtId="0" fontId="1" fillId="2" borderId="0" xfId="0" applyFont="1" applyFill="1" applyAlignment="1">
      <alignment vertical="center"/>
    </xf>
    <xf numFmtId="0" fontId="2" fillId="0" borderId="0" xfId="0" applyFont="1" applyAlignment="1">
      <alignment vertical="top"/>
    </xf>
    <xf numFmtId="0" fontId="3" fillId="2" borderId="0" xfId="0" applyFont="1" applyFill="1" applyAlignment="1">
      <alignment vertical="center"/>
    </xf>
    <xf numFmtId="0" fontId="4" fillId="0" borderId="1" xfId="0" applyFont="1" applyBorder="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3" fillId="8" borderId="0" xfId="0" applyFont="1" applyFill="1" applyAlignment="1">
      <alignment vertical="center"/>
    </xf>
    <xf numFmtId="0" fontId="5" fillId="2" borderId="1" xfId="0" applyFont="1" applyFill="1" applyBorder="1" applyAlignment="1">
      <alignment horizontal="center" vertical="center" wrapText="1"/>
    </xf>
    <xf numFmtId="0" fontId="4" fillId="0" borderId="1" xfId="0" applyFont="1" applyBorder="1" applyAlignment="1">
      <alignment vertical="top"/>
    </xf>
    <xf numFmtId="167" fontId="4" fillId="9" borderId="1" xfId="0" applyNumberFormat="1" applyFont="1" applyFill="1" applyBorder="1" applyAlignment="1">
      <alignment vertical="top"/>
    </xf>
    <xf numFmtId="167" fontId="4" fillId="10" borderId="1" xfId="0" applyNumberFormat="1" applyFont="1" applyFill="1" applyBorder="1" applyAlignment="1">
      <alignment vertical="top"/>
    </xf>
    <xf numFmtId="0" fontId="4" fillId="9" borderId="1" xfId="0" applyFont="1" applyFill="1" applyBorder="1" applyAlignment="1">
      <alignment vertical="top"/>
    </xf>
    <xf numFmtId="0" fontId="4" fillId="10" borderId="1" xfId="0"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DCB"/>
      <rgbColor rgb="FF7F7F7F"/>
      <rgbColor rgb="FFA6A6A6"/>
      <rgbColor rgb="FF993366"/>
      <rgbColor rgb="FFFFF7D6"/>
      <rgbColor rgb="FFF4F6F9"/>
      <rgbColor rgb="FF660066"/>
      <rgbColor rgb="FFFF8080"/>
      <rgbColor rgb="FF0066CC"/>
      <rgbColor rgb="FFDCE3ED"/>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8C8C8C"/>
      <rgbColor rgb="FF003366"/>
      <rgbColor rgb="FF339966"/>
      <rgbColor rgb="FF003300"/>
      <rgbColor rgb="FF1A1A1A"/>
      <rgbColor rgb="FF8B1E2D"/>
      <rgbColor rgb="FF993366"/>
      <rgbColor rgb="FF3B5378"/>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A44"/>
    <pageSetUpPr fitToPage="1"/>
  </sheetPr>
  <dimension ref="A1:E19"/>
  <sheetViews>
    <sheetView showGridLines="0" zoomScaleNormal="100" workbookViewId="0">
      <selection sqref="A1:E1"/>
    </sheetView>
  </sheetViews>
  <sheetFormatPr defaultColWidth="8.7109375" defaultRowHeight="15" x14ac:dyDescent="0.25"/>
  <cols>
    <col min="1" max="1" width="7" customWidth="1"/>
    <col min="2" max="2" width="26" customWidth="1"/>
    <col min="3" max="3" width="46" customWidth="1"/>
    <col min="4" max="4" width="60" customWidth="1"/>
    <col min="5" max="5" width="30" customWidth="1"/>
  </cols>
  <sheetData>
    <row r="1" spans="1:5" ht="25.5" customHeight="1" x14ac:dyDescent="0.25">
      <c r="A1" s="50" t="s">
        <v>0</v>
      </c>
      <c r="B1" s="50"/>
      <c r="C1" s="50"/>
      <c r="D1" s="50"/>
      <c r="E1" s="50"/>
    </row>
    <row r="2" spans="1:5" x14ac:dyDescent="0.25">
      <c r="A2" s="51" t="s">
        <v>1</v>
      </c>
      <c r="B2" s="51"/>
      <c r="C2" s="51"/>
      <c r="D2" s="51"/>
      <c r="E2" s="51"/>
    </row>
    <row r="4" spans="1:5" ht="18" customHeight="1" x14ac:dyDescent="0.25">
      <c r="A4" s="52" t="s">
        <v>2</v>
      </c>
      <c r="B4" s="52"/>
      <c r="C4" s="52"/>
      <c r="D4" s="52"/>
      <c r="E4" s="52"/>
    </row>
    <row r="5" spans="1:5" ht="42" customHeight="1" x14ac:dyDescent="0.25">
      <c r="A5" s="49" t="s">
        <v>3</v>
      </c>
      <c r="B5" s="49"/>
      <c r="C5" s="49"/>
      <c r="D5" s="49"/>
      <c r="E5" s="49"/>
    </row>
    <row r="7" spans="1:5" ht="19.5" customHeight="1" x14ac:dyDescent="0.25">
      <c r="A7" s="3" t="s">
        <v>4</v>
      </c>
      <c r="B7" s="3" t="s">
        <v>5</v>
      </c>
      <c r="C7" s="3" t="s">
        <v>6</v>
      </c>
      <c r="D7" s="3" t="s">
        <v>7</v>
      </c>
      <c r="E7" s="3" t="s">
        <v>8</v>
      </c>
    </row>
    <row r="8" spans="1:5" ht="44.25" customHeight="1" x14ac:dyDescent="0.25">
      <c r="A8" s="9">
        <v>1</v>
      </c>
      <c r="B8" s="2" t="s">
        <v>9</v>
      </c>
      <c r="C8" s="5" t="s">
        <v>10</v>
      </c>
      <c r="D8" s="5" t="s">
        <v>11</v>
      </c>
      <c r="E8" s="5"/>
    </row>
    <row r="9" spans="1:5" ht="31.5" customHeight="1" x14ac:dyDescent="0.25">
      <c r="A9" s="9">
        <v>2</v>
      </c>
      <c r="B9" s="2" t="s">
        <v>12</v>
      </c>
      <c r="C9" s="5" t="s">
        <v>13</v>
      </c>
      <c r="D9" s="5" t="s">
        <v>14</v>
      </c>
      <c r="E9" s="5"/>
    </row>
    <row r="10" spans="1:5" ht="44.25" customHeight="1" x14ac:dyDescent="0.25">
      <c r="A10" s="9">
        <v>3</v>
      </c>
      <c r="B10" s="2" t="s">
        <v>15</v>
      </c>
      <c r="C10" s="5" t="s">
        <v>16</v>
      </c>
      <c r="D10" s="5" t="s">
        <v>17</v>
      </c>
      <c r="E10" s="5"/>
    </row>
    <row r="11" spans="1:5" ht="44.25" customHeight="1" x14ac:dyDescent="0.25">
      <c r="A11" s="9">
        <v>4</v>
      </c>
      <c r="B11" s="2" t="s">
        <v>18</v>
      </c>
      <c r="C11" s="5" t="s">
        <v>19</v>
      </c>
      <c r="D11" s="5" t="s">
        <v>20</v>
      </c>
      <c r="E11" s="10" t="s">
        <v>21</v>
      </c>
    </row>
    <row r="12" spans="1:5" ht="18.75" customHeight="1" x14ac:dyDescent="0.25">
      <c r="A12" s="9">
        <v>5</v>
      </c>
      <c r="B12" s="2" t="s">
        <v>22</v>
      </c>
      <c r="C12" s="5" t="s">
        <v>23</v>
      </c>
      <c r="D12" s="5" t="s">
        <v>24</v>
      </c>
      <c r="E12" s="11" t="s">
        <v>25</v>
      </c>
    </row>
    <row r="13" spans="1:5" ht="18.75" customHeight="1" x14ac:dyDescent="0.25">
      <c r="A13" s="9">
        <v>6</v>
      </c>
      <c r="B13" s="2" t="s">
        <v>26</v>
      </c>
      <c r="C13" s="5" t="s">
        <v>27</v>
      </c>
      <c r="D13" s="5" t="s">
        <v>24</v>
      </c>
      <c r="E13" s="11" t="s">
        <v>25</v>
      </c>
    </row>
    <row r="14" spans="1:5" ht="57" customHeight="1" x14ac:dyDescent="0.25">
      <c r="A14" s="9">
        <v>7</v>
      </c>
      <c r="B14" s="2" t="s">
        <v>28</v>
      </c>
      <c r="C14" s="5" t="s">
        <v>29</v>
      </c>
      <c r="D14" s="5" t="s">
        <v>30</v>
      </c>
      <c r="E14" s="10" t="s">
        <v>31</v>
      </c>
    </row>
    <row r="15" spans="1:5" ht="44.25" customHeight="1" x14ac:dyDescent="0.25">
      <c r="A15" s="9">
        <v>8</v>
      </c>
      <c r="B15" s="2" t="s">
        <v>32</v>
      </c>
      <c r="C15" s="5" t="s">
        <v>33</v>
      </c>
      <c r="D15" s="5" t="s">
        <v>34</v>
      </c>
      <c r="E15" s="10" t="s">
        <v>35</v>
      </c>
    </row>
    <row r="16" spans="1:5" ht="31.5" customHeight="1" x14ac:dyDescent="0.25">
      <c r="A16" s="9">
        <v>9</v>
      </c>
      <c r="B16" s="2" t="s">
        <v>36</v>
      </c>
      <c r="C16" s="5" t="s">
        <v>37</v>
      </c>
      <c r="D16" s="5" t="s">
        <v>38</v>
      </c>
      <c r="E16" s="10" t="s">
        <v>39</v>
      </c>
    </row>
    <row r="18" spans="1:5" ht="18" customHeight="1" x14ac:dyDescent="0.25">
      <c r="A18" s="52" t="s">
        <v>40</v>
      </c>
      <c r="B18" s="52"/>
      <c r="C18" s="52"/>
      <c r="D18" s="52"/>
      <c r="E18" s="52"/>
    </row>
    <row r="19" spans="1:5" ht="42" customHeight="1" x14ac:dyDescent="0.25">
      <c r="A19" s="49" t="s">
        <v>41</v>
      </c>
      <c r="B19" s="49"/>
      <c r="C19" s="49"/>
      <c r="D19" s="49"/>
      <c r="E19" s="49"/>
    </row>
  </sheetData>
  <mergeCells count="6">
    <mergeCell ref="A19:E19"/>
    <mergeCell ref="A1:E1"/>
    <mergeCell ref="A2:E2"/>
    <mergeCell ref="A4:E4"/>
    <mergeCell ref="A5:E5"/>
    <mergeCell ref="A18:E18"/>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2A44"/>
    <pageSetUpPr fitToPage="1"/>
  </sheetPr>
  <dimension ref="A1:E26"/>
  <sheetViews>
    <sheetView showGridLines="0" zoomScaleNormal="100" workbookViewId="0"/>
  </sheetViews>
  <sheetFormatPr defaultColWidth="8.7109375" defaultRowHeight="15" x14ac:dyDescent="0.25"/>
  <cols>
    <col min="1" max="1" width="30" customWidth="1"/>
    <col min="2" max="2" width="46" customWidth="1"/>
    <col min="3" max="3" width="24" customWidth="1"/>
    <col min="4" max="4" width="34" customWidth="1"/>
    <col min="5" max="5" width="14" customWidth="1"/>
  </cols>
  <sheetData>
    <row r="1" spans="1:4" ht="19.5" customHeight="1" x14ac:dyDescent="0.25">
      <c r="A1" s="4" t="s">
        <v>42</v>
      </c>
      <c r="B1" s="12" t="s">
        <v>43</v>
      </c>
    </row>
    <row r="3" spans="1:4" ht="18" customHeight="1" x14ac:dyDescent="0.25">
      <c r="A3" s="52" t="s">
        <v>44</v>
      </c>
      <c r="B3" s="52"/>
      <c r="C3" s="52" t="s">
        <v>45</v>
      </c>
      <c r="D3" s="52"/>
    </row>
    <row r="4" spans="1:4" x14ac:dyDescent="0.25">
      <c r="A4" s="4" t="s">
        <v>46</v>
      </c>
      <c r="B4" s="5" t="s">
        <v>47</v>
      </c>
      <c r="C4" s="4" t="s">
        <v>48</v>
      </c>
      <c r="D4" s="13">
        <v>43557</v>
      </c>
    </row>
    <row r="5" spans="1:4" x14ac:dyDescent="0.25">
      <c r="A5" s="4"/>
      <c r="B5" s="5" t="s">
        <v>49</v>
      </c>
      <c r="C5" s="4" t="s">
        <v>50</v>
      </c>
      <c r="D5" s="14">
        <v>8830215547</v>
      </c>
    </row>
    <row r="6" spans="1:4" x14ac:dyDescent="0.25">
      <c r="A6" s="4"/>
      <c r="B6" s="5" t="s">
        <v>51</v>
      </c>
    </row>
    <row r="7" spans="1:4" ht="16.5" customHeight="1" x14ac:dyDescent="0.25">
      <c r="A7" s="4" t="s">
        <v>52</v>
      </c>
      <c r="B7" s="5" t="s">
        <v>53</v>
      </c>
      <c r="C7" s="52" t="s">
        <v>54</v>
      </c>
      <c r="D7" s="52"/>
    </row>
    <row r="8" spans="1:4" ht="16.5" customHeight="1" x14ac:dyDescent="0.25">
      <c r="A8" s="4" t="s">
        <v>55</v>
      </c>
      <c r="B8" s="13">
        <v>43538</v>
      </c>
      <c r="C8" s="4" t="s">
        <v>56</v>
      </c>
      <c r="D8" s="1" t="s">
        <v>57</v>
      </c>
    </row>
    <row r="9" spans="1:4" ht="42" customHeight="1" x14ac:dyDescent="0.25">
      <c r="A9" s="4" t="s">
        <v>58</v>
      </c>
      <c r="B9" s="5" t="s">
        <v>59</v>
      </c>
      <c r="C9" s="4" t="s">
        <v>60</v>
      </c>
      <c r="D9" s="1" t="s">
        <v>61</v>
      </c>
    </row>
    <row r="10" spans="1:4" ht="29.25" customHeight="1" x14ac:dyDescent="0.25">
      <c r="A10" s="4" t="s">
        <v>62</v>
      </c>
      <c r="B10" s="5" t="s">
        <v>63</v>
      </c>
    </row>
    <row r="11" spans="1:4" ht="16.5" customHeight="1" x14ac:dyDescent="0.25">
      <c r="A11" s="4" t="s">
        <v>64</v>
      </c>
      <c r="B11" s="5" t="s">
        <v>65</v>
      </c>
    </row>
    <row r="12" spans="1:4" ht="16.5" customHeight="1" x14ac:dyDescent="0.25">
      <c r="A12" s="4" t="s">
        <v>66</v>
      </c>
      <c r="B12" s="5" t="s">
        <v>67</v>
      </c>
    </row>
    <row r="13" spans="1:4" ht="29.25" customHeight="1" x14ac:dyDescent="0.25">
      <c r="A13" s="4" t="s">
        <v>68</v>
      </c>
      <c r="B13" s="5" t="s">
        <v>69</v>
      </c>
    </row>
    <row r="14" spans="1:4" ht="29.25" customHeight="1" x14ac:dyDescent="0.25">
      <c r="A14" s="4" t="s">
        <v>70</v>
      </c>
      <c r="B14" s="5" t="s">
        <v>71</v>
      </c>
    </row>
    <row r="15" spans="1:4" ht="54.75" customHeight="1" x14ac:dyDescent="0.25">
      <c r="A15" s="4" t="s">
        <v>72</v>
      </c>
      <c r="B15" s="5" t="s">
        <v>73</v>
      </c>
    </row>
    <row r="16" spans="1:4" ht="29.25" customHeight="1" x14ac:dyDescent="0.25">
      <c r="A16" s="4" t="s">
        <v>74</v>
      </c>
      <c r="B16" s="5" t="s">
        <v>75</v>
      </c>
    </row>
    <row r="17" spans="1:5" ht="29.25" customHeight="1" x14ac:dyDescent="0.25">
      <c r="A17" s="4" t="s">
        <v>76</v>
      </c>
      <c r="B17" s="5" t="s">
        <v>77</v>
      </c>
    </row>
    <row r="18" spans="1:5" ht="16.5" customHeight="1" x14ac:dyDescent="0.25">
      <c r="A18" s="4" t="s">
        <v>78</v>
      </c>
      <c r="B18" s="5" t="s">
        <v>79</v>
      </c>
    </row>
    <row r="19" spans="1:5" ht="93" customHeight="1" x14ac:dyDescent="0.25">
      <c r="A19" s="4" t="s">
        <v>80</v>
      </c>
      <c r="B19" s="5" t="s">
        <v>81</v>
      </c>
    </row>
    <row r="21" spans="1:5" ht="18" customHeight="1" x14ac:dyDescent="0.25">
      <c r="A21" s="52" t="s">
        <v>82</v>
      </c>
      <c r="B21" s="52"/>
      <c r="C21" s="52"/>
      <c r="D21" s="52"/>
      <c r="E21" s="52"/>
    </row>
    <row r="22" spans="1:5" x14ac:dyDescent="0.25">
      <c r="A22" s="3" t="s">
        <v>12</v>
      </c>
      <c r="B22" s="3" t="s">
        <v>83</v>
      </c>
      <c r="C22" s="3" t="s">
        <v>84</v>
      </c>
      <c r="D22" s="3" t="s">
        <v>85</v>
      </c>
      <c r="E22" s="3" t="s">
        <v>86</v>
      </c>
    </row>
    <row r="23" spans="1:5" x14ac:dyDescent="0.25">
      <c r="A23" s="1" t="s">
        <v>87</v>
      </c>
      <c r="B23" s="1" t="s">
        <v>88</v>
      </c>
      <c r="C23" s="1" t="s">
        <v>89</v>
      </c>
      <c r="D23" s="15">
        <v>43557</v>
      </c>
      <c r="E23" s="15"/>
    </row>
    <row r="24" spans="1:5" x14ac:dyDescent="0.25">
      <c r="A24" s="1" t="s">
        <v>90</v>
      </c>
      <c r="B24" s="1" t="s">
        <v>91</v>
      </c>
      <c r="C24" s="1" t="s">
        <v>89</v>
      </c>
      <c r="D24" s="15">
        <v>42957</v>
      </c>
      <c r="E24" s="15"/>
    </row>
    <row r="26" spans="1:5" ht="16.5" customHeight="1" x14ac:dyDescent="0.25">
      <c r="A26" s="4" t="s">
        <v>92</v>
      </c>
      <c r="B26" s="53" t="s">
        <v>93</v>
      </c>
      <c r="C26" s="53"/>
      <c r="D26" s="53"/>
      <c r="E26" s="53"/>
    </row>
  </sheetData>
  <mergeCells count="5">
    <mergeCell ref="A3:B3"/>
    <mergeCell ref="C3:D3"/>
    <mergeCell ref="C7:D7"/>
    <mergeCell ref="A21:E21"/>
    <mergeCell ref="B26:E26"/>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2A44"/>
    <pageSetUpPr fitToPage="1"/>
  </sheetPr>
  <dimension ref="A1:H5"/>
  <sheetViews>
    <sheetView zoomScaleNormal="100" workbookViewId="0">
      <pane ySplit="3" topLeftCell="A4" activePane="bottomLeft" state="frozen"/>
      <selection pane="bottomLeft"/>
    </sheetView>
  </sheetViews>
  <sheetFormatPr defaultColWidth="8.7109375" defaultRowHeight="15" x14ac:dyDescent="0.25"/>
  <cols>
    <col min="1" max="1" width="12" customWidth="1"/>
    <col min="2" max="2" width="22" customWidth="1"/>
    <col min="3" max="3" width="18" customWidth="1"/>
    <col min="4" max="4" width="30" customWidth="1"/>
    <col min="5" max="5" width="12" customWidth="1"/>
    <col min="6" max="6" width="10" customWidth="1"/>
    <col min="7" max="8" width="12" customWidth="1"/>
  </cols>
  <sheetData>
    <row r="1" spans="1:8" ht="19.5" customHeight="1" x14ac:dyDescent="0.25">
      <c r="A1" s="54" t="s">
        <v>42</v>
      </c>
      <c r="B1" s="54"/>
      <c r="C1" s="12" t="s">
        <v>43</v>
      </c>
    </row>
    <row r="3" spans="1:8" ht="27.75" customHeight="1" x14ac:dyDescent="0.25">
      <c r="A3" s="3" t="s">
        <v>94</v>
      </c>
      <c r="B3" s="3" t="s">
        <v>95</v>
      </c>
      <c r="C3" s="3" t="s">
        <v>96</v>
      </c>
      <c r="D3" s="3" t="s">
        <v>97</v>
      </c>
      <c r="E3" s="3" t="s">
        <v>98</v>
      </c>
      <c r="F3" s="3" t="s">
        <v>84</v>
      </c>
      <c r="G3" s="3" t="s">
        <v>85</v>
      </c>
      <c r="H3" s="3" t="s">
        <v>99</v>
      </c>
    </row>
    <row r="4" spans="1:8" ht="38.25" x14ac:dyDescent="0.25">
      <c r="A4" s="1" t="s">
        <v>100</v>
      </c>
      <c r="B4" s="1" t="s">
        <v>88</v>
      </c>
      <c r="C4" s="16" t="s">
        <v>101</v>
      </c>
      <c r="D4" s="5" t="s">
        <v>102</v>
      </c>
      <c r="E4" s="17">
        <v>9</v>
      </c>
      <c r="F4" s="17" t="s">
        <v>89</v>
      </c>
      <c r="G4" s="15">
        <v>43557</v>
      </c>
      <c r="H4" s="15"/>
    </row>
    <row r="5" spans="1:8" x14ac:dyDescent="0.25">
      <c r="A5" s="1" t="s">
        <v>100</v>
      </c>
      <c r="B5" s="1" t="s">
        <v>91</v>
      </c>
      <c r="C5" s="16" t="s">
        <v>103</v>
      </c>
      <c r="D5" s="5" t="s">
        <v>104</v>
      </c>
      <c r="E5" s="17">
        <v>1</v>
      </c>
      <c r="F5" s="17" t="s">
        <v>89</v>
      </c>
      <c r="G5" s="15">
        <v>42957</v>
      </c>
      <c r="H5" s="15"/>
    </row>
  </sheetData>
  <mergeCells count="1">
    <mergeCell ref="A1:B1"/>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2A44"/>
    <pageSetUpPr fitToPage="1"/>
  </sheetPr>
  <dimension ref="A1:F13"/>
  <sheetViews>
    <sheetView zoomScaleNormal="100" workbookViewId="0">
      <pane ySplit="3" topLeftCell="A4" activePane="bottomLeft" state="frozen"/>
      <selection pane="bottomLeft" activeCell="A3" sqref="A3:XFD3"/>
    </sheetView>
  </sheetViews>
  <sheetFormatPr defaultColWidth="8.7109375" defaultRowHeight="15" x14ac:dyDescent="0.25"/>
  <cols>
    <col min="1" max="1" width="30" customWidth="1"/>
    <col min="2" max="2" width="12" customWidth="1"/>
    <col min="3" max="3" width="18" customWidth="1"/>
    <col min="4" max="4" width="16" customWidth="1"/>
    <col min="5" max="5" width="7" customWidth="1"/>
    <col min="6" max="6" width="18" customWidth="1"/>
  </cols>
  <sheetData>
    <row r="1" spans="1:6" x14ac:dyDescent="0.25">
      <c r="A1" s="4" t="s">
        <v>105</v>
      </c>
      <c r="B1" s="18">
        <v>46281</v>
      </c>
    </row>
    <row r="2" spans="1:6" x14ac:dyDescent="0.25">
      <c r="A2" s="4" t="s">
        <v>106</v>
      </c>
      <c r="B2" s="48" t="s">
        <v>107</v>
      </c>
      <c r="C2" s="48"/>
    </row>
    <row r="3" spans="1:6" x14ac:dyDescent="0.25">
      <c r="A3" s="3" t="s">
        <v>108</v>
      </c>
      <c r="B3" s="3" t="s">
        <v>109</v>
      </c>
      <c r="C3" s="3" t="s">
        <v>94</v>
      </c>
      <c r="D3" s="3" t="s">
        <v>110</v>
      </c>
      <c r="E3" s="3" t="s">
        <v>111</v>
      </c>
      <c r="F3" s="3" t="s">
        <v>83</v>
      </c>
    </row>
    <row r="4" spans="1:6" x14ac:dyDescent="0.25">
      <c r="A4" s="1" t="s">
        <v>112</v>
      </c>
      <c r="B4" s="15">
        <v>46181</v>
      </c>
      <c r="C4" s="16" t="s">
        <v>101</v>
      </c>
      <c r="D4" s="19">
        <v>9800</v>
      </c>
      <c r="E4" s="17" t="s">
        <v>113</v>
      </c>
      <c r="F4" s="1" t="s">
        <v>114</v>
      </c>
    </row>
    <row r="5" spans="1:6" x14ac:dyDescent="0.25">
      <c r="A5" s="1" t="s">
        <v>115</v>
      </c>
      <c r="B5" s="15">
        <v>46181</v>
      </c>
      <c r="C5" s="16" t="s">
        <v>101</v>
      </c>
      <c r="D5" s="19">
        <v>8600</v>
      </c>
      <c r="E5" s="17" t="s">
        <v>113</v>
      </c>
      <c r="F5" s="1" t="s">
        <v>114</v>
      </c>
    </row>
    <row r="6" spans="1:6" x14ac:dyDescent="0.25">
      <c r="A6" s="1" t="s">
        <v>116</v>
      </c>
      <c r="B6" s="15">
        <v>46188</v>
      </c>
      <c r="C6" s="16" t="s">
        <v>101</v>
      </c>
      <c r="D6" s="19">
        <v>-19782.150000000001</v>
      </c>
      <c r="E6" s="17" t="s">
        <v>117</v>
      </c>
      <c r="F6" s="1" t="s">
        <v>118</v>
      </c>
    </row>
    <row r="7" spans="1:6" x14ac:dyDescent="0.25">
      <c r="A7" s="1" t="s">
        <v>119</v>
      </c>
      <c r="B7" s="15">
        <v>46204</v>
      </c>
      <c r="C7" s="16" t="s">
        <v>101</v>
      </c>
      <c r="D7" s="19">
        <v>8850</v>
      </c>
      <c r="E7" s="17" t="s">
        <v>113</v>
      </c>
      <c r="F7" s="1" t="s">
        <v>114</v>
      </c>
    </row>
    <row r="8" spans="1:6" x14ac:dyDescent="0.25">
      <c r="A8" s="1" t="s">
        <v>112</v>
      </c>
      <c r="B8" s="15">
        <v>46209</v>
      </c>
      <c r="C8" s="16" t="s">
        <v>101</v>
      </c>
      <c r="D8" s="19">
        <v>9950</v>
      </c>
      <c r="E8" s="17" t="s">
        <v>113</v>
      </c>
      <c r="F8" s="1" t="s">
        <v>114</v>
      </c>
    </row>
    <row r="9" spans="1:6" x14ac:dyDescent="0.25">
      <c r="A9" s="1" t="s">
        <v>120</v>
      </c>
      <c r="B9" s="15">
        <v>46218</v>
      </c>
      <c r="C9" s="16" t="s">
        <v>101</v>
      </c>
      <c r="D9" s="19">
        <v>-27835.599999999999</v>
      </c>
      <c r="E9" s="17" t="s">
        <v>117</v>
      </c>
      <c r="F9" s="1" t="s">
        <v>118</v>
      </c>
    </row>
    <row r="10" spans="1:6" x14ac:dyDescent="0.25">
      <c r="A10" s="1" t="s">
        <v>112</v>
      </c>
      <c r="B10" s="15">
        <v>46230</v>
      </c>
      <c r="C10" s="16" t="s">
        <v>101</v>
      </c>
      <c r="D10" s="19">
        <v>9700</v>
      </c>
      <c r="E10" s="17" t="s">
        <v>113</v>
      </c>
      <c r="F10" s="1" t="s">
        <v>114</v>
      </c>
    </row>
    <row r="11" spans="1:6" x14ac:dyDescent="0.25">
      <c r="A11" s="1" t="s">
        <v>121</v>
      </c>
      <c r="B11" s="15">
        <v>46230</v>
      </c>
      <c r="C11" s="16" t="s">
        <v>103</v>
      </c>
      <c r="D11" s="19">
        <v>9200</v>
      </c>
      <c r="E11" s="17" t="s">
        <v>113</v>
      </c>
      <c r="F11" s="1" t="s">
        <v>114</v>
      </c>
    </row>
    <row r="12" spans="1:6" x14ac:dyDescent="0.25">
      <c r="A12" s="1" t="s">
        <v>112</v>
      </c>
      <c r="B12" s="15">
        <v>46245</v>
      </c>
      <c r="C12" s="16" t="s">
        <v>101</v>
      </c>
      <c r="D12" s="19">
        <v>9300</v>
      </c>
      <c r="E12" s="17" t="s">
        <v>113</v>
      </c>
      <c r="F12" s="1" t="s">
        <v>114</v>
      </c>
    </row>
    <row r="13" spans="1:6" x14ac:dyDescent="0.25">
      <c r="A13" s="1" t="s">
        <v>122</v>
      </c>
      <c r="B13" s="15">
        <v>46248</v>
      </c>
      <c r="C13" s="16" t="s">
        <v>101</v>
      </c>
      <c r="D13" s="19">
        <v>-26410.3</v>
      </c>
      <c r="E13" s="17" t="s">
        <v>117</v>
      </c>
      <c r="F13" s="1" t="s">
        <v>118</v>
      </c>
    </row>
  </sheetData>
  <autoFilter ref="A3:F3" xr:uid="{00000000-0001-0000-0300-000000000000}"/>
  <mergeCells count="1">
    <mergeCell ref="B2:C2"/>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1F2A44"/>
    <pageSetUpPr fitToPage="1"/>
  </sheetPr>
  <dimension ref="A1:AB111"/>
  <sheetViews>
    <sheetView topLeftCell="K1" zoomScaleNormal="100" workbookViewId="0">
      <pane ySplit="1" topLeftCell="A17" activePane="bottomLeft" state="frozen"/>
      <selection pane="bottomLeft" activeCell="V113" sqref="V113"/>
    </sheetView>
  </sheetViews>
  <sheetFormatPr defaultColWidth="8.7109375" defaultRowHeight="15" x14ac:dyDescent="0.25"/>
  <cols>
    <col min="1" max="1" width="24" customWidth="1"/>
    <col min="2" max="2" width="16" customWidth="1"/>
    <col min="3" max="3" width="6" customWidth="1"/>
    <col min="4" max="4" width="16" customWidth="1"/>
    <col min="5" max="5" width="12" customWidth="1"/>
    <col min="6" max="7" width="14" customWidth="1"/>
    <col min="8" max="8" width="16" customWidth="1"/>
    <col min="9" max="9" width="6" customWidth="1"/>
    <col min="10" max="10" width="11" customWidth="1"/>
    <col min="11" max="11" width="38" customWidth="1"/>
    <col min="12" max="12" width="20" customWidth="1"/>
    <col min="13" max="13" width="10" customWidth="1"/>
    <col min="14" max="14" width="15" customWidth="1"/>
    <col min="15" max="15" width="7" customWidth="1"/>
    <col min="16" max="16" width="8" customWidth="1"/>
    <col min="17" max="17" width="14" customWidth="1"/>
    <col min="18" max="18" width="11" customWidth="1"/>
    <col min="19" max="19" width="13" customWidth="1"/>
    <col min="20" max="20" width="11" customWidth="1"/>
    <col min="21" max="21" width="12" customWidth="1"/>
    <col min="22" max="23" width="24" customWidth="1"/>
    <col min="24" max="24" width="20" customWidth="1"/>
    <col min="25" max="25" width="34" customWidth="1"/>
    <col min="26" max="26" width="24" customWidth="1"/>
    <col min="27" max="27" width="20" customWidth="1"/>
    <col min="28" max="28" width="34" customWidth="1"/>
  </cols>
  <sheetData>
    <row r="1" spans="1:28" ht="30" customHeight="1" x14ac:dyDescent="0.25">
      <c r="A1" s="3" t="s">
        <v>123</v>
      </c>
      <c r="B1" s="3" t="s">
        <v>94</v>
      </c>
      <c r="C1" s="3" t="s">
        <v>124</v>
      </c>
      <c r="D1" s="3" t="s">
        <v>125</v>
      </c>
      <c r="E1" s="3" t="s">
        <v>109</v>
      </c>
      <c r="F1" s="3" t="s">
        <v>126</v>
      </c>
      <c r="G1" s="3" t="s">
        <v>127</v>
      </c>
      <c r="H1" s="3" t="s">
        <v>83</v>
      </c>
      <c r="I1" s="3" t="s">
        <v>111</v>
      </c>
      <c r="J1" s="3" t="s">
        <v>128</v>
      </c>
      <c r="K1" s="3" t="s">
        <v>129</v>
      </c>
      <c r="L1" s="3" t="s">
        <v>130</v>
      </c>
      <c r="M1" s="3" t="s">
        <v>131</v>
      </c>
      <c r="N1" s="3" t="s">
        <v>132</v>
      </c>
      <c r="O1" s="3" t="s">
        <v>133</v>
      </c>
      <c r="P1" s="3" t="s">
        <v>134</v>
      </c>
      <c r="Q1" s="3" t="s">
        <v>135</v>
      </c>
      <c r="R1" s="3" t="s">
        <v>136</v>
      </c>
      <c r="S1" s="3" t="s">
        <v>137</v>
      </c>
      <c r="T1" s="3" t="s">
        <v>138</v>
      </c>
      <c r="U1" s="3" t="s">
        <v>139</v>
      </c>
      <c r="V1" s="3" t="s">
        <v>140</v>
      </c>
      <c r="W1" s="3" t="s">
        <v>141</v>
      </c>
      <c r="X1" s="3" t="s">
        <v>142</v>
      </c>
      <c r="Y1" s="3" t="s">
        <v>143</v>
      </c>
      <c r="Z1" s="3" t="s">
        <v>144</v>
      </c>
      <c r="AA1" s="3" t="s">
        <v>145</v>
      </c>
      <c r="AB1" s="3" t="s">
        <v>146</v>
      </c>
    </row>
    <row r="2" spans="1:28" ht="25.5" hidden="1" x14ac:dyDescent="0.25">
      <c r="A2" s="1" t="s">
        <v>43</v>
      </c>
      <c r="B2" s="16" t="s">
        <v>101</v>
      </c>
      <c r="C2" s="17" t="s">
        <v>147</v>
      </c>
      <c r="D2" s="20">
        <f>21486.37+F2-G2</f>
        <v>16636.37</v>
      </c>
      <c r="E2" s="15">
        <v>46143</v>
      </c>
      <c r="F2" s="21">
        <v>0</v>
      </c>
      <c r="G2" s="21">
        <v>4850</v>
      </c>
      <c r="H2" s="1" t="s">
        <v>148</v>
      </c>
      <c r="I2" s="17" t="s">
        <v>117</v>
      </c>
      <c r="J2" s="9" t="s">
        <v>149</v>
      </c>
      <c r="K2" s="5" t="s">
        <v>150</v>
      </c>
      <c r="L2" s="16"/>
      <c r="M2" s="16"/>
      <c r="N2" s="1"/>
      <c r="O2" s="17"/>
      <c r="P2" s="16"/>
      <c r="Q2" s="1"/>
      <c r="R2" s="1"/>
      <c r="S2" s="1"/>
      <c r="T2" s="22">
        <v>0.22916666666666699</v>
      </c>
      <c r="U2" s="15">
        <v>46143</v>
      </c>
      <c r="V2" s="1" t="s">
        <v>43</v>
      </c>
      <c r="W2" s="1" t="s">
        <v>151</v>
      </c>
      <c r="X2" s="16" t="s">
        <v>101</v>
      </c>
      <c r="Y2" s="1" t="s">
        <v>152</v>
      </c>
      <c r="Z2" s="1" t="s">
        <v>153</v>
      </c>
      <c r="AA2" s="16" t="s">
        <v>154</v>
      </c>
      <c r="AB2" s="5"/>
    </row>
    <row r="3" spans="1:28" ht="25.5" hidden="1" x14ac:dyDescent="0.25">
      <c r="A3" s="23" t="s">
        <v>43</v>
      </c>
      <c r="B3" s="24" t="s">
        <v>101</v>
      </c>
      <c r="C3" s="25" t="s">
        <v>147</v>
      </c>
      <c r="D3" s="26">
        <f t="shared" ref="D3:D34" si="0">D2+F3-G3</f>
        <v>22050.739999999998</v>
      </c>
      <c r="E3" s="27">
        <v>46146</v>
      </c>
      <c r="F3" s="28">
        <v>5414.37</v>
      </c>
      <c r="G3" s="28">
        <v>0</v>
      </c>
      <c r="H3" s="23" t="s">
        <v>155</v>
      </c>
      <c r="I3" s="25" t="s">
        <v>113</v>
      </c>
      <c r="J3" s="29" t="s">
        <v>156</v>
      </c>
      <c r="K3" s="30" t="s">
        <v>157</v>
      </c>
      <c r="L3" s="24"/>
      <c r="M3" s="24"/>
      <c r="N3" s="23"/>
      <c r="O3" s="25"/>
      <c r="P3" s="24"/>
      <c r="Q3" s="23"/>
      <c r="R3" s="23"/>
      <c r="S3" s="23"/>
      <c r="T3" s="31">
        <v>0.17708333333333301</v>
      </c>
      <c r="U3" s="27">
        <v>46146</v>
      </c>
      <c r="V3" s="23" t="s">
        <v>158</v>
      </c>
      <c r="W3" s="23" t="s">
        <v>153</v>
      </c>
      <c r="X3" s="24" t="s">
        <v>159</v>
      </c>
      <c r="Y3" s="23" t="s">
        <v>43</v>
      </c>
      <c r="Z3" s="23" t="s">
        <v>151</v>
      </c>
      <c r="AA3" s="24" t="s">
        <v>101</v>
      </c>
      <c r="AB3" s="30"/>
    </row>
    <row r="4" spans="1:28" ht="38.25" hidden="1" x14ac:dyDescent="0.25">
      <c r="A4" s="1" t="s">
        <v>43</v>
      </c>
      <c r="B4" s="16" t="s">
        <v>101</v>
      </c>
      <c r="C4" s="17" t="s">
        <v>147</v>
      </c>
      <c r="D4" s="20">
        <f t="shared" si="0"/>
        <v>33290.74</v>
      </c>
      <c r="E4" s="15">
        <v>46147</v>
      </c>
      <c r="F4" s="21">
        <v>11240</v>
      </c>
      <c r="G4" s="21">
        <v>0</v>
      </c>
      <c r="H4" s="1" t="s">
        <v>114</v>
      </c>
      <c r="I4" s="17" t="s">
        <v>113</v>
      </c>
      <c r="J4" s="9" t="s">
        <v>160</v>
      </c>
      <c r="K4" s="5" t="s">
        <v>161</v>
      </c>
      <c r="L4" s="16"/>
      <c r="M4" s="16"/>
      <c r="N4" s="1" t="s">
        <v>162</v>
      </c>
      <c r="O4" s="17" t="s">
        <v>163</v>
      </c>
      <c r="P4" s="16" t="s">
        <v>164</v>
      </c>
      <c r="Q4" s="1" t="s">
        <v>165</v>
      </c>
      <c r="R4" s="1" t="s">
        <v>166</v>
      </c>
      <c r="S4" s="1"/>
      <c r="T4" s="22">
        <v>0.45</v>
      </c>
      <c r="U4" s="15">
        <v>46147</v>
      </c>
      <c r="V4" s="1" t="s">
        <v>104</v>
      </c>
      <c r="W4" s="1"/>
      <c r="X4" s="16"/>
      <c r="Y4" s="1" t="s">
        <v>43</v>
      </c>
      <c r="Z4" s="1" t="s">
        <v>151</v>
      </c>
      <c r="AA4" s="16" t="s">
        <v>101</v>
      </c>
      <c r="AB4" s="5" t="s">
        <v>167</v>
      </c>
    </row>
    <row r="5" spans="1:28" ht="25.5" hidden="1" x14ac:dyDescent="0.25">
      <c r="A5" s="23" t="s">
        <v>43</v>
      </c>
      <c r="B5" s="24" t="s">
        <v>101</v>
      </c>
      <c r="C5" s="25" t="s">
        <v>147</v>
      </c>
      <c r="D5" s="26">
        <f t="shared" si="0"/>
        <v>34555.42</v>
      </c>
      <c r="E5" s="27">
        <v>46149</v>
      </c>
      <c r="F5" s="28">
        <v>1264.68</v>
      </c>
      <c r="G5" s="28">
        <v>0</v>
      </c>
      <c r="H5" s="23" t="s">
        <v>114</v>
      </c>
      <c r="I5" s="25" t="s">
        <v>113</v>
      </c>
      <c r="J5" s="29" t="s">
        <v>168</v>
      </c>
      <c r="K5" s="30" t="s">
        <v>169</v>
      </c>
      <c r="L5" s="24"/>
      <c r="M5" s="24"/>
      <c r="N5" s="23" t="s">
        <v>162</v>
      </c>
      <c r="O5" s="25" t="s">
        <v>163</v>
      </c>
      <c r="P5" s="24" t="s">
        <v>164</v>
      </c>
      <c r="Q5" s="23" t="s">
        <v>165</v>
      </c>
      <c r="R5" s="23" t="s">
        <v>170</v>
      </c>
      <c r="S5" s="23"/>
      <c r="T5" s="31">
        <v>0.29513888888888901</v>
      </c>
      <c r="U5" s="27">
        <v>46149</v>
      </c>
      <c r="V5" s="23" t="s">
        <v>43</v>
      </c>
      <c r="W5" s="23"/>
      <c r="X5" s="24"/>
      <c r="Y5" s="23" t="s">
        <v>43</v>
      </c>
      <c r="Z5" s="23" t="s">
        <v>151</v>
      </c>
      <c r="AA5" s="24" t="s">
        <v>101</v>
      </c>
      <c r="AB5" s="30" t="s">
        <v>171</v>
      </c>
    </row>
    <row r="6" spans="1:28" ht="25.5" hidden="1" x14ac:dyDescent="0.25">
      <c r="A6" s="1" t="s">
        <v>43</v>
      </c>
      <c r="B6" s="16" t="s">
        <v>101</v>
      </c>
      <c r="C6" s="17" t="s">
        <v>147</v>
      </c>
      <c r="D6" s="20">
        <f t="shared" si="0"/>
        <v>29383.379999999997</v>
      </c>
      <c r="E6" s="15">
        <v>46150</v>
      </c>
      <c r="F6" s="21">
        <v>0</v>
      </c>
      <c r="G6" s="21">
        <v>5172.04</v>
      </c>
      <c r="H6" s="1" t="s">
        <v>148</v>
      </c>
      <c r="I6" s="17" t="s">
        <v>117</v>
      </c>
      <c r="J6" s="9" t="s">
        <v>149</v>
      </c>
      <c r="K6" s="5" t="s">
        <v>172</v>
      </c>
      <c r="L6" s="16"/>
      <c r="M6" s="16"/>
      <c r="N6" s="1"/>
      <c r="O6" s="17"/>
      <c r="P6" s="16"/>
      <c r="Q6" s="1"/>
      <c r="R6" s="1"/>
      <c r="S6" s="1"/>
      <c r="T6" s="22">
        <v>0.22916666666666699</v>
      </c>
      <c r="U6" s="15">
        <v>46150</v>
      </c>
      <c r="V6" s="1" t="s">
        <v>43</v>
      </c>
      <c r="W6" s="1" t="s">
        <v>151</v>
      </c>
      <c r="X6" s="16" t="s">
        <v>101</v>
      </c>
      <c r="Y6" s="1" t="s">
        <v>173</v>
      </c>
      <c r="Z6" s="1" t="s">
        <v>153</v>
      </c>
      <c r="AA6" s="16" t="s">
        <v>174</v>
      </c>
      <c r="AB6" s="5"/>
    </row>
    <row r="7" spans="1:28" ht="25.5" hidden="1" x14ac:dyDescent="0.25">
      <c r="A7" s="23" t="s">
        <v>43</v>
      </c>
      <c r="B7" s="24" t="s">
        <v>101</v>
      </c>
      <c r="C7" s="25" t="s">
        <v>147</v>
      </c>
      <c r="D7" s="26">
        <f t="shared" si="0"/>
        <v>34808.769999999997</v>
      </c>
      <c r="E7" s="27">
        <v>46153</v>
      </c>
      <c r="F7" s="28">
        <v>5425.39</v>
      </c>
      <c r="G7" s="28">
        <v>0</v>
      </c>
      <c r="H7" s="23" t="s">
        <v>155</v>
      </c>
      <c r="I7" s="25" t="s">
        <v>113</v>
      </c>
      <c r="J7" s="29" t="s">
        <v>156</v>
      </c>
      <c r="K7" s="30" t="s">
        <v>175</v>
      </c>
      <c r="L7" s="24"/>
      <c r="M7" s="24"/>
      <c r="N7" s="23"/>
      <c r="O7" s="25"/>
      <c r="P7" s="24"/>
      <c r="Q7" s="23"/>
      <c r="R7" s="23"/>
      <c r="S7" s="23"/>
      <c r="T7" s="31">
        <v>0.17708333333333301</v>
      </c>
      <c r="U7" s="27">
        <v>46153</v>
      </c>
      <c r="V7" s="23" t="s">
        <v>158</v>
      </c>
      <c r="W7" s="23" t="s">
        <v>153</v>
      </c>
      <c r="X7" s="24" t="s">
        <v>159</v>
      </c>
      <c r="Y7" s="23" t="s">
        <v>43</v>
      </c>
      <c r="Z7" s="23" t="s">
        <v>151</v>
      </c>
      <c r="AA7" s="24" t="s">
        <v>101</v>
      </c>
      <c r="AB7" s="30"/>
    </row>
    <row r="8" spans="1:28" ht="25.5" hidden="1" x14ac:dyDescent="0.25">
      <c r="A8" s="1" t="s">
        <v>43</v>
      </c>
      <c r="B8" s="16" t="s">
        <v>101</v>
      </c>
      <c r="C8" s="17" t="s">
        <v>147</v>
      </c>
      <c r="D8" s="20">
        <f t="shared" si="0"/>
        <v>31921.929999999997</v>
      </c>
      <c r="E8" s="15">
        <v>46155</v>
      </c>
      <c r="F8" s="21">
        <v>0</v>
      </c>
      <c r="G8" s="21">
        <v>2886.84</v>
      </c>
      <c r="H8" s="1" t="s">
        <v>148</v>
      </c>
      <c r="I8" s="17" t="s">
        <v>117</v>
      </c>
      <c r="J8" s="9" t="s">
        <v>149</v>
      </c>
      <c r="K8" s="5" t="s">
        <v>176</v>
      </c>
      <c r="L8" s="16"/>
      <c r="M8" s="16"/>
      <c r="N8" s="1"/>
      <c r="O8" s="17"/>
      <c r="P8" s="16"/>
      <c r="Q8" s="1"/>
      <c r="R8" s="1"/>
      <c r="S8" s="1"/>
      <c r="T8" s="22">
        <v>0.22916666666666699</v>
      </c>
      <c r="U8" s="15">
        <v>46155</v>
      </c>
      <c r="V8" s="1" t="s">
        <v>43</v>
      </c>
      <c r="W8" s="1" t="s">
        <v>151</v>
      </c>
      <c r="X8" s="16" t="s">
        <v>101</v>
      </c>
      <c r="Y8" s="1" t="s">
        <v>177</v>
      </c>
      <c r="Z8" s="1" t="s">
        <v>178</v>
      </c>
      <c r="AA8" s="16" t="s">
        <v>179</v>
      </c>
      <c r="AB8" s="5"/>
    </row>
    <row r="9" spans="1:28" ht="25.5" hidden="1" x14ac:dyDescent="0.25">
      <c r="A9" s="23" t="s">
        <v>43</v>
      </c>
      <c r="B9" s="24" t="s">
        <v>101</v>
      </c>
      <c r="C9" s="25" t="s">
        <v>147</v>
      </c>
      <c r="D9" s="26">
        <f t="shared" si="0"/>
        <v>30706.929999999997</v>
      </c>
      <c r="E9" s="27">
        <v>46156</v>
      </c>
      <c r="F9" s="28">
        <v>0</v>
      </c>
      <c r="G9" s="28">
        <v>1215</v>
      </c>
      <c r="H9" s="23" t="s">
        <v>180</v>
      </c>
      <c r="I9" s="25" t="s">
        <v>117</v>
      </c>
      <c r="J9" s="29" t="s">
        <v>181</v>
      </c>
      <c r="K9" s="30" t="s">
        <v>182</v>
      </c>
      <c r="L9" s="24"/>
      <c r="M9" s="24" t="s">
        <v>183</v>
      </c>
      <c r="N9" s="23"/>
      <c r="O9" s="25"/>
      <c r="P9" s="24"/>
      <c r="Q9" s="23"/>
      <c r="R9" s="23"/>
      <c r="S9" s="23"/>
      <c r="T9" s="31">
        <v>0.25694444444444398</v>
      </c>
      <c r="U9" s="27">
        <v>46156</v>
      </c>
      <c r="V9" s="23" t="s">
        <v>43</v>
      </c>
      <c r="W9" s="23" t="s">
        <v>151</v>
      </c>
      <c r="X9" s="24" t="s">
        <v>101</v>
      </c>
      <c r="Y9" s="23" t="s">
        <v>152</v>
      </c>
      <c r="Z9" s="23" t="s">
        <v>153</v>
      </c>
      <c r="AA9" s="24" t="s">
        <v>154</v>
      </c>
      <c r="AB9" s="30" t="s">
        <v>184</v>
      </c>
    </row>
    <row r="10" spans="1:28" ht="25.5" hidden="1" x14ac:dyDescent="0.25">
      <c r="A10" s="1" t="s">
        <v>43</v>
      </c>
      <c r="B10" s="16" t="s">
        <v>101</v>
      </c>
      <c r="C10" s="17" t="s">
        <v>147</v>
      </c>
      <c r="D10" s="20">
        <f t="shared" si="0"/>
        <v>27456.929999999997</v>
      </c>
      <c r="E10" s="15">
        <v>46157</v>
      </c>
      <c r="F10" s="21">
        <v>0</v>
      </c>
      <c r="G10" s="21">
        <v>3250</v>
      </c>
      <c r="H10" s="1" t="s">
        <v>185</v>
      </c>
      <c r="I10" s="17" t="s">
        <v>117</v>
      </c>
      <c r="J10" s="9" t="s">
        <v>181</v>
      </c>
      <c r="K10" s="5" t="s">
        <v>186</v>
      </c>
      <c r="L10" s="16"/>
      <c r="M10" s="16"/>
      <c r="N10" s="1"/>
      <c r="O10" s="17"/>
      <c r="P10" s="16"/>
      <c r="Q10" s="1" t="s">
        <v>187</v>
      </c>
      <c r="R10" s="1"/>
      <c r="S10" s="1"/>
      <c r="T10" s="22">
        <v>0.34166666666666701</v>
      </c>
      <c r="U10" s="15">
        <v>46157</v>
      </c>
      <c r="V10" s="1" t="s">
        <v>43</v>
      </c>
      <c r="W10" s="1" t="s">
        <v>151</v>
      </c>
      <c r="X10" s="16" t="s">
        <v>101</v>
      </c>
      <c r="Y10" s="1" t="s">
        <v>104</v>
      </c>
      <c r="Z10" s="1" t="s">
        <v>151</v>
      </c>
      <c r="AA10" s="16" t="s">
        <v>103</v>
      </c>
      <c r="AB10" s="5"/>
    </row>
    <row r="11" spans="1:28" ht="25.5" hidden="1" x14ac:dyDescent="0.25">
      <c r="A11" s="23" t="s">
        <v>43</v>
      </c>
      <c r="B11" s="24" t="s">
        <v>101</v>
      </c>
      <c r="C11" s="25" t="s">
        <v>147</v>
      </c>
      <c r="D11" s="26">
        <f t="shared" si="0"/>
        <v>33025.06</v>
      </c>
      <c r="E11" s="27">
        <v>46160</v>
      </c>
      <c r="F11" s="28">
        <v>5568.13</v>
      </c>
      <c r="G11" s="28">
        <v>0</v>
      </c>
      <c r="H11" s="23" t="s">
        <v>155</v>
      </c>
      <c r="I11" s="25" t="s">
        <v>113</v>
      </c>
      <c r="J11" s="29" t="s">
        <v>156</v>
      </c>
      <c r="K11" s="30" t="s">
        <v>188</v>
      </c>
      <c r="L11" s="24"/>
      <c r="M11" s="24"/>
      <c r="N11" s="23"/>
      <c r="O11" s="25"/>
      <c r="P11" s="24"/>
      <c r="Q11" s="23"/>
      <c r="R11" s="23"/>
      <c r="S11" s="23"/>
      <c r="T11" s="31">
        <v>0.17708333333333301</v>
      </c>
      <c r="U11" s="27">
        <v>46160</v>
      </c>
      <c r="V11" s="23" t="s">
        <v>158</v>
      </c>
      <c r="W11" s="23" t="s">
        <v>153</v>
      </c>
      <c r="X11" s="24" t="s">
        <v>159</v>
      </c>
      <c r="Y11" s="23" t="s">
        <v>43</v>
      </c>
      <c r="Z11" s="23" t="s">
        <v>151</v>
      </c>
      <c r="AA11" s="24" t="s">
        <v>101</v>
      </c>
      <c r="AB11" s="30"/>
    </row>
    <row r="12" spans="1:28" ht="25.5" hidden="1" x14ac:dyDescent="0.25">
      <c r="A12" s="1" t="s">
        <v>43</v>
      </c>
      <c r="B12" s="16" t="s">
        <v>101</v>
      </c>
      <c r="C12" s="17" t="s">
        <v>147</v>
      </c>
      <c r="D12" s="20">
        <f t="shared" si="0"/>
        <v>32446.199999999997</v>
      </c>
      <c r="E12" s="15">
        <v>46160</v>
      </c>
      <c r="F12" s="21">
        <v>0</v>
      </c>
      <c r="G12" s="21">
        <v>578.86</v>
      </c>
      <c r="H12" s="1" t="s">
        <v>148</v>
      </c>
      <c r="I12" s="17" t="s">
        <v>117</v>
      </c>
      <c r="J12" s="9" t="s">
        <v>149</v>
      </c>
      <c r="K12" s="5" t="s">
        <v>189</v>
      </c>
      <c r="L12" s="16"/>
      <c r="M12" s="16"/>
      <c r="N12" s="1"/>
      <c r="O12" s="17"/>
      <c r="P12" s="16"/>
      <c r="Q12" s="1"/>
      <c r="R12" s="1"/>
      <c r="S12" s="1"/>
      <c r="T12" s="22">
        <v>0.22916666666666699</v>
      </c>
      <c r="U12" s="15">
        <v>46160</v>
      </c>
      <c r="V12" s="1" t="s">
        <v>43</v>
      </c>
      <c r="W12" s="1" t="s">
        <v>151</v>
      </c>
      <c r="X12" s="16" t="s">
        <v>101</v>
      </c>
      <c r="Y12" s="1" t="s">
        <v>190</v>
      </c>
      <c r="Z12" s="1" t="s">
        <v>153</v>
      </c>
      <c r="AA12" s="16" t="s">
        <v>191</v>
      </c>
      <c r="AB12" s="5"/>
    </row>
    <row r="13" spans="1:28" ht="25.5" hidden="1" x14ac:dyDescent="0.25">
      <c r="A13" s="23" t="s">
        <v>43</v>
      </c>
      <c r="B13" s="24" t="s">
        <v>101</v>
      </c>
      <c r="C13" s="25" t="s">
        <v>147</v>
      </c>
      <c r="D13" s="26">
        <f t="shared" si="0"/>
        <v>41846.199999999997</v>
      </c>
      <c r="E13" s="27">
        <v>46161</v>
      </c>
      <c r="F13" s="59">
        <v>9400</v>
      </c>
      <c r="G13" s="28">
        <v>0</v>
      </c>
      <c r="H13" s="23" t="s">
        <v>114</v>
      </c>
      <c r="I13" s="25" t="s">
        <v>113</v>
      </c>
      <c r="J13" s="29" t="s">
        <v>192</v>
      </c>
      <c r="K13" s="30" t="s">
        <v>161</v>
      </c>
      <c r="L13" s="24"/>
      <c r="M13" s="24"/>
      <c r="N13" s="23" t="s">
        <v>162</v>
      </c>
      <c r="O13" s="25" t="s">
        <v>163</v>
      </c>
      <c r="P13" s="24" t="s">
        <v>164</v>
      </c>
      <c r="Q13" s="23" t="s">
        <v>165</v>
      </c>
      <c r="R13" s="23" t="s">
        <v>166</v>
      </c>
      <c r="S13" s="23"/>
      <c r="T13" s="31">
        <v>0.43194444444444502</v>
      </c>
      <c r="U13" s="27">
        <v>46161</v>
      </c>
      <c r="V13" s="23" t="s">
        <v>104</v>
      </c>
      <c r="W13" s="23"/>
      <c r="X13" s="24"/>
      <c r="Y13" s="23" t="s">
        <v>43</v>
      </c>
      <c r="Z13" s="23" t="s">
        <v>151</v>
      </c>
      <c r="AA13" s="24" t="s">
        <v>101</v>
      </c>
      <c r="AB13" s="30" t="s">
        <v>193</v>
      </c>
    </row>
    <row r="14" spans="1:28" ht="38.25" hidden="1" x14ac:dyDescent="0.25">
      <c r="A14" s="1" t="s">
        <v>194</v>
      </c>
      <c r="B14" s="16" t="s">
        <v>101</v>
      </c>
      <c r="C14" s="17" t="s">
        <v>147</v>
      </c>
      <c r="D14" s="20">
        <f t="shared" si="0"/>
        <v>51096.2</v>
      </c>
      <c r="E14" s="15">
        <v>46162</v>
      </c>
      <c r="F14" s="60">
        <v>9250</v>
      </c>
      <c r="G14" s="21">
        <v>0</v>
      </c>
      <c r="H14" s="1" t="s">
        <v>114</v>
      </c>
      <c r="I14" s="17" t="s">
        <v>113</v>
      </c>
      <c r="J14" s="9" t="s">
        <v>192</v>
      </c>
      <c r="K14" s="5" t="s">
        <v>161</v>
      </c>
      <c r="L14" s="16"/>
      <c r="M14" s="16"/>
      <c r="N14" s="1" t="s">
        <v>195</v>
      </c>
      <c r="O14" s="17" t="s">
        <v>163</v>
      </c>
      <c r="P14" s="16" t="s">
        <v>196</v>
      </c>
      <c r="Q14" s="1" t="s">
        <v>197</v>
      </c>
      <c r="R14" s="1" t="s">
        <v>198</v>
      </c>
      <c r="S14" s="1"/>
      <c r="T14" s="22">
        <v>0.49097222222222198</v>
      </c>
      <c r="U14" s="15">
        <v>46162</v>
      </c>
      <c r="V14" s="1" t="s">
        <v>199</v>
      </c>
      <c r="W14" s="1"/>
      <c r="X14" s="16"/>
      <c r="Y14" s="1" t="s">
        <v>43</v>
      </c>
      <c r="Z14" s="1" t="s">
        <v>151</v>
      </c>
      <c r="AA14" s="16" t="s">
        <v>101</v>
      </c>
      <c r="AB14" s="5" t="s">
        <v>200</v>
      </c>
    </row>
    <row r="15" spans="1:28" ht="25.5" hidden="1" x14ac:dyDescent="0.25">
      <c r="A15" s="23" t="s">
        <v>43</v>
      </c>
      <c r="B15" s="24" t="s">
        <v>101</v>
      </c>
      <c r="C15" s="25" t="s">
        <v>147</v>
      </c>
      <c r="D15" s="26">
        <f t="shared" si="0"/>
        <v>45837.729999999996</v>
      </c>
      <c r="E15" s="27">
        <v>46164</v>
      </c>
      <c r="F15" s="28">
        <v>0</v>
      </c>
      <c r="G15" s="28">
        <v>5258.47</v>
      </c>
      <c r="H15" s="23" t="s">
        <v>148</v>
      </c>
      <c r="I15" s="25" t="s">
        <v>117</v>
      </c>
      <c r="J15" s="29" t="s">
        <v>149</v>
      </c>
      <c r="K15" s="30" t="s">
        <v>172</v>
      </c>
      <c r="L15" s="24"/>
      <c r="M15" s="24"/>
      <c r="N15" s="23"/>
      <c r="O15" s="25"/>
      <c r="P15" s="24"/>
      <c r="Q15" s="23"/>
      <c r="R15" s="23"/>
      <c r="S15" s="23"/>
      <c r="T15" s="31">
        <v>0.22916666666666699</v>
      </c>
      <c r="U15" s="27">
        <v>46164</v>
      </c>
      <c r="V15" s="23" t="s">
        <v>43</v>
      </c>
      <c r="W15" s="23" t="s">
        <v>151</v>
      </c>
      <c r="X15" s="24" t="s">
        <v>101</v>
      </c>
      <c r="Y15" s="23" t="s">
        <v>173</v>
      </c>
      <c r="Z15" s="23" t="s">
        <v>153</v>
      </c>
      <c r="AA15" s="24" t="s">
        <v>174</v>
      </c>
      <c r="AB15" s="30"/>
    </row>
    <row r="16" spans="1:28" ht="25.5" hidden="1" x14ac:dyDescent="0.25">
      <c r="A16" s="1" t="s">
        <v>43</v>
      </c>
      <c r="B16" s="16" t="s">
        <v>101</v>
      </c>
      <c r="C16" s="17" t="s">
        <v>147</v>
      </c>
      <c r="D16" s="20">
        <f t="shared" si="0"/>
        <v>51366.31</v>
      </c>
      <c r="E16" s="15">
        <v>46168</v>
      </c>
      <c r="F16" s="21">
        <v>5528.58</v>
      </c>
      <c r="G16" s="21">
        <v>0</v>
      </c>
      <c r="H16" s="1" t="s">
        <v>155</v>
      </c>
      <c r="I16" s="17" t="s">
        <v>113</v>
      </c>
      <c r="J16" s="9" t="s">
        <v>156</v>
      </c>
      <c r="K16" s="5" t="s">
        <v>201</v>
      </c>
      <c r="L16" s="16"/>
      <c r="M16" s="16"/>
      <c r="N16" s="1"/>
      <c r="O16" s="17"/>
      <c r="P16" s="16"/>
      <c r="Q16" s="1"/>
      <c r="R16" s="1"/>
      <c r="S16" s="1"/>
      <c r="T16" s="22">
        <v>0.17708333333333301</v>
      </c>
      <c r="U16" s="15">
        <v>46168</v>
      </c>
      <c r="V16" s="1" t="s">
        <v>158</v>
      </c>
      <c r="W16" s="1" t="s">
        <v>153</v>
      </c>
      <c r="X16" s="16" t="s">
        <v>159</v>
      </c>
      <c r="Y16" s="1" t="s">
        <v>43</v>
      </c>
      <c r="Z16" s="1" t="s">
        <v>151</v>
      </c>
      <c r="AA16" s="16" t="s">
        <v>101</v>
      </c>
      <c r="AB16" s="5"/>
    </row>
    <row r="17" spans="1:28" ht="89.25" x14ac:dyDescent="0.25">
      <c r="A17" s="23" t="s">
        <v>43</v>
      </c>
      <c r="B17" s="24" t="s">
        <v>101</v>
      </c>
      <c r="C17" s="25" t="s">
        <v>147</v>
      </c>
      <c r="D17" s="26">
        <f t="shared" si="0"/>
        <v>26849.909999999996</v>
      </c>
      <c r="E17" s="27">
        <v>46168</v>
      </c>
      <c r="F17" s="28">
        <v>0</v>
      </c>
      <c r="G17" s="28">
        <v>24516.400000000001</v>
      </c>
      <c r="H17" s="61" t="s">
        <v>118</v>
      </c>
      <c r="I17" s="25" t="s">
        <v>117</v>
      </c>
      <c r="J17" s="29" t="s">
        <v>202</v>
      </c>
      <c r="K17" s="30" t="s">
        <v>203</v>
      </c>
      <c r="L17" s="24"/>
      <c r="M17" s="24"/>
      <c r="N17" s="23"/>
      <c r="O17" s="25"/>
      <c r="P17" s="24"/>
      <c r="Q17" s="23" t="s">
        <v>187</v>
      </c>
      <c r="R17" s="23"/>
      <c r="S17" s="23"/>
      <c r="T17" s="31">
        <v>0.42013888888888901</v>
      </c>
      <c r="U17" s="27">
        <v>46168</v>
      </c>
      <c r="V17" s="23" t="s">
        <v>43</v>
      </c>
      <c r="W17" s="23" t="s">
        <v>151</v>
      </c>
      <c r="X17" s="24" t="s">
        <v>101</v>
      </c>
      <c r="Y17" s="23" t="s">
        <v>204</v>
      </c>
      <c r="Z17" s="23" t="s">
        <v>205</v>
      </c>
      <c r="AA17" s="24" t="s">
        <v>206</v>
      </c>
      <c r="AB17" s="30" t="s">
        <v>207</v>
      </c>
    </row>
    <row r="18" spans="1:28" ht="25.5" hidden="1" x14ac:dyDescent="0.25">
      <c r="A18" s="1" t="s">
        <v>43</v>
      </c>
      <c r="B18" s="16" t="s">
        <v>101</v>
      </c>
      <c r="C18" s="17" t="s">
        <v>147</v>
      </c>
      <c r="D18" s="20">
        <f t="shared" si="0"/>
        <v>23560.789999999997</v>
      </c>
      <c r="E18" s="15">
        <v>46169</v>
      </c>
      <c r="F18" s="21">
        <v>0</v>
      </c>
      <c r="G18" s="21">
        <v>3289.12</v>
      </c>
      <c r="H18" s="1" t="s">
        <v>148</v>
      </c>
      <c r="I18" s="17" t="s">
        <v>117</v>
      </c>
      <c r="J18" s="9" t="s">
        <v>149</v>
      </c>
      <c r="K18" s="5" t="s">
        <v>208</v>
      </c>
      <c r="L18" s="16"/>
      <c r="M18" s="16"/>
      <c r="N18" s="1"/>
      <c r="O18" s="17"/>
      <c r="P18" s="16"/>
      <c r="Q18" s="1"/>
      <c r="R18" s="1"/>
      <c r="S18" s="1"/>
      <c r="T18" s="22">
        <v>0.22916666666666699</v>
      </c>
      <c r="U18" s="15">
        <v>46169</v>
      </c>
      <c r="V18" s="1" t="s">
        <v>43</v>
      </c>
      <c r="W18" s="1" t="s">
        <v>151</v>
      </c>
      <c r="X18" s="16" t="s">
        <v>101</v>
      </c>
      <c r="Y18" s="1" t="s">
        <v>177</v>
      </c>
      <c r="Z18" s="1" t="s">
        <v>178</v>
      </c>
      <c r="AA18" s="16" t="s">
        <v>179</v>
      </c>
      <c r="AB18" s="5"/>
    </row>
    <row r="19" spans="1:28" ht="25.5" hidden="1" x14ac:dyDescent="0.25">
      <c r="A19" s="23" t="s">
        <v>43</v>
      </c>
      <c r="B19" s="24" t="s">
        <v>101</v>
      </c>
      <c r="C19" s="25" t="s">
        <v>147</v>
      </c>
      <c r="D19" s="26">
        <f t="shared" si="0"/>
        <v>24765.229999999996</v>
      </c>
      <c r="E19" s="27">
        <v>46170</v>
      </c>
      <c r="F19" s="28">
        <v>1204.44</v>
      </c>
      <c r="G19" s="28">
        <v>0</v>
      </c>
      <c r="H19" s="23" t="s">
        <v>114</v>
      </c>
      <c r="I19" s="25" t="s">
        <v>113</v>
      </c>
      <c r="J19" s="29" t="s">
        <v>168</v>
      </c>
      <c r="K19" s="30" t="s">
        <v>169</v>
      </c>
      <c r="L19" s="24"/>
      <c r="M19" s="24"/>
      <c r="N19" s="23" t="s">
        <v>162</v>
      </c>
      <c r="O19" s="25" t="s">
        <v>163</v>
      </c>
      <c r="P19" s="24" t="s">
        <v>164</v>
      </c>
      <c r="Q19" s="23" t="s">
        <v>165</v>
      </c>
      <c r="R19" s="23" t="s">
        <v>170</v>
      </c>
      <c r="S19" s="23"/>
      <c r="T19" s="31">
        <v>0.29513888888888901</v>
      </c>
      <c r="U19" s="27">
        <v>46170</v>
      </c>
      <c r="V19" s="23" t="s">
        <v>43</v>
      </c>
      <c r="W19" s="23"/>
      <c r="X19" s="24"/>
      <c r="Y19" s="23" t="s">
        <v>43</v>
      </c>
      <c r="Z19" s="23" t="s">
        <v>151</v>
      </c>
      <c r="AA19" s="24" t="s">
        <v>101</v>
      </c>
      <c r="AB19" s="30" t="s">
        <v>171</v>
      </c>
    </row>
    <row r="20" spans="1:28" ht="63.75" hidden="1" x14ac:dyDescent="0.25">
      <c r="A20" s="1" t="s">
        <v>43</v>
      </c>
      <c r="B20" s="16" t="s">
        <v>101</v>
      </c>
      <c r="C20" s="17" t="s">
        <v>147</v>
      </c>
      <c r="D20" s="20">
        <f t="shared" si="0"/>
        <v>24639.689999999995</v>
      </c>
      <c r="E20" s="15">
        <v>46171</v>
      </c>
      <c r="F20" s="21">
        <v>0</v>
      </c>
      <c r="G20" s="21">
        <v>125.54</v>
      </c>
      <c r="H20" s="1" t="s">
        <v>209</v>
      </c>
      <c r="I20" s="17" t="s">
        <v>117</v>
      </c>
      <c r="J20" s="9" t="s">
        <v>181</v>
      </c>
      <c r="K20" s="5" t="s">
        <v>210</v>
      </c>
      <c r="L20" s="16"/>
      <c r="M20" s="16"/>
      <c r="N20" s="1"/>
      <c r="O20" s="17"/>
      <c r="P20" s="16"/>
      <c r="Q20" s="1"/>
      <c r="R20" s="1"/>
      <c r="S20" s="1"/>
      <c r="T20" s="22">
        <v>0.97916666666666696</v>
      </c>
      <c r="U20" s="15">
        <v>46171</v>
      </c>
      <c r="V20" s="1"/>
      <c r="W20" s="1"/>
      <c r="X20" s="16"/>
      <c r="Y20" s="1"/>
      <c r="Z20" s="1"/>
      <c r="AA20" s="16"/>
      <c r="AB20" s="5" t="s">
        <v>211</v>
      </c>
    </row>
    <row r="21" spans="1:28" ht="25.5" hidden="1" x14ac:dyDescent="0.25">
      <c r="A21" s="23" t="s">
        <v>43</v>
      </c>
      <c r="B21" s="24" t="s">
        <v>101</v>
      </c>
      <c r="C21" s="25" t="s">
        <v>147</v>
      </c>
      <c r="D21" s="26">
        <f t="shared" si="0"/>
        <v>29749.389999999996</v>
      </c>
      <c r="E21" s="27">
        <v>46174</v>
      </c>
      <c r="F21" s="28">
        <v>5109.7</v>
      </c>
      <c r="G21" s="28">
        <v>0</v>
      </c>
      <c r="H21" s="23" t="s">
        <v>155</v>
      </c>
      <c r="I21" s="25" t="s">
        <v>113</v>
      </c>
      <c r="J21" s="29" t="s">
        <v>156</v>
      </c>
      <c r="K21" s="30" t="s">
        <v>212</v>
      </c>
      <c r="L21" s="24"/>
      <c r="M21" s="24"/>
      <c r="N21" s="23"/>
      <c r="O21" s="25"/>
      <c r="P21" s="24"/>
      <c r="Q21" s="23"/>
      <c r="R21" s="23"/>
      <c r="S21" s="23"/>
      <c r="T21" s="31">
        <v>0.17708333333333301</v>
      </c>
      <c r="U21" s="27">
        <v>46174</v>
      </c>
      <c r="V21" s="23" t="s">
        <v>158</v>
      </c>
      <c r="W21" s="23" t="s">
        <v>153</v>
      </c>
      <c r="X21" s="24" t="s">
        <v>159</v>
      </c>
      <c r="Y21" s="23" t="s">
        <v>43</v>
      </c>
      <c r="Z21" s="23" t="s">
        <v>151</v>
      </c>
      <c r="AA21" s="24" t="s">
        <v>101</v>
      </c>
      <c r="AB21" s="30"/>
    </row>
    <row r="22" spans="1:28" ht="25.5" hidden="1" x14ac:dyDescent="0.25">
      <c r="A22" s="1" t="s">
        <v>43</v>
      </c>
      <c r="B22" s="16" t="s">
        <v>101</v>
      </c>
      <c r="C22" s="17" t="s">
        <v>147</v>
      </c>
      <c r="D22" s="20">
        <f t="shared" si="0"/>
        <v>24899.389999999996</v>
      </c>
      <c r="E22" s="15">
        <v>46174</v>
      </c>
      <c r="F22" s="21">
        <v>0</v>
      </c>
      <c r="G22" s="21">
        <v>4850</v>
      </c>
      <c r="H22" s="1" t="s">
        <v>148</v>
      </c>
      <c r="I22" s="17" t="s">
        <v>117</v>
      </c>
      <c r="J22" s="9" t="s">
        <v>149</v>
      </c>
      <c r="K22" s="5" t="s">
        <v>213</v>
      </c>
      <c r="L22" s="16"/>
      <c r="M22" s="16"/>
      <c r="N22" s="1"/>
      <c r="O22" s="17"/>
      <c r="P22" s="16"/>
      <c r="Q22" s="1"/>
      <c r="R22" s="1"/>
      <c r="S22" s="1"/>
      <c r="T22" s="22">
        <v>0.22916666666666699</v>
      </c>
      <c r="U22" s="15">
        <v>46174</v>
      </c>
      <c r="V22" s="1" t="s">
        <v>43</v>
      </c>
      <c r="W22" s="1" t="s">
        <v>151</v>
      </c>
      <c r="X22" s="16" t="s">
        <v>101</v>
      </c>
      <c r="Y22" s="1" t="s">
        <v>152</v>
      </c>
      <c r="Z22" s="1" t="s">
        <v>153</v>
      </c>
      <c r="AA22" s="16" t="s">
        <v>154</v>
      </c>
      <c r="AB22" s="5"/>
    </row>
    <row r="23" spans="1:28" ht="25.5" hidden="1" x14ac:dyDescent="0.25">
      <c r="A23" s="23" t="s">
        <v>43</v>
      </c>
      <c r="B23" s="24" t="s">
        <v>101</v>
      </c>
      <c r="C23" s="25" t="s">
        <v>147</v>
      </c>
      <c r="D23" s="26">
        <f t="shared" si="0"/>
        <v>19807.729999999996</v>
      </c>
      <c r="E23" s="27">
        <v>46178</v>
      </c>
      <c r="F23" s="28">
        <v>0</v>
      </c>
      <c r="G23" s="28">
        <v>5091.66</v>
      </c>
      <c r="H23" s="23" t="s">
        <v>148</v>
      </c>
      <c r="I23" s="25" t="s">
        <v>117</v>
      </c>
      <c r="J23" s="29" t="s">
        <v>149</v>
      </c>
      <c r="K23" s="30" t="s">
        <v>172</v>
      </c>
      <c r="L23" s="24"/>
      <c r="M23" s="24"/>
      <c r="N23" s="23"/>
      <c r="O23" s="25"/>
      <c r="P23" s="24"/>
      <c r="Q23" s="23"/>
      <c r="R23" s="23"/>
      <c r="S23" s="23"/>
      <c r="T23" s="31">
        <v>0.22916666666666699</v>
      </c>
      <c r="U23" s="27">
        <v>46178</v>
      </c>
      <c r="V23" s="23" t="s">
        <v>43</v>
      </c>
      <c r="W23" s="23" t="s">
        <v>151</v>
      </c>
      <c r="X23" s="24" t="s">
        <v>101</v>
      </c>
      <c r="Y23" s="23" t="s">
        <v>173</v>
      </c>
      <c r="Z23" s="23" t="s">
        <v>153</v>
      </c>
      <c r="AA23" s="24" t="s">
        <v>174</v>
      </c>
      <c r="AB23" s="30"/>
    </row>
    <row r="24" spans="1:28" ht="25.5" hidden="1" x14ac:dyDescent="0.25">
      <c r="A24" s="1" t="s">
        <v>43</v>
      </c>
      <c r="B24" s="16" t="s">
        <v>101</v>
      </c>
      <c r="C24" s="17" t="s">
        <v>147</v>
      </c>
      <c r="D24" s="20">
        <f t="shared" si="0"/>
        <v>25135.179999999997</v>
      </c>
      <c r="E24" s="15">
        <v>46181</v>
      </c>
      <c r="F24" s="21">
        <v>5327.45</v>
      </c>
      <c r="G24" s="21">
        <v>0</v>
      </c>
      <c r="H24" s="1" t="s">
        <v>155</v>
      </c>
      <c r="I24" s="17" t="s">
        <v>113</v>
      </c>
      <c r="J24" s="9" t="s">
        <v>156</v>
      </c>
      <c r="K24" s="5" t="s">
        <v>214</v>
      </c>
      <c r="L24" s="16"/>
      <c r="M24" s="16"/>
      <c r="N24" s="1"/>
      <c r="O24" s="17"/>
      <c r="P24" s="16"/>
      <c r="Q24" s="1"/>
      <c r="R24" s="1"/>
      <c r="S24" s="1"/>
      <c r="T24" s="22">
        <v>0.17708333333333301</v>
      </c>
      <c r="U24" s="15">
        <v>46181</v>
      </c>
      <c r="V24" s="1" t="s">
        <v>158</v>
      </c>
      <c r="W24" s="1" t="s">
        <v>153</v>
      </c>
      <c r="X24" s="16" t="s">
        <v>159</v>
      </c>
      <c r="Y24" s="1" t="s">
        <v>43</v>
      </c>
      <c r="Z24" s="1" t="s">
        <v>151</v>
      </c>
      <c r="AA24" s="16" t="s">
        <v>101</v>
      </c>
      <c r="AB24" s="5"/>
    </row>
    <row r="25" spans="1:28" ht="63.75" hidden="1" x14ac:dyDescent="0.25">
      <c r="A25" s="23" t="s">
        <v>43</v>
      </c>
      <c r="B25" s="24" t="s">
        <v>101</v>
      </c>
      <c r="C25" s="25" t="s">
        <v>147</v>
      </c>
      <c r="D25" s="26">
        <f t="shared" si="0"/>
        <v>34935.179999999993</v>
      </c>
      <c r="E25" s="27">
        <v>46181</v>
      </c>
      <c r="F25" s="59">
        <v>9800</v>
      </c>
      <c r="G25" s="28">
        <v>0</v>
      </c>
      <c r="H25" s="23" t="s">
        <v>114</v>
      </c>
      <c r="I25" s="25" t="s">
        <v>113</v>
      </c>
      <c r="J25" s="29" t="s">
        <v>192</v>
      </c>
      <c r="K25" s="30" t="s">
        <v>161</v>
      </c>
      <c r="L25" s="24"/>
      <c r="M25" s="24"/>
      <c r="N25" s="23" t="s">
        <v>162</v>
      </c>
      <c r="O25" s="25" t="s">
        <v>163</v>
      </c>
      <c r="P25" s="24" t="s">
        <v>164</v>
      </c>
      <c r="Q25" s="23" t="s">
        <v>165</v>
      </c>
      <c r="R25" s="23" t="s">
        <v>166</v>
      </c>
      <c r="S25" s="23"/>
      <c r="T25" s="31">
        <v>0.40347222222222201</v>
      </c>
      <c r="U25" s="27">
        <v>46181</v>
      </c>
      <c r="V25" s="23" t="s">
        <v>104</v>
      </c>
      <c r="W25" s="23"/>
      <c r="X25" s="24"/>
      <c r="Y25" s="23" t="s">
        <v>43</v>
      </c>
      <c r="Z25" s="23" t="s">
        <v>151</v>
      </c>
      <c r="AA25" s="24" t="s">
        <v>101</v>
      </c>
      <c r="AB25" s="30" t="s">
        <v>215</v>
      </c>
    </row>
    <row r="26" spans="1:28" ht="76.5" hidden="1" x14ac:dyDescent="0.25">
      <c r="A26" s="1" t="s">
        <v>194</v>
      </c>
      <c r="B26" s="16" t="s">
        <v>101</v>
      </c>
      <c r="C26" s="17" t="s">
        <v>147</v>
      </c>
      <c r="D26" s="20">
        <f t="shared" si="0"/>
        <v>43535.179999999993</v>
      </c>
      <c r="E26" s="15">
        <v>46181</v>
      </c>
      <c r="F26" s="60">
        <v>8600</v>
      </c>
      <c r="G26" s="21">
        <v>0</v>
      </c>
      <c r="H26" s="1" t="s">
        <v>114</v>
      </c>
      <c r="I26" s="17" t="s">
        <v>113</v>
      </c>
      <c r="J26" s="9" t="s">
        <v>192</v>
      </c>
      <c r="K26" s="5" t="s">
        <v>161</v>
      </c>
      <c r="L26" s="16"/>
      <c r="M26" s="16"/>
      <c r="N26" s="1" t="s">
        <v>195</v>
      </c>
      <c r="O26" s="17" t="s">
        <v>163</v>
      </c>
      <c r="P26" s="16" t="s">
        <v>196</v>
      </c>
      <c r="Q26" s="1" t="s">
        <v>197</v>
      </c>
      <c r="R26" s="1" t="s">
        <v>198</v>
      </c>
      <c r="S26" s="1"/>
      <c r="T26" s="22">
        <v>0.47638888888888897</v>
      </c>
      <c r="U26" s="15">
        <v>46181</v>
      </c>
      <c r="V26" s="1" t="s">
        <v>199</v>
      </c>
      <c r="W26" s="1"/>
      <c r="X26" s="16"/>
      <c r="Y26" s="1" t="s">
        <v>43</v>
      </c>
      <c r="Z26" s="1" t="s">
        <v>151</v>
      </c>
      <c r="AA26" s="16" t="s">
        <v>101</v>
      </c>
      <c r="AB26" s="5" t="s">
        <v>216</v>
      </c>
    </row>
    <row r="27" spans="1:28" ht="25.5" hidden="1" x14ac:dyDescent="0.25">
      <c r="A27" s="23" t="s">
        <v>43</v>
      </c>
      <c r="B27" s="24" t="s">
        <v>101</v>
      </c>
      <c r="C27" s="25" t="s">
        <v>147</v>
      </c>
      <c r="D27" s="26">
        <f t="shared" si="0"/>
        <v>40562.119999999995</v>
      </c>
      <c r="E27" s="27">
        <v>46183</v>
      </c>
      <c r="F27" s="28">
        <v>0</v>
      </c>
      <c r="G27" s="28">
        <v>2973.06</v>
      </c>
      <c r="H27" s="23" t="s">
        <v>148</v>
      </c>
      <c r="I27" s="25" t="s">
        <v>117</v>
      </c>
      <c r="J27" s="29" t="s">
        <v>149</v>
      </c>
      <c r="K27" s="30" t="s">
        <v>217</v>
      </c>
      <c r="L27" s="24"/>
      <c r="M27" s="24"/>
      <c r="N27" s="23"/>
      <c r="O27" s="25"/>
      <c r="P27" s="24"/>
      <c r="Q27" s="23"/>
      <c r="R27" s="23"/>
      <c r="S27" s="23"/>
      <c r="T27" s="31">
        <v>0.22916666666666699</v>
      </c>
      <c r="U27" s="27">
        <v>46183</v>
      </c>
      <c r="V27" s="23" t="s">
        <v>43</v>
      </c>
      <c r="W27" s="23" t="s">
        <v>151</v>
      </c>
      <c r="X27" s="24" t="s">
        <v>101</v>
      </c>
      <c r="Y27" s="23" t="s">
        <v>177</v>
      </c>
      <c r="Z27" s="23" t="s">
        <v>178</v>
      </c>
      <c r="AA27" s="24" t="s">
        <v>179</v>
      </c>
      <c r="AB27" s="30"/>
    </row>
    <row r="28" spans="1:28" ht="25.5" hidden="1" x14ac:dyDescent="0.25">
      <c r="A28" s="1" t="s">
        <v>43</v>
      </c>
      <c r="B28" s="16" t="s">
        <v>101</v>
      </c>
      <c r="C28" s="17" t="s">
        <v>147</v>
      </c>
      <c r="D28" s="20">
        <f t="shared" si="0"/>
        <v>49712.119999999995</v>
      </c>
      <c r="E28" s="15">
        <v>46183</v>
      </c>
      <c r="F28" s="60">
        <v>9150</v>
      </c>
      <c r="G28" s="21">
        <v>0</v>
      </c>
      <c r="H28" s="1" t="s">
        <v>114</v>
      </c>
      <c r="I28" s="17" t="s">
        <v>113</v>
      </c>
      <c r="J28" s="9" t="s">
        <v>192</v>
      </c>
      <c r="K28" s="5" t="s">
        <v>161</v>
      </c>
      <c r="L28" s="16"/>
      <c r="M28" s="16"/>
      <c r="N28" s="1" t="s">
        <v>218</v>
      </c>
      <c r="O28" s="17" t="s">
        <v>163</v>
      </c>
      <c r="P28" s="16" t="s">
        <v>219</v>
      </c>
      <c r="Q28" s="1" t="s">
        <v>220</v>
      </c>
      <c r="R28" s="1" t="s">
        <v>221</v>
      </c>
      <c r="S28" s="1"/>
      <c r="T28" s="22">
        <v>0.63333333333333297</v>
      </c>
      <c r="U28" s="15">
        <v>46183</v>
      </c>
      <c r="V28" s="1" t="s">
        <v>104</v>
      </c>
      <c r="W28" s="1"/>
      <c r="X28" s="16"/>
      <c r="Y28" s="1" t="s">
        <v>43</v>
      </c>
      <c r="Z28" s="1" t="s">
        <v>151</v>
      </c>
      <c r="AA28" s="16" t="s">
        <v>101</v>
      </c>
      <c r="AB28" s="5" t="s">
        <v>193</v>
      </c>
    </row>
    <row r="29" spans="1:28" ht="25.5" hidden="1" x14ac:dyDescent="0.25">
      <c r="A29" s="23" t="s">
        <v>43</v>
      </c>
      <c r="B29" s="24" t="s">
        <v>101</v>
      </c>
      <c r="C29" s="25" t="s">
        <v>147</v>
      </c>
      <c r="D29" s="26">
        <f t="shared" si="0"/>
        <v>50783.509999999995</v>
      </c>
      <c r="E29" s="27">
        <v>46184</v>
      </c>
      <c r="F29" s="28">
        <v>1071.3900000000001</v>
      </c>
      <c r="G29" s="28">
        <v>0</v>
      </c>
      <c r="H29" s="23" t="s">
        <v>114</v>
      </c>
      <c r="I29" s="25" t="s">
        <v>113</v>
      </c>
      <c r="J29" s="29" t="s">
        <v>168</v>
      </c>
      <c r="K29" s="30" t="s">
        <v>169</v>
      </c>
      <c r="L29" s="24"/>
      <c r="M29" s="24"/>
      <c r="N29" s="23" t="s">
        <v>162</v>
      </c>
      <c r="O29" s="25" t="s">
        <v>163</v>
      </c>
      <c r="P29" s="24" t="s">
        <v>164</v>
      </c>
      <c r="Q29" s="23" t="s">
        <v>165</v>
      </c>
      <c r="R29" s="23" t="s">
        <v>170</v>
      </c>
      <c r="S29" s="23"/>
      <c r="T29" s="31">
        <v>0.29513888888888901</v>
      </c>
      <c r="U29" s="27">
        <v>46184</v>
      </c>
      <c r="V29" s="23" t="s">
        <v>43</v>
      </c>
      <c r="W29" s="23"/>
      <c r="X29" s="24"/>
      <c r="Y29" s="23" t="s">
        <v>43</v>
      </c>
      <c r="Z29" s="23" t="s">
        <v>151</v>
      </c>
      <c r="AA29" s="24" t="s">
        <v>101</v>
      </c>
      <c r="AB29" s="30" t="s">
        <v>171</v>
      </c>
    </row>
    <row r="30" spans="1:28" ht="38.25" hidden="1" x14ac:dyDescent="0.25">
      <c r="A30" s="1" t="s">
        <v>43</v>
      </c>
      <c r="B30" s="16" t="s">
        <v>101</v>
      </c>
      <c r="C30" s="17" t="s">
        <v>147</v>
      </c>
      <c r="D30" s="20">
        <f t="shared" si="0"/>
        <v>35783.509999999995</v>
      </c>
      <c r="E30" s="15">
        <v>46185</v>
      </c>
      <c r="F30" s="21">
        <v>0</v>
      </c>
      <c r="G30" s="21">
        <v>15000</v>
      </c>
      <c r="H30" s="62" t="s">
        <v>118</v>
      </c>
      <c r="I30" s="17" t="s">
        <v>117</v>
      </c>
      <c r="J30" s="9" t="s">
        <v>222</v>
      </c>
      <c r="K30" s="5" t="s">
        <v>223</v>
      </c>
      <c r="L30" s="16"/>
      <c r="M30" s="16"/>
      <c r="N30" s="1"/>
      <c r="O30" s="17"/>
      <c r="P30" s="16"/>
      <c r="Q30" s="1" t="s">
        <v>187</v>
      </c>
      <c r="R30" s="1"/>
      <c r="S30" s="1"/>
      <c r="T30" s="22">
        <v>0.46458333333333302</v>
      </c>
      <c r="U30" s="15">
        <v>46185</v>
      </c>
      <c r="V30" s="1" t="s">
        <v>43</v>
      </c>
      <c r="W30" s="1" t="s">
        <v>151</v>
      </c>
      <c r="X30" s="16" t="s">
        <v>101</v>
      </c>
      <c r="Y30" s="1" t="s">
        <v>224</v>
      </c>
      <c r="Z30" s="1" t="s">
        <v>225</v>
      </c>
      <c r="AA30" s="16" t="s">
        <v>226</v>
      </c>
      <c r="AB30" s="5" t="s">
        <v>227</v>
      </c>
    </row>
    <row r="31" spans="1:28" ht="25.5" hidden="1" x14ac:dyDescent="0.25">
      <c r="A31" s="23" t="s">
        <v>43</v>
      </c>
      <c r="B31" s="24" t="s">
        <v>101</v>
      </c>
      <c r="C31" s="25" t="s">
        <v>147</v>
      </c>
      <c r="D31" s="26">
        <f t="shared" si="0"/>
        <v>41309.979999999996</v>
      </c>
      <c r="E31" s="27">
        <v>46188</v>
      </c>
      <c r="F31" s="28">
        <v>5526.47</v>
      </c>
      <c r="G31" s="28">
        <v>0</v>
      </c>
      <c r="H31" s="23" t="s">
        <v>155</v>
      </c>
      <c r="I31" s="25" t="s">
        <v>113</v>
      </c>
      <c r="J31" s="29" t="s">
        <v>156</v>
      </c>
      <c r="K31" s="30" t="s">
        <v>228</v>
      </c>
      <c r="L31" s="24"/>
      <c r="M31" s="24"/>
      <c r="N31" s="23"/>
      <c r="O31" s="25"/>
      <c r="P31" s="24"/>
      <c r="Q31" s="23"/>
      <c r="R31" s="23"/>
      <c r="S31" s="23"/>
      <c r="T31" s="31">
        <v>0.17708333333333301</v>
      </c>
      <c r="U31" s="27">
        <v>46188</v>
      </c>
      <c r="V31" s="23" t="s">
        <v>158</v>
      </c>
      <c r="W31" s="23" t="s">
        <v>153</v>
      </c>
      <c r="X31" s="24" t="s">
        <v>159</v>
      </c>
      <c r="Y31" s="23" t="s">
        <v>43</v>
      </c>
      <c r="Z31" s="23" t="s">
        <v>151</v>
      </c>
      <c r="AA31" s="24" t="s">
        <v>101</v>
      </c>
      <c r="AB31" s="30"/>
    </row>
    <row r="32" spans="1:28" ht="25.5" hidden="1" x14ac:dyDescent="0.25">
      <c r="A32" s="1" t="s">
        <v>43</v>
      </c>
      <c r="B32" s="16" t="s">
        <v>101</v>
      </c>
      <c r="C32" s="17" t="s">
        <v>147</v>
      </c>
      <c r="D32" s="20">
        <f t="shared" si="0"/>
        <v>38059.979999999996</v>
      </c>
      <c r="E32" s="15">
        <v>46188</v>
      </c>
      <c r="F32" s="21">
        <v>0</v>
      </c>
      <c r="G32" s="21">
        <v>3250</v>
      </c>
      <c r="H32" s="1" t="s">
        <v>185</v>
      </c>
      <c r="I32" s="17" t="s">
        <v>117</v>
      </c>
      <c r="J32" s="9" t="s">
        <v>181</v>
      </c>
      <c r="K32" s="5" t="s">
        <v>186</v>
      </c>
      <c r="L32" s="16"/>
      <c r="M32" s="16"/>
      <c r="N32" s="1"/>
      <c r="O32" s="17"/>
      <c r="P32" s="16"/>
      <c r="Q32" s="1" t="s">
        <v>187</v>
      </c>
      <c r="R32" s="1"/>
      <c r="S32" s="1"/>
      <c r="T32" s="22">
        <v>0.34166666666666701</v>
      </c>
      <c r="U32" s="15">
        <v>46188</v>
      </c>
      <c r="V32" s="1" t="s">
        <v>43</v>
      </c>
      <c r="W32" s="1" t="s">
        <v>151</v>
      </c>
      <c r="X32" s="16" t="s">
        <v>101</v>
      </c>
      <c r="Y32" s="1" t="s">
        <v>104</v>
      </c>
      <c r="Z32" s="1" t="s">
        <v>151</v>
      </c>
      <c r="AA32" s="16" t="s">
        <v>103</v>
      </c>
      <c r="AB32" s="5"/>
    </row>
    <row r="33" spans="1:28" ht="76.5" x14ac:dyDescent="0.25">
      <c r="A33" s="23" t="s">
        <v>43</v>
      </c>
      <c r="B33" s="24" t="s">
        <v>101</v>
      </c>
      <c r="C33" s="25" t="s">
        <v>147</v>
      </c>
      <c r="D33" s="26">
        <f t="shared" si="0"/>
        <v>18277.829999999994</v>
      </c>
      <c r="E33" s="27">
        <v>46188</v>
      </c>
      <c r="F33" s="28">
        <v>0</v>
      </c>
      <c r="G33" s="28">
        <v>19782.150000000001</v>
      </c>
      <c r="H33" s="61" t="s">
        <v>118</v>
      </c>
      <c r="I33" s="25" t="s">
        <v>117</v>
      </c>
      <c r="J33" s="29" t="s">
        <v>202</v>
      </c>
      <c r="K33" s="30" t="s">
        <v>203</v>
      </c>
      <c r="L33" s="24"/>
      <c r="M33" s="24"/>
      <c r="N33" s="23"/>
      <c r="O33" s="25"/>
      <c r="P33" s="24"/>
      <c r="Q33" s="23" t="s">
        <v>187</v>
      </c>
      <c r="R33" s="23"/>
      <c r="S33" s="23"/>
      <c r="T33" s="31">
        <v>0.438194444444444</v>
      </c>
      <c r="U33" s="27">
        <v>46188</v>
      </c>
      <c r="V33" s="23" t="s">
        <v>43</v>
      </c>
      <c r="W33" s="23" t="s">
        <v>151</v>
      </c>
      <c r="X33" s="24" t="s">
        <v>101</v>
      </c>
      <c r="Y33" s="23" t="s">
        <v>204</v>
      </c>
      <c r="Z33" s="23" t="s">
        <v>205</v>
      </c>
      <c r="AA33" s="24" t="s">
        <v>206</v>
      </c>
      <c r="AB33" s="30" t="s">
        <v>229</v>
      </c>
    </row>
    <row r="34" spans="1:28" ht="25.5" hidden="1" x14ac:dyDescent="0.25">
      <c r="A34" s="1" t="s">
        <v>43</v>
      </c>
      <c r="B34" s="16" t="s">
        <v>101</v>
      </c>
      <c r="C34" s="17" t="s">
        <v>147</v>
      </c>
      <c r="D34" s="20">
        <f t="shared" si="0"/>
        <v>17649.689999999995</v>
      </c>
      <c r="E34" s="15">
        <v>46190</v>
      </c>
      <c r="F34" s="21">
        <v>0</v>
      </c>
      <c r="G34" s="21">
        <v>628.14</v>
      </c>
      <c r="H34" s="1" t="s">
        <v>148</v>
      </c>
      <c r="I34" s="17" t="s">
        <v>117</v>
      </c>
      <c r="J34" s="9" t="s">
        <v>149</v>
      </c>
      <c r="K34" s="5" t="s">
        <v>189</v>
      </c>
      <c r="L34" s="16"/>
      <c r="M34" s="16"/>
      <c r="N34" s="1"/>
      <c r="O34" s="17"/>
      <c r="P34" s="16"/>
      <c r="Q34" s="1"/>
      <c r="R34" s="1"/>
      <c r="S34" s="1"/>
      <c r="T34" s="22">
        <v>0.22916666666666699</v>
      </c>
      <c r="U34" s="15">
        <v>46190</v>
      </c>
      <c r="V34" s="1" t="s">
        <v>43</v>
      </c>
      <c r="W34" s="1" t="s">
        <v>151</v>
      </c>
      <c r="X34" s="16" t="s">
        <v>101</v>
      </c>
      <c r="Y34" s="1" t="s">
        <v>190</v>
      </c>
      <c r="Z34" s="1" t="s">
        <v>153</v>
      </c>
      <c r="AA34" s="16" t="s">
        <v>191</v>
      </c>
      <c r="AB34" s="5"/>
    </row>
    <row r="35" spans="1:28" ht="25.5" hidden="1" x14ac:dyDescent="0.25">
      <c r="A35" s="23" t="s">
        <v>43</v>
      </c>
      <c r="B35" s="24" t="s">
        <v>101</v>
      </c>
      <c r="C35" s="25" t="s">
        <v>147</v>
      </c>
      <c r="D35" s="26">
        <f t="shared" ref="D35:D66" si="1">D34+F35-G35</f>
        <v>12737.509999999995</v>
      </c>
      <c r="E35" s="27">
        <v>46191</v>
      </c>
      <c r="F35" s="28">
        <v>0</v>
      </c>
      <c r="G35" s="28">
        <v>4912.18</v>
      </c>
      <c r="H35" s="23" t="s">
        <v>148</v>
      </c>
      <c r="I35" s="25" t="s">
        <v>117</v>
      </c>
      <c r="J35" s="29" t="s">
        <v>149</v>
      </c>
      <c r="K35" s="30" t="s">
        <v>172</v>
      </c>
      <c r="L35" s="24"/>
      <c r="M35" s="24"/>
      <c r="N35" s="23"/>
      <c r="O35" s="25"/>
      <c r="P35" s="24"/>
      <c r="Q35" s="23"/>
      <c r="R35" s="23"/>
      <c r="S35" s="23"/>
      <c r="T35" s="31">
        <v>0.22916666666666699</v>
      </c>
      <c r="U35" s="27">
        <v>46191</v>
      </c>
      <c r="V35" s="23" t="s">
        <v>43</v>
      </c>
      <c r="W35" s="23" t="s">
        <v>151</v>
      </c>
      <c r="X35" s="24" t="s">
        <v>101</v>
      </c>
      <c r="Y35" s="23" t="s">
        <v>173</v>
      </c>
      <c r="Z35" s="23" t="s">
        <v>153</v>
      </c>
      <c r="AA35" s="24" t="s">
        <v>174</v>
      </c>
      <c r="AB35" s="30"/>
    </row>
    <row r="36" spans="1:28" ht="25.5" hidden="1" x14ac:dyDescent="0.25">
      <c r="A36" s="1" t="s">
        <v>43</v>
      </c>
      <c r="B36" s="16" t="s">
        <v>101</v>
      </c>
      <c r="C36" s="17" t="s">
        <v>147</v>
      </c>
      <c r="D36" s="20">
        <f t="shared" si="1"/>
        <v>18111.979999999996</v>
      </c>
      <c r="E36" s="15">
        <v>46195</v>
      </c>
      <c r="F36" s="21">
        <v>5374.47</v>
      </c>
      <c r="G36" s="21">
        <v>0</v>
      </c>
      <c r="H36" s="1" t="s">
        <v>155</v>
      </c>
      <c r="I36" s="17" t="s">
        <v>113</v>
      </c>
      <c r="J36" s="9" t="s">
        <v>156</v>
      </c>
      <c r="K36" s="5" t="s">
        <v>230</v>
      </c>
      <c r="L36" s="16"/>
      <c r="M36" s="16"/>
      <c r="N36" s="1"/>
      <c r="O36" s="17"/>
      <c r="P36" s="16"/>
      <c r="Q36" s="1"/>
      <c r="R36" s="1"/>
      <c r="S36" s="1"/>
      <c r="T36" s="22">
        <v>0.17708333333333301</v>
      </c>
      <c r="U36" s="15">
        <v>46195</v>
      </c>
      <c r="V36" s="1" t="s">
        <v>158</v>
      </c>
      <c r="W36" s="1" t="s">
        <v>153</v>
      </c>
      <c r="X36" s="16" t="s">
        <v>159</v>
      </c>
      <c r="Y36" s="1" t="s">
        <v>43</v>
      </c>
      <c r="Z36" s="1" t="s">
        <v>151</v>
      </c>
      <c r="AA36" s="16" t="s">
        <v>101</v>
      </c>
      <c r="AB36" s="5"/>
    </row>
    <row r="37" spans="1:28" ht="38.25" hidden="1" x14ac:dyDescent="0.25">
      <c r="A37" s="23" t="s">
        <v>43</v>
      </c>
      <c r="B37" s="24" t="s">
        <v>101</v>
      </c>
      <c r="C37" s="25" t="s">
        <v>147</v>
      </c>
      <c r="D37" s="26">
        <f t="shared" si="1"/>
        <v>36761.979999999996</v>
      </c>
      <c r="E37" s="27">
        <v>46195</v>
      </c>
      <c r="F37" s="28">
        <v>18650</v>
      </c>
      <c r="G37" s="28">
        <v>0</v>
      </c>
      <c r="H37" s="23" t="s">
        <v>148</v>
      </c>
      <c r="I37" s="25" t="s">
        <v>113</v>
      </c>
      <c r="J37" s="29" t="s">
        <v>231</v>
      </c>
      <c r="K37" s="30" t="s">
        <v>232</v>
      </c>
      <c r="L37" s="24"/>
      <c r="M37" s="24"/>
      <c r="N37" s="23"/>
      <c r="O37" s="25"/>
      <c r="P37" s="24"/>
      <c r="Q37" s="23"/>
      <c r="R37" s="23"/>
      <c r="S37" s="23"/>
      <c r="T37" s="31">
        <v>0.22916666666666699</v>
      </c>
      <c r="U37" s="27">
        <v>46195</v>
      </c>
      <c r="V37" s="23" t="s">
        <v>233</v>
      </c>
      <c r="W37" s="23" t="s">
        <v>153</v>
      </c>
      <c r="X37" s="24" t="s">
        <v>234</v>
      </c>
      <c r="Y37" s="23" t="s">
        <v>43</v>
      </c>
      <c r="Z37" s="23" t="s">
        <v>151</v>
      </c>
      <c r="AA37" s="24" t="s">
        <v>101</v>
      </c>
      <c r="AB37" s="30" t="s">
        <v>235</v>
      </c>
    </row>
    <row r="38" spans="1:28" ht="25.5" hidden="1" x14ac:dyDescent="0.25">
      <c r="A38" s="1" t="s">
        <v>43</v>
      </c>
      <c r="B38" s="16" t="s">
        <v>101</v>
      </c>
      <c r="C38" s="17" t="s">
        <v>147</v>
      </c>
      <c r="D38" s="20">
        <f t="shared" si="1"/>
        <v>33674.46</v>
      </c>
      <c r="E38" s="15">
        <v>46197</v>
      </c>
      <c r="F38" s="21">
        <v>0</v>
      </c>
      <c r="G38" s="21">
        <v>3087.52</v>
      </c>
      <c r="H38" s="1" t="s">
        <v>148</v>
      </c>
      <c r="I38" s="17" t="s">
        <v>117</v>
      </c>
      <c r="J38" s="9" t="s">
        <v>149</v>
      </c>
      <c r="K38" s="5" t="s">
        <v>236</v>
      </c>
      <c r="L38" s="16"/>
      <c r="M38" s="16"/>
      <c r="N38" s="1"/>
      <c r="O38" s="17"/>
      <c r="P38" s="16"/>
      <c r="Q38" s="1"/>
      <c r="R38" s="1"/>
      <c r="S38" s="1"/>
      <c r="T38" s="22">
        <v>0.22916666666666699</v>
      </c>
      <c r="U38" s="15">
        <v>46197</v>
      </c>
      <c r="V38" s="1" t="s">
        <v>43</v>
      </c>
      <c r="W38" s="1" t="s">
        <v>151</v>
      </c>
      <c r="X38" s="16" t="s">
        <v>101</v>
      </c>
      <c r="Y38" s="1" t="s">
        <v>177</v>
      </c>
      <c r="Z38" s="1" t="s">
        <v>178</v>
      </c>
      <c r="AA38" s="16" t="s">
        <v>179</v>
      </c>
      <c r="AB38" s="5"/>
    </row>
    <row r="39" spans="1:28" ht="25.5" hidden="1" x14ac:dyDescent="0.25">
      <c r="A39" s="23" t="s">
        <v>43</v>
      </c>
      <c r="B39" s="24" t="s">
        <v>101</v>
      </c>
      <c r="C39" s="25" t="s">
        <v>147</v>
      </c>
      <c r="D39" s="26">
        <f t="shared" si="1"/>
        <v>34917.049999999996</v>
      </c>
      <c r="E39" s="27">
        <v>46198</v>
      </c>
      <c r="F39" s="28">
        <v>1242.5899999999999</v>
      </c>
      <c r="G39" s="28">
        <v>0</v>
      </c>
      <c r="H39" s="23" t="s">
        <v>114</v>
      </c>
      <c r="I39" s="25" t="s">
        <v>113</v>
      </c>
      <c r="J39" s="29" t="s">
        <v>168</v>
      </c>
      <c r="K39" s="30" t="s">
        <v>169</v>
      </c>
      <c r="L39" s="24"/>
      <c r="M39" s="24"/>
      <c r="N39" s="23" t="s">
        <v>162</v>
      </c>
      <c r="O39" s="25" t="s">
        <v>163</v>
      </c>
      <c r="P39" s="24" t="s">
        <v>164</v>
      </c>
      <c r="Q39" s="23" t="s">
        <v>165</v>
      </c>
      <c r="R39" s="23" t="s">
        <v>170</v>
      </c>
      <c r="S39" s="23"/>
      <c r="T39" s="31">
        <v>0.29513888888888901</v>
      </c>
      <c r="U39" s="27">
        <v>46198</v>
      </c>
      <c r="V39" s="23" t="s">
        <v>43</v>
      </c>
      <c r="W39" s="23"/>
      <c r="X39" s="24"/>
      <c r="Y39" s="23" t="s">
        <v>43</v>
      </c>
      <c r="Z39" s="23" t="s">
        <v>151</v>
      </c>
      <c r="AA39" s="24" t="s">
        <v>101</v>
      </c>
      <c r="AB39" s="30" t="s">
        <v>171</v>
      </c>
    </row>
    <row r="40" spans="1:28" ht="25.5" hidden="1" x14ac:dyDescent="0.25">
      <c r="A40" s="1" t="s">
        <v>43</v>
      </c>
      <c r="B40" s="16" t="s">
        <v>101</v>
      </c>
      <c r="C40" s="17" t="s">
        <v>147</v>
      </c>
      <c r="D40" s="20">
        <f t="shared" si="1"/>
        <v>23117.049999999996</v>
      </c>
      <c r="E40" s="15">
        <v>46199</v>
      </c>
      <c r="F40" s="21">
        <v>0</v>
      </c>
      <c r="G40" s="21">
        <v>11800</v>
      </c>
      <c r="H40" s="1" t="s">
        <v>180</v>
      </c>
      <c r="I40" s="17" t="s">
        <v>117</v>
      </c>
      <c r="J40" s="9" t="s">
        <v>231</v>
      </c>
      <c r="K40" s="5" t="s">
        <v>237</v>
      </c>
      <c r="L40" s="16"/>
      <c r="M40" s="16" t="s">
        <v>238</v>
      </c>
      <c r="N40" s="1"/>
      <c r="O40" s="17"/>
      <c r="P40" s="16"/>
      <c r="Q40" s="1"/>
      <c r="R40" s="1"/>
      <c r="S40" s="1"/>
      <c r="T40" s="22">
        <v>0.25694444444444398</v>
      </c>
      <c r="U40" s="15">
        <v>46199</v>
      </c>
      <c r="V40" s="1" t="s">
        <v>43</v>
      </c>
      <c r="W40" s="1" t="s">
        <v>151</v>
      </c>
      <c r="X40" s="16" t="s">
        <v>101</v>
      </c>
      <c r="Y40" s="1" t="s">
        <v>239</v>
      </c>
      <c r="Z40" s="1" t="s">
        <v>178</v>
      </c>
      <c r="AA40" s="16" t="s">
        <v>240</v>
      </c>
      <c r="AB40" s="5" t="s">
        <v>241</v>
      </c>
    </row>
    <row r="41" spans="1:28" ht="25.5" hidden="1" x14ac:dyDescent="0.25">
      <c r="A41" s="23" t="s">
        <v>43</v>
      </c>
      <c r="B41" s="24" t="s">
        <v>101</v>
      </c>
      <c r="C41" s="25" t="s">
        <v>147</v>
      </c>
      <c r="D41" s="26">
        <f t="shared" si="1"/>
        <v>28531.079999999994</v>
      </c>
      <c r="E41" s="27">
        <v>46202</v>
      </c>
      <c r="F41" s="28">
        <v>5414.03</v>
      </c>
      <c r="G41" s="28">
        <v>0</v>
      </c>
      <c r="H41" s="23" t="s">
        <v>155</v>
      </c>
      <c r="I41" s="25" t="s">
        <v>113</v>
      </c>
      <c r="J41" s="29" t="s">
        <v>156</v>
      </c>
      <c r="K41" s="30" t="s">
        <v>242</v>
      </c>
      <c r="L41" s="24"/>
      <c r="M41" s="24"/>
      <c r="N41" s="23"/>
      <c r="O41" s="25"/>
      <c r="P41" s="24"/>
      <c r="Q41" s="23"/>
      <c r="R41" s="23"/>
      <c r="S41" s="23"/>
      <c r="T41" s="31">
        <v>0.17708333333333301</v>
      </c>
      <c r="U41" s="27">
        <v>46202</v>
      </c>
      <c r="V41" s="23" t="s">
        <v>158</v>
      </c>
      <c r="W41" s="23" t="s">
        <v>153</v>
      </c>
      <c r="X41" s="24" t="s">
        <v>159</v>
      </c>
      <c r="Y41" s="23" t="s">
        <v>43</v>
      </c>
      <c r="Z41" s="23" t="s">
        <v>151</v>
      </c>
      <c r="AA41" s="24" t="s">
        <v>101</v>
      </c>
      <c r="AB41" s="30"/>
    </row>
    <row r="42" spans="1:28" ht="25.5" hidden="1" x14ac:dyDescent="0.25">
      <c r="A42" s="1" t="s">
        <v>43</v>
      </c>
      <c r="B42" s="16" t="s">
        <v>101</v>
      </c>
      <c r="C42" s="17" t="s">
        <v>147</v>
      </c>
      <c r="D42" s="20">
        <f t="shared" si="1"/>
        <v>38131.079999999994</v>
      </c>
      <c r="E42" s="15">
        <v>46202</v>
      </c>
      <c r="F42" s="60">
        <v>9600</v>
      </c>
      <c r="G42" s="21">
        <v>0</v>
      </c>
      <c r="H42" s="1" t="s">
        <v>114</v>
      </c>
      <c r="I42" s="17" t="s">
        <v>113</v>
      </c>
      <c r="J42" s="9" t="s">
        <v>192</v>
      </c>
      <c r="K42" s="5" t="s">
        <v>161</v>
      </c>
      <c r="L42" s="16"/>
      <c r="M42" s="16"/>
      <c r="N42" s="1" t="s">
        <v>162</v>
      </c>
      <c r="O42" s="17" t="s">
        <v>163</v>
      </c>
      <c r="P42" s="16" t="s">
        <v>164</v>
      </c>
      <c r="Q42" s="1" t="s">
        <v>165</v>
      </c>
      <c r="R42" s="1" t="s">
        <v>166</v>
      </c>
      <c r="S42" s="1"/>
      <c r="T42" s="22">
        <v>0.41875000000000001</v>
      </c>
      <c r="U42" s="15">
        <v>46202</v>
      </c>
      <c r="V42" s="1" t="s">
        <v>104</v>
      </c>
      <c r="W42" s="1"/>
      <c r="X42" s="16"/>
      <c r="Y42" s="1" t="s">
        <v>43</v>
      </c>
      <c r="Z42" s="1" t="s">
        <v>151</v>
      </c>
      <c r="AA42" s="16" t="s">
        <v>101</v>
      </c>
      <c r="AB42" s="5" t="s">
        <v>193</v>
      </c>
    </row>
    <row r="43" spans="1:28" ht="25.5" hidden="1" x14ac:dyDescent="0.25">
      <c r="A43" s="23" t="s">
        <v>43</v>
      </c>
      <c r="B43" s="24" t="s">
        <v>101</v>
      </c>
      <c r="C43" s="25" t="s">
        <v>147</v>
      </c>
      <c r="D43" s="26">
        <f t="shared" si="1"/>
        <v>32191.079999999994</v>
      </c>
      <c r="E43" s="27">
        <v>46203</v>
      </c>
      <c r="F43" s="28">
        <v>0</v>
      </c>
      <c r="G43" s="28">
        <v>5940</v>
      </c>
      <c r="H43" s="23" t="s">
        <v>148</v>
      </c>
      <c r="I43" s="25" t="s">
        <v>117</v>
      </c>
      <c r="J43" s="29" t="s">
        <v>231</v>
      </c>
      <c r="K43" s="30" t="s">
        <v>243</v>
      </c>
      <c r="L43" s="24"/>
      <c r="M43" s="24"/>
      <c r="N43" s="23"/>
      <c r="O43" s="25"/>
      <c r="P43" s="24"/>
      <c r="Q43" s="23"/>
      <c r="R43" s="23"/>
      <c r="S43" s="23"/>
      <c r="T43" s="31">
        <v>0.22916666666666699</v>
      </c>
      <c r="U43" s="27">
        <v>46203</v>
      </c>
      <c r="V43" s="23" t="s">
        <v>43</v>
      </c>
      <c r="W43" s="23" t="s">
        <v>151</v>
      </c>
      <c r="X43" s="24" t="s">
        <v>101</v>
      </c>
      <c r="Y43" s="23" t="s">
        <v>244</v>
      </c>
      <c r="Z43" s="23" t="s">
        <v>153</v>
      </c>
      <c r="AA43" s="24" t="s">
        <v>245</v>
      </c>
      <c r="AB43" s="30" t="s">
        <v>246</v>
      </c>
    </row>
    <row r="44" spans="1:28" ht="63.75" hidden="1" x14ac:dyDescent="0.25">
      <c r="A44" s="1" t="s">
        <v>43</v>
      </c>
      <c r="B44" s="16" t="s">
        <v>101</v>
      </c>
      <c r="C44" s="17" t="s">
        <v>147</v>
      </c>
      <c r="D44" s="20">
        <f t="shared" si="1"/>
        <v>32024.879999999994</v>
      </c>
      <c r="E44" s="15">
        <v>46203</v>
      </c>
      <c r="F44" s="21">
        <v>0</v>
      </c>
      <c r="G44" s="21">
        <v>166.2</v>
      </c>
      <c r="H44" s="1" t="s">
        <v>209</v>
      </c>
      <c r="I44" s="17" t="s">
        <v>117</v>
      </c>
      <c r="J44" s="9" t="s">
        <v>181</v>
      </c>
      <c r="K44" s="5" t="s">
        <v>247</v>
      </c>
      <c r="L44" s="16"/>
      <c r="M44" s="16"/>
      <c r="N44" s="1"/>
      <c r="O44" s="17"/>
      <c r="P44" s="16"/>
      <c r="Q44" s="1"/>
      <c r="R44" s="1"/>
      <c r="S44" s="1"/>
      <c r="T44" s="22">
        <v>0.97916666666666696</v>
      </c>
      <c r="U44" s="15">
        <v>46203</v>
      </c>
      <c r="V44" s="1"/>
      <c r="W44" s="1"/>
      <c r="X44" s="16"/>
      <c r="Y44" s="1"/>
      <c r="Z44" s="1"/>
      <c r="AA44" s="16"/>
      <c r="AB44" s="5" t="s">
        <v>248</v>
      </c>
    </row>
    <row r="45" spans="1:28" ht="25.5" hidden="1" x14ac:dyDescent="0.25">
      <c r="A45" s="23" t="s">
        <v>43</v>
      </c>
      <c r="B45" s="24" t="s">
        <v>101</v>
      </c>
      <c r="C45" s="25" t="s">
        <v>147</v>
      </c>
      <c r="D45" s="26">
        <f t="shared" si="1"/>
        <v>27174.879999999994</v>
      </c>
      <c r="E45" s="27">
        <v>46204</v>
      </c>
      <c r="F45" s="28">
        <v>0</v>
      </c>
      <c r="G45" s="28">
        <v>4850</v>
      </c>
      <c r="H45" s="23" t="s">
        <v>148</v>
      </c>
      <c r="I45" s="25" t="s">
        <v>117</v>
      </c>
      <c r="J45" s="29" t="s">
        <v>149</v>
      </c>
      <c r="K45" s="30" t="s">
        <v>249</v>
      </c>
      <c r="L45" s="24"/>
      <c r="M45" s="24"/>
      <c r="N45" s="23"/>
      <c r="O45" s="25"/>
      <c r="P45" s="24"/>
      <c r="Q45" s="23"/>
      <c r="R45" s="23"/>
      <c r="S45" s="23"/>
      <c r="T45" s="31">
        <v>0.22916666666666699</v>
      </c>
      <c r="U45" s="27">
        <v>46204</v>
      </c>
      <c r="V45" s="23" t="s">
        <v>43</v>
      </c>
      <c r="W45" s="23" t="s">
        <v>151</v>
      </c>
      <c r="X45" s="24" t="s">
        <v>101</v>
      </c>
      <c r="Y45" s="23" t="s">
        <v>152</v>
      </c>
      <c r="Z45" s="23" t="s">
        <v>153</v>
      </c>
      <c r="AA45" s="24" t="s">
        <v>154</v>
      </c>
      <c r="AB45" s="30"/>
    </row>
    <row r="46" spans="1:28" ht="38.25" hidden="1" x14ac:dyDescent="0.25">
      <c r="A46" s="1" t="s">
        <v>194</v>
      </c>
      <c r="B46" s="16" t="s">
        <v>101</v>
      </c>
      <c r="C46" s="17" t="s">
        <v>147</v>
      </c>
      <c r="D46" s="20">
        <f t="shared" si="1"/>
        <v>36024.87999999999</v>
      </c>
      <c r="E46" s="15">
        <v>46204</v>
      </c>
      <c r="F46" s="60">
        <v>8850</v>
      </c>
      <c r="G46" s="21">
        <v>0</v>
      </c>
      <c r="H46" s="1" t="s">
        <v>114</v>
      </c>
      <c r="I46" s="17" t="s">
        <v>113</v>
      </c>
      <c r="J46" s="9" t="s">
        <v>192</v>
      </c>
      <c r="K46" s="5" t="s">
        <v>161</v>
      </c>
      <c r="L46" s="16"/>
      <c r="M46" s="16"/>
      <c r="N46" s="1" t="s">
        <v>195</v>
      </c>
      <c r="O46" s="17" t="s">
        <v>163</v>
      </c>
      <c r="P46" s="16" t="s">
        <v>196</v>
      </c>
      <c r="Q46" s="1" t="s">
        <v>197</v>
      </c>
      <c r="R46" s="1" t="s">
        <v>198</v>
      </c>
      <c r="S46" s="1"/>
      <c r="T46" s="22">
        <v>0.49861111111111101</v>
      </c>
      <c r="U46" s="15">
        <v>46204</v>
      </c>
      <c r="V46" s="1" t="s">
        <v>199</v>
      </c>
      <c r="W46" s="1"/>
      <c r="X46" s="16"/>
      <c r="Y46" s="1" t="s">
        <v>43</v>
      </c>
      <c r="Z46" s="1" t="s">
        <v>151</v>
      </c>
      <c r="AA46" s="16" t="s">
        <v>101</v>
      </c>
      <c r="AB46" s="5" t="s">
        <v>200</v>
      </c>
    </row>
    <row r="47" spans="1:28" ht="25.5" hidden="1" x14ac:dyDescent="0.25">
      <c r="A47" s="23" t="s">
        <v>43</v>
      </c>
      <c r="B47" s="24" t="s">
        <v>101</v>
      </c>
      <c r="C47" s="25" t="s">
        <v>147</v>
      </c>
      <c r="D47" s="26">
        <f t="shared" si="1"/>
        <v>31094.639999999992</v>
      </c>
      <c r="E47" s="27">
        <v>46205</v>
      </c>
      <c r="F47" s="28">
        <v>0</v>
      </c>
      <c r="G47" s="28">
        <v>4930.24</v>
      </c>
      <c r="H47" s="23" t="s">
        <v>148</v>
      </c>
      <c r="I47" s="25" t="s">
        <v>117</v>
      </c>
      <c r="J47" s="29" t="s">
        <v>149</v>
      </c>
      <c r="K47" s="30" t="s">
        <v>172</v>
      </c>
      <c r="L47" s="24"/>
      <c r="M47" s="24"/>
      <c r="N47" s="23"/>
      <c r="O47" s="25"/>
      <c r="P47" s="24"/>
      <c r="Q47" s="23"/>
      <c r="R47" s="23"/>
      <c r="S47" s="23"/>
      <c r="T47" s="31">
        <v>0.22916666666666699</v>
      </c>
      <c r="U47" s="27">
        <v>46205</v>
      </c>
      <c r="V47" s="23" t="s">
        <v>43</v>
      </c>
      <c r="W47" s="23" t="s">
        <v>151</v>
      </c>
      <c r="X47" s="24" t="s">
        <v>101</v>
      </c>
      <c r="Y47" s="23" t="s">
        <v>173</v>
      </c>
      <c r="Z47" s="23" t="s">
        <v>153</v>
      </c>
      <c r="AA47" s="24" t="s">
        <v>174</v>
      </c>
      <c r="AB47" s="30"/>
    </row>
    <row r="48" spans="1:28" ht="25.5" hidden="1" x14ac:dyDescent="0.25">
      <c r="A48" s="1" t="s">
        <v>43</v>
      </c>
      <c r="B48" s="16" t="s">
        <v>101</v>
      </c>
      <c r="C48" s="17" t="s">
        <v>147</v>
      </c>
      <c r="D48" s="20">
        <f t="shared" si="1"/>
        <v>36476.339999999989</v>
      </c>
      <c r="E48" s="15">
        <v>46209</v>
      </c>
      <c r="F48" s="21">
        <v>5381.7</v>
      </c>
      <c r="G48" s="21">
        <v>0</v>
      </c>
      <c r="H48" s="1" t="s">
        <v>155</v>
      </c>
      <c r="I48" s="17" t="s">
        <v>113</v>
      </c>
      <c r="J48" s="9" t="s">
        <v>156</v>
      </c>
      <c r="K48" s="5" t="s">
        <v>250</v>
      </c>
      <c r="L48" s="16"/>
      <c r="M48" s="16"/>
      <c r="N48" s="1"/>
      <c r="O48" s="17"/>
      <c r="P48" s="16"/>
      <c r="Q48" s="1"/>
      <c r="R48" s="1"/>
      <c r="S48" s="1"/>
      <c r="T48" s="22">
        <v>0.17708333333333301</v>
      </c>
      <c r="U48" s="15">
        <v>46209</v>
      </c>
      <c r="V48" s="1" t="s">
        <v>158</v>
      </c>
      <c r="W48" s="1" t="s">
        <v>153</v>
      </c>
      <c r="X48" s="16" t="s">
        <v>159</v>
      </c>
      <c r="Y48" s="1" t="s">
        <v>43</v>
      </c>
      <c r="Z48" s="1" t="s">
        <v>151</v>
      </c>
      <c r="AA48" s="16" t="s">
        <v>101</v>
      </c>
      <c r="AB48" s="5"/>
    </row>
    <row r="49" spans="1:28" ht="25.5" hidden="1" x14ac:dyDescent="0.25">
      <c r="A49" s="23" t="s">
        <v>43</v>
      </c>
      <c r="B49" s="24" t="s">
        <v>101</v>
      </c>
      <c r="C49" s="25" t="s">
        <v>147</v>
      </c>
      <c r="D49" s="26">
        <f t="shared" si="1"/>
        <v>46426.339999999989</v>
      </c>
      <c r="E49" s="27">
        <v>46209</v>
      </c>
      <c r="F49" s="59">
        <v>9950</v>
      </c>
      <c r="G49" s="28">
        <v>0</v>
      </c>
      <c r="H49" s="23" t="s">
        <v>114</v>
      </c>
      <c r="I49" s="25" t="s">
        <v>113</v>
      </c>
      <c r="J49" s="29" t="s">
        <v>192</v>
      </c>
      <c r="K49" s="30" t="s">
        <v>161</v>
      </c>
      <c r="L49" s="24"/>
      <c r="M49" s="24"/>
      <c r="N49" s="23" t="s">
        <v>218</v>
      </c>
      <c r="O49" s="25" t="s">
        <v>163</v>
      </c>
      <c r="P49" s="24" t="s">
        <v>219</v>
      </c>
      <c r="Q49" s="23" t="s">
        <v>220</v>
      </c>
      <c r="R49" s="23" t="s">
        <v>221</v>
      </c>
      <c r="S49" s="23"/>
      <c r="T49" s="31">
        <v>0.59791666666666698</v>
      </c>
      <c r="U49" s="27">
        <v>46209</v>
      </c>
      <c r="V49" s="23" t="s">
        <v>104</v>
      </c>
      <c r="W49" s="23"/>
      <c r="X49" s="24"/>
      <c r="Y49" s="23" t="s">
        <v>43</v>
      </c>
      <c r="Z49" s="23" t="s">
        <v>151</v>
      </c>
      <c r="AA49" s="24" t="s">
        <v>101</v>
      </c>
      <c r="AB49" s="30" t="s">
        <v>193</v>
      </c>
    </row>
    <row r="50" spans="1:28" ht="25.5" hidden="1" x14ac:dyDescent="0.25">
      <c r="A50" s="1" t="s">
        <v>43</v>
      </c>
      <c r="B50" s="16" t="s">
        <v>101</v>
      </c>
      <c r="C50" s="17" t="s">
        <v>147</v>
      </c>
      <c r="D50" s="20">
        <f t="shared" si="1"/>
        <v>43737.069999999992</v>
      </c>
      <c r="E50" s="15">
        <v>46211</v>
      </c>
      <c r="F50" s="21">
        <v>0</v>
      </c>
      <c r="G50" s="21">
        <v>2689.27</v>
      </c>
      <c r="H50" s="1" t="s">
        <v>148</v>
      </c>
      <c r="I50" s="17" t="s">
        <v>117</v>
      </c>
      <c r="J50" s="9" t="s">
        <v>149</v>
      </c>
      <c r="K50" s="5" t="s">
        <v>251</v>
      </c>
      <c r="L50" s="16"/>
      <c r="M50" s="16"/>
      <c r="N50" s="1"/>
      <c r="O50" s="17"/>
      <c r="P50" s="16"/>
      <c r="Q50" s="1"/>
      <c r="R50" s="1"/>
      <c r="S50" s="1"/>
      <c r="T50" s="22">
        <v>0.22916666666666699</v>
      </c>
      <c r="U50" s="15">
        <v>46211</v>
      </c>
      <c r="V50" s="1" t="s">
        <v>43</v>
      </c>
      <c r="W50" s="1" t="s">
        <v>151</v>
      </c>
      <c r="X50" s="16" t="s">
        <v>101</v>
      </c>
      <c r="Y50" s="1" t="s">
        <v>177</v>
      </c>
      <c r="Z50" s="1" t="s">
        <v>178</v>
      </c>
      <c r="AA50" s="16" t="s">
        <v>179</v>
      </c>
      <c r="AB50" s="5"/>
    </row>
    <row r="51" spans="1:28" ht="25.5" hidden="1" x14ac:dyDescent="0.25">
      <c r="A51" s="23" t="s">
        <v>43</v>
      </c>
      <c r="B51" s="24" t="s">
        <v>101</v>
      </c>
      <c r="C51" s="25" t="s">
        <v>147</v>
      </c>
      <c r="D51" s="26">
        <f t="shared" si="1"/>
        <v>45133.619999999995</v>
      </c>
      <c r="E51" s="27">
        <v>46212</v>
      </c>
      <c r="F51" s="28">
        <v>1396.55</v>
      </c>
      <c r="G51" s="28">
        <v>0</v>
      </c>
      <c r="H51" s="23" t="s">
        <v>114</v>
      </c>
      <c r="I51" s="25" t="s">
        <v>113</v>
      </c>
      <c r="J51" s="29" t="s">
        <v>168</v>
      </c>
      <c r="K51" s="30" t="s">
        <v>169</v>
      </c>
      <c r="L51" s="24"/>
      <c r="M51" s="24"/>
      <c r="N51" s="23" t="s">
        <v>162</v>
      </c>
      <c r="O51" s="25" t="s">
        <v>163</v>
      </c>
      <c r="P51" s="24" t="s">
        <v>164</v>
      </c>
      <c r="Q51" s="23" t="s">
        <v>165</v>
      </c>
      <c r="R51" s="23" t="s">
        <v>170</v>
      </c>
      <c r="S51" s="23"/>
      <c r="T51" s="31">
        <v>0.29513888888888901</v>
      </c>
      <c r="U51" s="27">
        <v>46212</v>
      </c>
      <c r="V51" s="23" t="s">
        <v>43</v>
      </c>
      <c r="W51" s="23"/>
      <c r="X51" s="24"/>
      <c r="Y51" s="23" t="s">
        <v>43</v>
      </c>
      <c r="Z51" s="23" t="s">
        <v>151</v>
      </c>
      <c r="AA51" s="24" t="s">
        <v>101</v>
      </c>
      <c r="AB51" s="30" t="s">
        <v>171</v>
      </c>
    </row>
    <row r="52" spans="1:28" ht="76.5" x14ac:dyDescent="0.25">
      <c r="A52" s="1" t="s">
        <v>43</v>
      </c>
      <c r="B52" s="16" t="s">
        <v>101</v>
      </c>
      <c r="C52" s="17" t="s">
        <v>147</v>
      </c>
      <c r="D52" s="20">
        <f t="shared" si="1"/>
        <v>17298.019999999997</v>
      </c>
      <c r="E52" s="15">
        <v>46212</v>
      </c>
      <c r="F52" s="21">
        <v>0</v>
      </c>
      <c r="G52" s="21">
        <v>27835.599999999999</v>
      </c>
      <c r="H52" s="1" t="s">
        <v>118</v>
      </c>
      <c r="I52" s="17" t="s">
        <v>117</v>
      </c>
      <c r="J52" s="9" t="s">
        <v>252</v>
      </c>
      <c r="K52" s="5" t="s">
        <v>253</v>
      </c>
      <c r="L52" s="16"/>
      <c r="M52" s="16"/>
      <c r="N52" s="1"/>
      <c r="O52" s="17"/>
      <c r="P52" s="16"/>
      <c r="Q52" s="1" t="s">
        <v>187</v>
      </c>
      <c r="R52" s="1"/>
      <c r="S52" s="1"/>
      <c r="T52" s="22">
        <v>0.44722222222222202</v>
      </c>
      <c r="U52" s="15">
        <v>46212</v>
      </c>
      <c r="V52" s="1" t="s">
        <v>43</v>
      </c>
      <c r="W52" s="1" t="s">
        <v>151</v>
      </c>
      <c r="X52" s="16" t="s">
        <v>101</v>
      </c>
      <c r="Y52" s="1" t="s">
        <v>254</v>
      </c>
      <c r="Z52" s="1" t="s">
        <v>205</v>
      </c>
      <c r="AA52" s="16" t="s">
        <v>206</v>
      </c>
      <c r="AB52" s="5" t="s">
        <v>255</v>
      </c>
    </row>
    <row r="53" spans="1:28" ht="25.5" hidden="1" x14ac:dyDescent="0.25">
      <c r="A53" s="23" t="s">
        <v>43</v>
      </c>
      <c r="B53" s="24" t="s">
        <v>101</v>
      </c>
      <c r="C53" s="25" t="s">
        <v>147</v>
      </c>
      <c r="D53" s="26">
        <f t="shared" si="1"/>
        <v>22752.339999999997</v>
      </c>
      <c r="E53" s="27">
        <v>46216</v>
      </c>
      <c r="F53" s="28">
        <v>5454.32</v>
      </c>
      <c r="G53" s="28">
        <v>0</v>
      </c>
      <c r="H53" s="23" t="s">
        <v>155</v>
      </c>
      <c r="I53" s="25" t="s">
        <v>113</v>
      </c>
      <c r="J53" s="29" t="s">
        <v>156</v>
      </c>
      <c r="K53" s="30" t="s">
        <v>256</v>
      </c>
      <c r="L53" s="24"/>
      <c r="M53" s="24"/>
      <c r="N53" s="23"/>
      <c r="O53" s="25"/>
      <c r="P53" s="24"/>
      <c r="Q53" s="23"/>
      <c r="R53" s="23"/>
      <c r="S53" s="23"/>
      <c r="T53" s="31">
        <v>0.17708333333333301</v>
      </c>
      <c r="U53" s="27">
        <v>46216</v>
      </c>
      <c r="V53" s="23" t="s">
        <v>158</v>
      </c>
      <c r="W53" s="23" t="s">
        <v>153</v>
      </c>
      <c r="X53" s="24" t="s">
        <v>159</v>
      </c>
      <c r="Y53" s="23" t="s">
        <v>43</v>
      </c>
      <c r="Z53" s="23" t="s">
        <v>151</v>
      </c>
      <c r="AA53" s="24" t="s">
        <v>101</v>
      </c>
      <c r="AB53" s="30"/>
    </row>
    <row r="54" spans="1:28" ht="51" hidden="1" x14ac:dyDescent="0.25">
      <c r="A54" s="1" t="s">
        <v>43</v>
      </c>
      <c r="B54" s="16" t="s">
        <v>101</v>
      </c>
      <c r="C54" s="17" t="s">
        <v>147</v>
      </c>
      <c r="D54" s="20">
        <f t="shared" si="1"/>
        <v>50545.439999999995</v>
      </c>
      <c r="E54" s="15">
        <v>46217</v>
      </c>
      <c r="F54" s="21">
        <v>27793.1</v>
      </c>
      <c r="G54" s="21">
        <v>0</v>
      </c>
      <c r="H54" s="1" t="s">
        <v>118</v>
      </c>
      <c r="I54" s="17" t="s">
        <v>113</v>
      </c>
      <c r="J54" s="9" t="s">
        <v>252</v>
      </c>
      <c r="K54" s="5" t="s">
        <v>257</v>
      </c>
      <c r="L54" s="16"/>
      <c r="M54" s="16"/>
      <c r="N54" s="1"/>
      <c r="O54" s="17"/>
      <c r="P54" s="16"/>
      <c r="Q54" s="1"/>
      <c r="R54" s="1"/>
      <c r="S54" s="1"/>
      <c r="T54" s="22">
        <v>0.55555555555555602</v>
      </c>
      <c r="U54" s="15">
        <v>46217</v>
      </c>
      <c r="V54" s="1" t="s">
        <v>254</v>
      </c>
      <c r="W54" s="1" t="s">
        <v>205</v>
      </c>
      <c r="X54" s="16" t="s">
        <v>206</v>
      </c>
      <c r="Y54" s="1" t="s">
        <v>43</v>
      </c>
      <c r="Z54" s="1" t="s">
        <v>151</v>
      </c>
      <c r="AA54" s="16" t="s">
        <v>101</v>
      </c>
      <c r="AB54" s="5" t="s">
        <v>258</v>
      </c>
    </row>
    <row r="55" spans="1:28" ht="25.5" hidden="1" x14ac:dyDescent="0.25">
      <c r="A55" s="23" t="s">
        <v>43</v>
      </c>
      <c r="B55" s="24" t="s">
        <v>101</v>
      </c>
      <c r="C55" s="25" t="s">
        <v>147</v>
      </c>
      <c r="D55" s="26">
        <f t="shared" si="1"/>
        <v>47295.439999999995</v>
      </c>
      <c r="E55" s="27">
        <v>46218</v>
      </c>
      <c r="F55" s="28">
        <v>0</v>
      </c>
      <c r="G55" s="28">
        <v>3250</v>
      </c>
      <c r="H55" s="23" t="s">
        <v>185</v>
      </c>
      <c r="I55" s="25" t="s">
        <v>117</v>
      </c>
      <c r="J55" s="29" t="s">
        <v>181</v>
      </c>
      <c r="K55" s="30" t="s">
        <v>186</v>
      </c>
      <c r="L55" s="24"/>
      <c r="M55" s="24"/>
      <c r="N55" s="23"/>
      <c r="O55" s="25"/>
      <c r="P55" s="24"/>
      <c r="Q55" s="23" t="s">
        <v>187</v>
      </c>
      <c r="R55" s="23"/>
      <c r="S55" s="23"/>
      <c r="T55" s="31">
        <v>0.34166666666666701</v>
      </c>
      <c r="U55" s="27">
        <v>46218</v>
      </c>
      <c r="V55" s="23" t="s">
        <v>43</v>
      </c>
      <c r="W55" s="23" t="s">
        <v>151</v>
      </c>
      <c r="X55" s="24" t="s">
        <v>101</v>
      </c>
      <c r="Y55" s="23" t="s">
        <v>104</v>
      </c>
      <c r="Z55" s="23" t="s">
        <v>151</v>
      </c>
      <c r="AA55" s="24" t="s">
        <v>103</v>
      </c>
      <c r="AB55" s="30"/>
    </row>
    <row r="56" spans="1:28" ht="102" x14ac:dyDescent="0.25">
      <c r="A56" s="1" t="s">
        <v>43</v>
      </c>
      <c r="B56" s="16" t="s">
        <v>101</v>
      </c>
      <c r="C56" s="17" t="s">
        <v>147</v>
      </c>
      <c r="D56" s="20">
        <f t="shared" si="1"/>
        <v>19459.839999999997</v>
      </c>
      <c r="E56" s="15">
        <v>46218</v>
      </c>
      <c r="F56" s="21">
        <v>0</v>
      </c>
      <c r="G56" s="21">
        <v>27835.599999999999</v>
      </c>
      <c r="H56" s="62" t="s">
        <v>118</v>
      </c>
      <c r="I56" s="17" t="s">
        <v>117</v>
      </c>
      <c r="J56" s="9" t="s">
        <v>202</v>
      </c>
      <c r="K56" s="5" t="s">
        <v>203</v>
      </c>
      <c r="L56" s="16"/>
      <c r="M56" s="16"/>
      <c r="N56" s="1"/>
      <c r="O56" s="17"/>
      <c r="P56" s="16"/>
      <c r="Q56" s="1" t="s">
        <v>187</v>
      </c>
      <c r="R56" s="1"/>
      <c r="S56" s="1"/>
      <c r="T56" s="22">
        <v>0.42638888888888898</v>
      </c>
      <c r="U56" s="15">
        <v>46218</v>
      </c>
      <c r="V56" s="1" t="s">
        <v>43</v>
      </c>
      <c r="W56" s="1" t="s">
        <v>151</v>
      </c>
      <c r="X56" s="16" t="s">
        <v>101</v>
      </c>
      <c r="Y56" s="1" t="s">
        <v>204</v>
      </c>
      <c r="Z56" s="1" t="s">
        <v>205</v>
      </c>
      <c r="AA56" s="16" t="s">
        <v>206</v>
      </c>
      <c r="AB56" s="5" t="s">
        <v>259</v>
      </c>
    </row>
    <row r="57" spans="1:28" ht="25.5" hidden="1" x14ac:dyDescent="0.25">
      <c r="A57" s="23" t="s">
        <v>43</v>
      </c>
      <c r="B57" s="24" t="s">
        <v>101</v>
      </c>
      <c r="C57" s="25" t="s">
        <v>147</v>
      </c>
      <c r="D57" s="26">
        <f t="shared" si="1"/>
        <v>14540.449999999997</v>
      </c>
      <c r="E57" s="27">
        <v>46220</v>
      </c>
      <c r="F57" s="28">
        <v>0</v>
      </c>
      <c r="G57" s="28">
        <v>4919.3900000000003</v>
      </c>
      <c r="H57" s="23" t="s">
        <v>148</v>
      </c>
      <c r="I57" s="25" t="s">
        <v>117</v>
      </c>
      <c r="J57" s="29" t="s">
        <v>149</v>
      </c>
      <c r="K57" s="30" t="s">
        <v>172</v>
      </c>
      <c r="L57" s="24"/>
      <c r="M57" s="24"/>
      <c r="N57" s="23"/>
      <c r="O57" s="25"/>
      <c r="P57" s="24"/>
      <c r="Q57" s="23"/>
      <c r="R57" s="23"/>
      <c r="S57" s="23"/>
      <c r="T57" s="31">
        <v>0.22916666666666699</v>
      </c>
      <c r="U57" s="27">
        <v>46220</v>
      </c>
      <c r="V57" s="23" t="s">
        <v>43</v>
      </c>
      <c r="W57" s="23" t="s">
        <v>151</v>
      </c>
      <c r="X57" s="24" t="s">
        <v>101</v>
      </c>
      <c r="Y57" s="23" t="s">
        <v>173</v>
      </c>
      <c r="Z57" s="23" t="s">
        <v>153</v>
      </c>
      <c r="AA57" s="24" t="s">
        <v>174</v>
      </c>
      <c r="AB57" s="30"/>
    </row>
    <row r="58" spans="1:28" ht="25.5" hidden="1" x14ac:dyDescent="0.25">
      <c r="A58" s="1" t="s">
        <v>43</v>
      </c>
      <c r="B58" s="16" t="s">
        <v>101</v>
      </c>
      <c r="C58" s="17" t="s">
        <v>147</v>
      </c>
      <c r="D58" s="20">
        <f t="shared" si="1"/>
        <v>13936.029999999997</v>
      </c>
      <c r="E58" s="15">
        <v>46220</v>
      </c>
      <c r="F58" s="21">
        <v>0</v>
      </c>
      <c r="G58" s="21">
        <v>604.41999999999996</v>
      </c>
      <c r="H58" s="1" t="s">
        <v>148</v>
      </c>
      <c r="I58" s="17" t="s">
        <v>117</v>
      </c>
      <c r="J58" s="9" t="s">
        <v>149</v>
      </c>
      <c r="K58" s="5" t="s">
        <v>189</v>
      </c>
      <c r="L58" s="16"/>
      <c r="M58" s="16"/>
      <c r="N58" s="1"/>
      <c r="O58" s="17"/>
      <c r="P58" s="16"/>
      <c r="Q58" s="1"/>
      <c r="R58" s="1"/>
      <c r="S58" s="1"/>
      <c r="T58" s="22">
        <v>0.22916666666666699</v>
      </c>
      <c r="U58" s="15">
        <v>46220</v>
      </c>
      <c r="V58" s="1" t="s">
        <v>43</v>
      </c>
      <c r="W58" s="1" t="s">
        <v>151</v>
      </c>
      <c r="X58" s="16" t="s">
        <v>101</v>
      </c>
      <c r="Y58" s="1" t="s">
        <v>190</v>
      </c>
      <c r="Z58" s="1" t="s">
        <v>153</v>
      </c>
      <c r="AA58" s="16" t="s">
        <v>191</v>
      </c>
      <c r="AB58" s="5"/>
    </row>
    <row r="59" spans="1:28" ht="25.5" hidden="1" x14ac:dyDescent="0.25">
      <c r="A59" s="23" t="s">
        <v>43</v>
      </c>
      <c r="B59" s="24" t="s">
        <v>101</v>
      </c>
      <c r="C59" s="25" t="s">
        <v>147</v>
      </c>
      <c r="D59" s="26">
        <f t="shared" si="1"/>
        <v>19322.949999999997</v>
      </c>
      <c r="E59" s="27">
        <v>46223</v>
      </c>
      <c r="F59" s="28">
        <v>5386.92</v>
      </c>
      <c r="G59" s="28">
        <v>0</v>
      </c>
      <c r="H59" s="23" t="s">
        <v>155</v>
      </c>
      <c r="I59" s="25" t="s">
        <v>113</v>
      </c>
      <c r="J59" s="29" t="s">
        <v>156</v>
      </c>
      <c r="K59" s="30" t="s">
        <v>260</v>
      </c>
      <c r="L59" s="24"/>
      <c r="M59" s="24"/>
      <c r="N59" s="23"/>
      <c r="O59" s="25"/>
      <c r="P59" s="24"/>
      <c r="Q59" s="23"/>
      <c r="R59" s="23"/>
      <c r="S59" s="23"/>
      <c r="T59" s="31">
        <v>0.17708333333333301</v>
      </c>
      <c r="U59" s="27">
        <v>46223</v>
      </c>
      <c r="V59" s="23" t="s">
        <v>158</v>
      </c>
      <c r="W59" s="23" t="s">
        <v>153</v>
      </c>
      <c r="X59" s="24" t="s">
        <v>159</v>
      </c>
      <c r="Y59" s="23" t="s">
        <v>43</v>
      </c>
      <c r="Z59" s="23" t="s">
        <v>151</v>
      </c>
      <c r="AA59" s="24" t="s">
        <v>101</v>
      </c>
      <c r="AB59" s="30"/>
    </row>
    <row r="60" spans="1:28" ht="25.5" hidden="1" x14ac:dyDescent="0.25">
      <c r="A60" s="1" t="s">
        <v>43</v>
      </c>
      <c r="B60" s="16" t="s">
        <v>101</v>
      </c>
      <c r="C60" s="17" t="s">
        <v>147</v>
      </c>
      <c r="D60" s="20">
        <f t="shared" si="1"/>
        <v>16290.089999999997</v>
      </c>
      <c r="E60" s="15">
        <v>46225</v>
      </c>
      <c r="F60" s="21">
        <v>0</v>
      </c>
      <c r="G60" s="21">
        <v>3032.86</v>
      </c>
      <c r="H60" s="1" t="s">
        <v>148</v>
      </c>
      <c r="I60" s="17" t="s">
        <v>117</v>
      </c>
      <c r="J60" s="9" t="s">
        <v>149</v>
      </c>
      <c r="K60" s="5" t="s">
        <v>261</v>
      </c>
      <c r="L60" s="16"/>
      <c r="M60" s="16"/>
      <c r="N60" s="1"/>
      <c r="O60" s="17"/>
      <c r="P60" s="16"/>
      <c r="Q60" s="1"/>
      <c r="R60" s="1"/>
      <c r="S60" s="1"/>
      <c r="T60" s="22">
        <v>0.22916666666666699</v>
      </c>
      <c r="U60" s="15">
        <v>46225</v>
      </c>
      <c r="V60" s="1" t="s">
        <v>43</v>
      </c>
      <c r="W60" s="1" t="s">
        <v>151</v>
      </c>
      <c r="X60" s="16" t="s">
        <v>101</v>
      </c>
      <c r="Y60" s="1" t="s">
        <v>177</v>
      </c>
      <c r="Z60" s="1" t="s">
        <v>178</v>
      </c>
      <c r="AA60" s="16" t="s">
        <v>179</v>
      </c>
      <c r="AB60" s="5"/>
    </row>
    <row r="61" spans="1:28" ht="25.5" hidden="1" x14ac:dyDescent="0.25">
      <c r="A61" s="23" t="s">
        <v>43</v>
      </c>
      <c r="B61" s="24" t="s">
        <v>101</v>
      </c>
      <c r="C61" s="25" t="s">
        <v>147</v>
      </c>
      <c r="D61" s="26">
        <f t="shared" si="1"/>
        <v>17387.569999999996</v>
      </c>
      <c r="E61" s="27">
        <v>46226</v>
      </c>
      <c r="F61" s="28">
        <v>1097.48</v>
      </c>
      <c r="G61" s="28">
        <v>0</v>
      </c>
      <c r="H61" s="23" t="s">
        <v>114</v>
      </c>
      <c r="I61" s="25" t="s">
        <v>113</v>
      </c>
      <c r="J61" s="29" t="s">
        <v>168</v>
      </c>
      <c r="K61" s="30" t="s">
        <v>169</v>
      </c>
      <c r="L61" s="24"/>
      <c r="M61" s="24"/>
      <c r="N61" s="23" t="s">
        <v>162</v>
      </c>
      <c r="O61" s="25" t="s">
        <v>163</v>
      </c>
      <c r="P61" s="24" t="s">
        <v>164</v>
      </c>
      <c r="Q61" s="23" t="s">
        <v>165</v>
      </c>
      <c r="R61" s="23" t="s">
        <v>170</v>
      </c>
      <c r="S61" s="23"/>
      <c r="T61" s="31">
        <v>0.29513888888888901</v>
      </c>
      <c r="U61" s="27">
        <v>46226</v>
      </c>
      <c r="V61" s="23" t="s">
        <v>43</v>
      </c>
      <c r="W61" s="23"/>
      <c r="X61" s="24"/>
      <c r="Y61" s="23" t="s">
        <v>43</v>
      </c>
      <c r="Z61" s="23" t="s">
        <v>151</v>
      </c>
      <c r="AA61" s="24" t="s">
        <v>101</v>
      </c>
      <c r="AB61" s="30" t="s">
        <v>171</v>
      </c>
    </row>
    <row r="62" spans="1:28" ht="25.5" hidden="1" x14ac:dyDescent="0.25">
      <c r="A62" s="1" t="s">
        <v>43</v>
      </c>
      <c r="B62" s="16" t="s">
        <v>101</v>
      </c>
      <c r="C62" s="17" t="s">
        <v>147</v>
      </c>
      <c r="D62" s="20">
        <f t="shared" si="1"/>
        <v>22571.269999999997</v>
      </c>
      <c r="E62" s="15">
        <v>46230</v>
      </c>
      <c r="F62" s="21">
        <v>5183.7</v>
      </c>
      <c r="G62" s="21">
        <v>0</v>
      </c>
      <c r="H62" s="1" t="s">
        <v>155</v>
      </c>
      <c r="I62" s="17" t="s">
        <v>113</v>
      </c>
      <c r="J62" s="9" t="s">
        <v>156</v>
      </c>
      <c r="K62" s="5" t="s">
        <v>262</v>
      </c>
      <c r="L62" s="16"/>
      <c r="M62" s="16"/>
      <c r="N62" s="1"/>
      <c r="O62" s="17"/>
      <c r="P62" s="16"/>
      <c r="Q62" s="1"/>
      <c r="R62" s="1"/>
      <c r="S62" s="1"/>
      <c r="T62" s="22">
        <v>0.17708333333333301</v>
      </c>
      <c r="U62" s="15">
        <v>46230</v>
      </c>
      <c r="V62" s="1" t="s">
        <v>158</v>
      </c>
      <c r="W62" s="1" t="s">
        <v>153</v>
      </c>
      <c r="X62" s="16" t="s">
        <v>159</v>
      </c>
      <c r="Y62" s="1" t="s">
        <v>43</v>
      </c>
      <c r="Z62" s="1" t="s">
        <v>151</v>
      </c>
      <c r="AA62" s="16" t="s">
        <v>101</v>
      </c>
      <c r="AB62" s="5"/>
    </row>
    <row r="63" spans="1:28" ht="63.75" hidden="1" x14ac:dyDescent="0.25">
      <c r="A63" s="23" t="s">
        <v>43</v>
      </c>
      <c r="B63" s="24" t="s">
        <v>101</v>
      </c>
      <c r="C63" s="25" t="s">
        <v>147</v>
      </c>
      <c r="D63" s="26">
        <f t="shared" si="1"/>
        <v>32271.269999999997</v>
      </c>
      <c r="E63" s="27">
        <v>46230</v>
      </c>
      <c r="F63" s="59">
        <v>9700</v>
      </c>
      <c r="G63" s="28">
        <v>0</v>
      </c>
      <c r="H63" s="23" t="s">
        <v>114</v>
      </c>
      <c r="I63" s="25" t="s">
        <v>113</v>
      </c>
      <c r="J63" s="29" t="s">
        <v>192</v>
      </c>
      <c r="K63" s="30" t="s">
        <v>161</v>
      </c>
      <c r="L63" s="24"/>
      <c r="M63" s="24"/>
      <c r="N63" s="23" t="s">
        <v>162</v>
      </c>
      <c r="O63" s="25" t="s">
        <v>163</v>
      </c>
      <c r="P63" s="24" t="s">
        <v>164</v>
      </c>
      <c r="Q63" s="23" t="s">
        <v>165</v>
      </c>
      <c r="R63" s="23" t="s">
        <v>166</v>
      </c>
      <c r="S63" s="23"/>
      <c r="T63" s="31">
        <v>0.41111111111111098</v>
      </c>
      <c r="U63" s="27">
        <v>46230</v>
      </c>
      <c r="V63" s="23" t="s">
        <v>104</v>
      </c>
      <c r="W63" s="23"/>
      <c r="X63" s="24"/>
      <c r="Y63" s="23" t="s">
        <v>43</v>
      </c>
      <c r="Z63" s="23" t="s">
        <v>151</v>
      </c>
      <c r="AA63" s="24" t="s">
        <v>101</v>
      </c>
      <c r="AB63" s="30" t="s">
        <v>263</v>
      </c>
    </row>
    <row r="64" spans="1:28" ht="38.25" hidden="1" x14ac:dyDescent="0.25">
      <c r="A64" s="1" t="s">
        <v>194</v>
      </c>
      <c r="B64" s="16" t="s">
        <v>101</v>
      </c>
      <c r="C64" s="17" t="s">
        <v>147</v>
      </c>
      <c r="D64" s="20">
        <f t="shared" si="1"/>
        <v>40671.269999999997</v>
      </c>
      <c r="E64" s="15">
        <v>46231</v>
      </c>
      <c r="F64" s="60">
        <v>8400</v>
      </c>
      <c r="G64" s="21">
        <v>0</v>
      </c>
      <c r="H64" s="1" t="s">
        <v>114</v>
      </c>
      <c r="I64" s="17" t="s">
        <v>113</v>
      </c>
      <c r="J64" s="9" t="s">
        <v>192</v>
      </c>
      <c r="K64" s="5" t="s">
        <v>161</v>
      </c>
      <c r="L64" s="16"/>
      <c r="M64" s="16"/>
      <c r="N64" s="1" t="s">
        <v>195</v>
      </c>
      <c r="O64" s="17" t="s">
        <v>163</v>
      </c>
      <c r="P64" s="16" t="s">
        <v>196</v>
      </c>
      <c r="Q64" s="1" t="s">
        <v>197</v>
      </c>
      <c r="R64" s="1" t="s">
        <v>198</v>
      </c>
      <c r="S64" s="1"/>
      <c r="T64" s="22">
        <v>0.50624999999999998</v>
      </c>
      <c r="U64" s="15">
        <v>46231</v>
      </c>
      <c r="V64" s="1" t="s">
        <v>199</v>
      </c>
      <c r="W64" s="1"/>
      <c r="X64" s="16"/>
      <c r="Y64" s="1" t="s">
        <v>43</v>
      </c>
      <c r="Z64" s="1" t="s">
        <v>151</v>
      </c>
      <c r="AA64" s="16" t="s">
        <v>101</v>
      </c>
      <c r="AB64" s="5" t="s">
        <v>200</v>
      </c>
    </row>
    <row r="65" spans="1:28" ht="25.5" hidden="1" x14ac:dyDescent="0.25">
      <c r="A65" s="23" t="s">
        <v>43</v>
      </c>
      <c r="B65" s="24" t="s">
        <v>101</v>
      </c>
      <c r="C65" s="25" t="s">
        <v>147</v>
      </c>
      <c r="D65" s="26">
        <f t="shared" si="1"/>
        <v>35761.369999999995</v>
      </c>
      <c r="E65" s="27">
        <v>46234</v>
      </c>
      <c r="F65" s="28">
        <v>0</v>
      </c>
      <c r="G65" s="28">
        <v>4909.8999999999996</v>
      </c>
      <c r="H65" s="23" t="s">
        <v>148</v>
      </c>
      <c r="I65" s="25" t="s">
        <v>117</v>
      </c>
      <c r="J65" s="29" t="s">
        <v>149</v>
      </c>
      <c r="K65" s="30" t="s">
        <v>172</v>
      </c>
      <c r="L65" s="24"/>
      <c r="M65" s="24"/>
      <c r="N65" s="23"/>
      <c r="O65" s="25"/>
      <c r="P65" s="24"/>
      <c r="Q65" s="23"/>
      <c r="R65" s="23"/>
      <c r="S65" s="23"/>
      <c r="T65" s="31">
        <v>0.22916666666666699</v>
      </c>
      <c r="U65" s="27">
        <v>46234</v>
      </c>
      <c r="V65" s="23" t="s">
        <v>43</v>
      </c>
      <c r="W65" s="23" t="s">
        <v>151</v>
      </c>
      <c r="X65" s="24" t="s">
        <v>101</v>
      </c>
      <c r="Y65" s="23" t="s">
        <v>173</v>
      </c>
      <c r="Z65" s="23" t="s">
        <v>153</v>
      </c>
      <c r="AA65" s="24" t="s">
        <v>174</v>
      </c>
      <c r="AB65" s="30"/>
    </row>
    <row r="66" spans="1:28" ht="63.75" hidden="1" x14ac:dyDescent="0.25">
      <c r="A66" s="1" t="s">
        <v>43</v>
      </c>
      <c r="B66" s="16" t="s">
        <v>101</v>
      </c>
      <c r="C66" s="17" t="s">
        <v>147</v>
      </c>
      <c r="D66" s="20">
        <f t="shared" si="1"/>
        <v>35580.28</v>
      </c>
      <c r="E66" s="15">
        <v>46234</v>
      </c>
      <c r="F66" s="21">
        <v>0</v>
      </c>
      <c r="G66" s="21">
        <v>181.09</v>
      </c>
      <c r="H66" s="1" t="s">
        <v>209</v>
      </c>
      <c r="I66" s="17" t="s">
        <v>117</v>
      </c>
      <c r="J66" s="9" t="s">
        <v>181</v>
      </c>
      <c r="K66" s="5" t="s">
        <v>264</v>
      </c>
      <c r="L66" s="16"/>
      <c r="M66" s="16"/>
      <c r="N66" s="1"/>
      <c r="O66" s="17"/>
      <c r="P66" s="16"/>
      <c r="Q66" s="1"/>
      <c r="R66" s="1"/>
      <c r="S66" s="1"/>
      <c r="T66" s="22">
        <v>0.97916666666666696</v>
      </c>
      <c r="U66" s="15">
        <v>46234</v>
      </c>
      <c r="V66" s="1"/>
      <c r="W66" s="1"/>
      <c r="X66" s="16"/>
      <c r="Y66" s="1"/>
      <c r="Z66" s="1"/>
      <c r="AA66" s="16"/>
      <c r="AB66" s="5" t="s">
        <v>265</v>
      </c>
    </row>
    <row r="67" spans="1:28" ht="25.5" hidden="1" x14ac:dyDescent="0.25">
      <c r="A67" s="23" t="s">
        <v>43</v>
      </c>
      <c r="B67" s="24" t="s">
        <v>101</v>
      </c>
      <c r="C67" s="25" t="s">
        <v>147</v>
      </c>
      <c r="D67" s="26">
        <f t="shared" ref="D67:D86" si="2">D66+F67-G67</f>
        <v>40725.47</v>
      </c>
      <c r="E67" s="27">
        <v>46237</v>
      </c>
      <c r="F67" s="28">
        <v>5145.1899999999996</v>
      </c>
      <c r="G67" s="28">
        <v>0</v>
      </c>
      <c r="H67" s="23" t="s">
        <v>155</v>
      </c>
      <c r="I67" s="25" t="s">
        <v>113</v>
      </c>
      <c r="J67" s="29" t="s">
        <v>156</v>
      </c>
      <c r="K67" s="30" t="s">
        <v>266</v>
      </c>
      <c r="L67" s="24"/>
      <c r="M67" s="24"/>
      <c r="N67" s="23"/>
      <c r="O67" s="25"/>
      <c r="P67" s="24"/>
      <c r="Q67" s="23"/>
      <c r="R67" s="23"/>
      <c r="S67" s="23"/>
      <c r="T67" s="31">
        <v>0.17708333333333301</v>
      </c>
      <c r="U67" s="27">
        <v>46237</v>
      </c>
      <c r="V67" s="23" t="s">
        <v>158</v>
      </c>
      <c r="W67" s="23" t="s">
        <v>153</v>
      </c>
      <c r="X67" s="24" t="s">
        <v>159</v>
      </c>
      <c r="Y67" s="23" t="s">
        <v>43</v>
      </c>
      <c r="Z67" s="23" t="s">
        <v>151</v>
      </c>
      <c r="AA67" s="24" t="s">
        <v>101</v>
      </c>
      <c r="AB67" s="30"/>
    </row>
    <row r="68" spans="1:28" ht="25.5" hidden="1" x14ac:dyDescent="0.25">
      <c r="A68" s="1" t="s">
        <v>43</v>
      </c>
      <c r="B68" s="16" t="s">
        <v>101</v>
      </c>
      <c r="C68" s="17" t="s">
        <v>147</v>
      </c>
      <c r="D68" s="20">
        <f t="shared" si="2"/>
        <v>35875.47</v>
      </c>
      <c r="E68" s="15">
        <v>46237</v>
      </c>
      <c r="F68" s="21">
        <v>0</v>
      </c>
      <c r="G68" s="21">
        <v>4850</v>
      </c>
      <c r="H68" s="1" t="s">
        <v>148</v>
      </c>
      <c r="I68" s="17" t="s">
        <v>117</v>
      </c>
      <c r="J68" s="9" t="s">
        <v>149</v>
      </c>
      <c r="K68" s="5" t="s">
        <v>267</v>
      </c>
      <c r="L68" s="16"/>
      <c r="M68" s="16"/>
      <c r="N68" s="1"/>
      <c r="O68" s="17"/>
      <c r="P68" s="16"/>
      <c r="Q68" s="1"/>
      <c r="R68" s="1"/>
      <c r="S68" s="1"/>
      <c r="T68" s="22">
        <v>0.22916666666666699</v>
      </c>
      <c r="U68" s="15">
        <v>46237</v>
      </c>
      <c r="V68" s="1" t="s">
        <v>43</v>
      </c>
      <c r="W68" s="1" t="s">
        <v>151</v>
      </c>
      <c r="X68" s="16" t="s">
        <v>101</v>
      </c>
      <c r="Y68" s="1" t="s">
        <v>152</v>
      </c>
      <c r="Z68" s="1" t="s">
        <v>153</v>
      </c>
      <c r="AA68" s="16" t="s">
        <v>154</v>
      </c>
      <c r="AB68" s="5"/>
    </row>
    <row r="69" spans="1:28" ht="25.5" hidden="1" x14ac:dyDescent="0.25">
      <c r="A69" s="23" t="s">
        <v>43</v>
      </c>
      <c r="B69" s="24" t="s">
        <v>101</v>
      </c>
      <c r="C69" s="25" t="s">
        <v>147</v>
      </c>
      <c r="D69" s="26">
        <f t="shared" si="2"/>
        <v>32870.340000000004</v>
      </c>
      <c r="E69" s="27">
        <v>46239</v>
      </c>
      <c r="F69" s="28">
        <v>0</v>
      </c>
      <c r="G69" s="28">
        <v>3005.13</v>
      </c>
      <c r="H69" s="23" t="s">
        <v>148</v>
      </c>
      <c r="I69" s="25" t="s">
        <v>117</v>
      </c>
      <c r="J69" s="29" t="s">
        <v>149</v>
      </c>
      <c r="K69" s="30" t="s">
        <v>268</v>
      </c>
      <c r="L69" s="24"/>
      <c r="M69" s="24"/>
      <c r="N69" s="23"/>
      <c r="O69" s="25"/>
      <c r="P69" s="24"/>
      <c r="Q69" s="23"/>
      <c r="R69" s="23"/>
      <c r="S69" s="23"/>
      <c r="T69" s="31">
        <v>0.22916666666666699</v>
      </c>
      <c r="U69" s="27">
        <v>46239</v>
      </c>
      <c r="V69" s="23" t="s">
        <v>43</v>
      </c>
      <c r="W69" s="23" t="s">
        <v>151</v>
      </c>
      <c r="X69" s="24" t="s">
        <v>101</v>
      </c>
      <c r="Y69" s="23" t="s">
        <v>177</v>
      </c>
      <c r="Z69" s="23" t="s">
        <v>178</v>
      </c>
      <c r="AA69" s="24" t="s">
        <v>179</v>
      </c>
      <c r="AB69" s="30"/>
    </row>
    <row r="70" spans="1:28" ht="25.5" hidden="1" x14ac:dyDescent="0.25">
      <c r="A70" s="1" t="s">
        <v>43</v>
      </c>
      <c r="B70" s="16" t="s">
        <v>101</v>
      </c>
      <c r="C70" s="17" t="s">
        <v>147</v>
      </c>
      <c r="D70" s="20">
        <f t="shared" si="2"/>
        <v>34109.020000000004</v>
      </c>
      <c r="E70" s="15">
        <v>46240</v>
      </c>
      <c r="F70" s="21">
        <v>1238.68</v>
      </c>
      <c r="G70" s="21">
        <v>0</v>
      </c>
      <c r="H70" s="1" t="s">
        <v>114</v>
      </c>
      <c r="I70" s="17" t="s">
        <v>113</v>
      </c>
      <c r="J70" s="9" t="s">
        <v>168</v>
      </c>
      <c r="K70" s="5" t="s">
        <v>169</v>
      </c>
      <c r="L70" s="16"/>
      <c r="M70" s="16"/>
      <c r="N70" s="1" t="s">
        <v>162</v>
      </c>
      <c r="O70" s="17" t="s">
        <v>163</v>
      </c>
      <c r="P70" s="16" t="s">
        <v>164</v>
      </c>
      <c r="Q70" s="1" t="s">
        <v>165</v>
      </c>
      <c r="R70" s="1" t="s">
        <v>170</v>
      </c>
      <c r="S70" s="1"/>
      <c r="T70" s="22">
        <v>0.29513888888888901</v>
      </c>
      <c r="U70" s="15">
        <v>46240</v>
      </c>
      <c r="V70" s="1" t="s">
        <v>43</v>
      </c>
      <c r="W70" s="1"/>
      <c r="X70" s="16"/>
      <c r="Y70" s="1" t="s">
        <v>43</v>
      </c>
      <c r="Z70" s="1" t="s">
        <v>151</v>
      </c>
      <c r="AA70" s="16" t="s">
        <v>101</v>
      </c>
      <c r="AB70" s="5" t="s">
        <v>171</v>
      </c>
    </row>
    <row r="71" spans="1:28" ht="25.5" hidden="1" x14ac:dyDescent="0.25">
      <c r="A71" s="23" t="s">
        <v>43</v>
      </c>
      <c r="B71" s="24" t="s">
        <v>101</v>
      </c>
      <c r="C71" s="25" t="s">
        <v>147</v>
      </c>
      <c r="D71" s="26">
        <f t="shared" si="2"/>
        <v>39306.880000000005</v>
      </c>
      <c r="E71" s="27">
        <v>46244</v>
      </c>
      <c r="F71" s="28">
        <v>5197.8599999999997</v>
      </c>
      <c r="G71" s="28">
        <v>0</v>
      </c>
      <c r="H71" s="23" t="s">
        <v>155</v>
      </c>
      <c r="I71" s="25" t="s">
        <v>113</v>
      </c>
      <c r="J71" s="29" t="s">
        <v>156</v>
      </c>
      <c r="K71" s="30" t="s">
        <v>269</v>
      </c>
      <c r="L71" s="24"/>
      <c r="M71" s="24"/>
      <c r="N71" s="23"/>
      <c r="O71" s="25"/>
      <c r="P71" s="24"/>
      <c r="Q71" s="23"/>
      <c r="R71" s="23"/>
      <c r="S71" s="23"/>
      <c r="T71" s="31">
        <v>0.17708333333333301</v>
      </c>
      <c r="U71" s="27">
        <v>46244</v>
      </c>
      <c r="V71" s="23" t="s">
        <v>158</v>
      </c>
      <c r="W71" s="23" t="s">
        <v>153</v>
      </c>
      <c r="X71" s="24" t="s">
        <v>159</v>
      </c>
      <c r="Y71" s="23" t="s">
        <v>43</v>
      </c>
      <c r="Z71" s="23" t="s">
        <v>151</v>
      </c>
      <c r="AA71" s="24" t="s">
        <v>101</v>
      </c>
      <c r="AB71" s="30"/>
    </row>
    <row r="72" spans="1:28" ht="25.5" hidden="1" x14ac:dyDescent="0.25">
      <c r="A72" s="1" t="s">
        <v>43</v>
      </c>
      <c r="B72" s="16" t="s">
        <v>101</v>
      </c>
      <c r="C72" s="17" t="s">
        <v>147</v>
      </c>
      <c r="D72" s="20">
        <f t="shared" si="2"/>
        <v>49156.880000000005</v>
      </c>
      <c r="E72" s="15">
        <v>46244</v>
      </c>
      <c r="F72" s="60">
        <v>9850</v>
      </c>
      <c r="G72" s="21">
        <v>0</v>
      </c>
      <c r="H72" s="1" t="s">
        <v>114</v>
      </c>
      <c r="I72" s="17" t="s">
        <v>113</v>
      </c>
      <c r="J72" s="9" t="s">
        <v>192</v>
      </c>
      <c r="K72" s="5" t="s">
        <v>161</v>
      </c>
      <c r="L72" s="16"/>
      <c r="M72" s="16"/>
      <c r="N72" s="1" t="s">
        <v>162</v>
      </c>
      <c r="O72" s="17" t="s">
        <v>163</v>
      </c>
      <c r="P72" s="16" t="s">
        <v>164</v>
      </c>
      <c r="Q72" s="1" t="s">
        <v>165</v>
      </c>
      <c r="R72" s="1" t="s">
        <v>166</v>
      </c>
      <c r="S72" s="1"/>
      <c r="T72" s="22">
        <v>0.44236111111111098</v>
      </c>
      <c r="U72" s="15">
        <v>46244</v>
      </c>
      <c r="V72" s="1" t="s">
        <v>104</v>
      </c>
      <c r="W72" s="1"/>
      <c r="X72" s="16"/>
      <c r="Y72" s="1" t="s">
        <v>43</v>
      </c>
      <c r="Z72" s="1" t="s">
        <v>151</v>
      </c>
      <c r="AA72" s="16" t="s">
        <v>101</v>
      </c>
      <c r="AB72" s="5" t="s">
        <v>193</v>
      </c>
    </row>
    <row r="73" spans="1:28" ht="38.25" hidden="1" x14ac:dyDescent="0.25">
      <c r="A73" s="23" t="s">
        <v>43</v>
      </c>
      <c r="B73" s="24" t="s">
        <v>101</v>
      </c>
      <c r="C73" s="25" t="s">
        <v>147</v>
      </c>
      <c r="D73" s="26">
        <f t="shared" si="2"/>
        <v>58456.880000000005</v>
      </c>
      <c r="E73" s="27">
        <v>46245</v>
      </c>
      <c r="F73" s="59">
        <v>9300</v>
      </c>
      <c r="G73" s="28">
        <v>0</v>
      </c>
      <c r="H73" s="23" t="s">
        <v>114</v>
      </c>
      <c r="I73" s="25" t="s">
        <v>113</v>
      </c>
      <c r="J73" s="29" t="s">
        <v>192</v>
      </c>
      <c r="K73" s="30" t="s">
        <v>161</v>
      </c>
      <c r="L73" s="24"/>
      <c r="M73" s="24"/>
      <c r="N73" s="23" t="s">
        <v>218</v>
      </c>
      <c r="O73" s="25" t="s">
        <v>163</v>
      </c>
      <c r="P73" s="24" t="s">
        <v>219</v>
      </c>
      <c r="Q73" s="23" t="s">
        <v>220</v>
      </c>
      <c r="R73" s="23" t="s">
        <v>221</v>
      </c>
      <c r="S73" s="23"/>
      <c r="T73" s="31">
        <v>0.46875</v>
      </c>
      <c r="U73" s="27">
        <v>46245</v>
      </c>
      <c r="V73" s="23" t="s">
        <v>199</v>
      </c>
      <c r="W73" s="23"/>
      <c r="X73" s="24"/>
      <c r="Y73" s="23" t="s">
        <v>43</v>
      </c>
      <c r="Z73" s="23" t="s">
        <v>151</v>
      </c>
      <c r="AA73" s="24" t="s">
        <v>101</v>
      </c>
      <c r="AB73" s="30" t="s">
        <v>200</v>
      </c>
    </row>
    <row r="74" spans="1:28" ht="25.5" hidden="1" x14ac:dyDescent="0.25">
      <c r="A74" s="1" t="s">
        <v>194</v>
      </c>
      <c r="B74" s="16" t="s">
        <v>101</v>
      </c>
      <c r="C74" s="17" t="s">
        <v>147</v>
      </c>
      <c r="D74" s="20">
        <f t="shared" si="2"/>
        <v>67206.880000000005</v>
      </c>
      <c r="E74" s="15">
        <v>46246</v>
      </c>
      <c r="F74" s="60">
        <v>8750</v>
      </c>
      <c r="G74" s="21">
        <v>0</v>
      </c>
      <c r="H74" s="1" t="s">
        <v>114</v>
      </c>
      <c r="I74" s="17" t="s">
        <v>113</v>
      </c>
      <c r="J74" s="9" t="s">
        <v>192</v>
      </c>
      <c r="K74" s="5" t="s">
        <v>161</v>
      </c>
      <c r="L74" s="16"/>
      <c r="M74" s="16"/>
      <c r="N74" s="1" t="s">
        <v>195</v>
      </c>
      <c r="O74" s="17" t="s">
        <v>163</v>
      </c>
      <c r="P74" s="16" t="s">
        <v>196</v>
      </c>
      <c r="Q74" s="1" t="s">
        <v>197</v>
      </c>
      <c r="R74" s="1" t="s">
        <v>198</v>
      </c>
      <c r="S74" s="1"/>
      <c r="T74" s="22">
        <v>0.655555555555556</v>
      </c>
      <c r="U74" s="15">
        <v>46246</v>
      </c>
      <c r="V74" s="1" t="s">
        <v>104</v>
      </c>
      <c r="W74" s="1"/>
      <c r="X74" s="16"/>
      <c r="Y74" s="1" t="s">
        <v>43</v>
      </c>
      <c r="Z74" s="1" t="s">
        <v>151</v>
      </c>
      <c r="AA74" s="16" t="s">
        <v>101</v>
      </c>
      <c r="AB74" s="5" t="s">
        <v>193</v>
      </c>
    </row>
    <row r="75" spans="1:28" ht="25.5" hidden="1" x14ac:dyDescent="0.25">
      <c r="A75" s="23" t="s">
        <v>43</v>
      </c>
      <c r="B75" s="24" t="s">
        <v>101</v>
      </c>
      <c r="C75" s="25" t="s">
        <v>147</v>
      </c>
      <c r="D75" s="26">
        <f t="shared" si="2"/>
        <v>62177.140000000007</v>
      </c>
      <c r="E75" s="27">
        <v>46248</v>
      </c>
      <c r="F75" s="28">
        <v>0</v>
      </c>
      <c r="G75" s="28">
        <v>5029.74</v>
      </c>
      <c r="H75" s="23" t="s">
        <v>148</v>
      </c>
      <c r="I75" s="25" t="s">
        <v>117</v>
      </c>
      <c r="J75" s="29" t="s">
        <v>149</v>
      </c>
      <c r="K75" s="30" t="s">
        <v>172</v>
      </c>
      <c r="L75" s="24"/>
      <c r="M75" s="24"/>
      <c r="N75" s="23"/>
      <c r="O75" s="25"/>
      <c r="P75" s="24"/>
      <c r="Q75" s="23"/>
      <c r="R75" s="23"/>
      <c r="S75" s="23"/>
      <c r="T75" s="31">
        <v>0.22916666666666699</v>
      </c>
      <c r="U75" s="27">
        <v>46248</v>
      </c>
      <c r="V75" s="23" t="s">
        <v>43</v>
      </c>
      <c r="W75" s="23" t="s">
        <v>151</v>
      </c>
      <c r="X75" s="24" t="s">
        <v>101</v>
      </c>
      <c r="Y75" s="23" t="s">
        <v>173</v>
      </c>
      <c r="Z75" s="23" t="s">
        <v>153</v>
      </c>
      <c r="AA75" s="24" t="s">
        <v>174</v>
      </c>
      <c r="AB75" s="30"/>
    </row>
    <row r="76" spans="1:28" ht="25.5" hidden="1" x14ac:dyDescent="0.25">
      <c r="A76" s="1" t="s">
        <v>43</v>
      </c>
      <c r="B76" s="16" t="s">
        <v>101</v>
      </c>
      <c r="C76" s="17" t="s">
        <v>147</v>
      </c>
      <c r="D76" s="20">
        <f t="shared" si="2"/>
        <v>58927.140000000007</v>
      </c>
      <c r="E76" s="15">
        <v>46248</v>
      </c>
      <c r="F76" s="21">
        <v>0</v>
      </c>
      <c r="G76" s="21">
        <v>3250</v>
      </c>
      <c r="H76" s="1" t="s">
        <v>185</v>
      </c>
      <c r="I76" s="17" t="s">
        <v>117</v>
      </c>
      <c r="J76" s="9" t="s">
        <v>181</v>
      </c>
      <c r="K76" s="5" t="s">
        <v>186</v>
      </c>
      <c r="L76" s="16"/>
      <c r="M76" s="16"/>
      <c r="N76" s="1"/>
      <c r="O76" s="17"/>
      <c r="P76" s="16"/>
      <c r="Q76" s="1" t="s">
        <v>187</v>
      </c>
      <c r="R76" s="1"/>
      <c r="S76" s="1"/>
      <c r="T76" s="22">
        <v>0.34166666666666701</v>
      </c>
      <c r="U76" s="15">
        <v>46248</v>
      </c>
      <c r="V76" s="1" t="s">
        <v>43</v>
      </c>
      <c r="W76" s="1" t="s">
        <v>151</v>
      </c>
      <c r="X76" s="16" t="s">
        <v>101</v>
      </c>
      <c r="Y76" s="1" t="s">
        <v>104</v>
      </c>
      <c r="Z76" s="1" t="s">
        <v>151</v>
      </c>
      <c r="AA76" s="16" t="s">
        <v>103</v>
      </c>
      <c r="AB76" s="5"/>
    </row>
    <row r="77" spans="1:28" ht="76.5" x14ac:dyDescent="0.25">
      <c r="A77" s="23" t="s">
        <v>43</v>
      </c>
      <c r="B77" s="24" t="s">
        <v>101</v>
      </c>
      <c r="C77" s="25" t="s">
        <v>147</v>
      </c>
      <c r="D77" s="26">
        <f t="shared" si="2"/>
        <v>32516.840000000007</v>
      </c>
      <c r="E77" s="27">
        <v>46248</v>
      </c>
      <c r="F77" s="28">
        <v>0</v>
      </c>
      <c r="G77" s="28">
        <v>26410.3</v>
      </c>
      <c r="H77" s="61" t="s">
        <v>118</v>
      </c>
      <c r="I77" s="25" t="s">
        <v>117</v>
      </c>
      <c r="J77" s="29" t="s">
        <v>202</v>
      </c>
      <c r="K77" s="30" t="s">
        <v>203</v>
      </c>
      <c r="L77" s="24"/>
      <c r="M77" s="24"/>
      <c r="N77" s="23"/>
      <c r="O77" s="25"/>
      <c r="P77" s="24"/>
      <c r="Q77" s="23" t="s">
        <v>187</v>
      </c>
      <c r="R77" s="23"/>
      <c r="S77" s="23"/>
      <c r="T77" s="31">
        <v>0.41527777777777802</v>
      </c>
      <c r="U77" s="27">
        <v>46248</v>
      </c>
      <c r="V77" s="23" t="s">
        <v>43</v>
      </c>
      <c r="W77" s="23" t="s">
        <v>151</v>
      </c>
      <c r="X77" s="24" t="s">
        <v>101</v>
      </c>
      <c r="Y77" s="23" t="s">
        <v>204</v>
      </c>
      <c r="Z77" s="23" t="s">
        <v>205</v>
      </c>
      <c r="AA77" s="24" t="s">
        <v>206</v>
      </c>
      <c r="AB77" s="30" t="s">
        <v>270</v>
      </c>
    </row>
    <row r="78" spans="1:28" ht="25.5" hidden="1" x14ac:dyDescent="0.25">
      <c r="A78" s="1" t="s">
        <v>43</v>
      </c>
      <c r="B78" s="16" t="s">
        <v>101</v>
      </c>
      <c r="C78" s="17" t="s">
        <v>147</v>
      </c>
      <c r="D78" s="20">
        <f t="shared" si="2"/>
        <v>37918.000000000007</v>
      </c>
      <c r="E78" s="15">
        <v>46251</v>
      </c>
      <c r="F78" s="21">
        <v>5401.16</v>
      </c>
      <c r="G78" s="21">
        <v>0</v>
      </c>
      <c r="H78" s="1" t="s">
        <v>155</v>
      </c>
      <c r="I78" s="17" t="s">
        <v>113</v>
      </c>
      <c r="J78" s="9" t="s">
        <v>156</v>
      </c>
      <c r="K78" s="5" t="s">
        <v>271</v>
      </c>
      <c r="L78" s="16"/>
      <c r="M78" s="16"/>
      <c r="N78" s="1"/>
      <c r="O78" s="17"/>
      <c r="P78" s="16"/>
      <c r="Q78" s="1"/>
      <c r="R78" s="1"/>
      <c r="S78" s="1"/>
      <c r="T78" s="22">
        <v>0.17708333333333301</v>
      </c>
      <c r="U78" s="15">
        <v>46251</v>
      </c>
      <c r="V78" s="1" t="s">
        <v>158</v>
      </c>
      <c r="W78" s="1" t="s">
        <v>153</v>
      </c>
      <c r="X78" s="16" t="s">
        <v>159</v>
      </c>
      <c r="Y78" s="1" t="s">
        <v>43</v>
      </c>
      <c r="Z78" s="1" t="s">
        <v>151</v>
      </c>
      <c r="AA78" s="16" t="s">
        <v>101</v>
      </c>
      <c r="AB78" s="5"/>
    </row>
    <row r="79" spans="1:28" ht="25.5" hidden="1" x14ac:dyDescent="0.25">
      <c r="A79" s="23" t="s">
        <v>43</v>
      </c>
      <c r="B79" s="24" t="s">
        <v>101</v>
      </c>
      <c r="C79" s="25" t="s">
        <v>147</v>
      </c>
      <c r="D79" s="26">
        <f t="shared" si="2"/>
        <v>37334.470000000008</v>
      </c>
      <c r="E79" s="27">
        <v>46251</v>
      </c>
      <c r="F79" s="28">
        <v>0</v>
      </c>
      <c r="G79" s="28">
        <v>583.53</v>
      </c>
      <c r="H79" s="23" t="s">
        <v>148</v>
      </c>
      <c r="I79" s="25" t="s">
        <v>117</v>
      </c>
      <c r="J79" s="29" t="s">
        <v>149</v>
      </c>
      <c r="K79" s="30" t="s">
        <v>189</v>
      </c>
      <c r="L79" s="24"/>
      <c r="M79" s="24"/>
      <c r="N79" s="23"/>
      <c r="O79" s="25"/>
      <c r="P79" s="24"/>
      <c r="Q79" s="23"/>
      <c r="R79" s="23"/>
      <c r="S79" s="23"/>
      <c r="T79" s="31">
        <v>0.22916666666666699</v>
      </c>
      <c r="U79" s="27">
        <v>46251</v>
      </c>
      <c r="V79" s="23" t="s">
        <v>43</v>
      </c>
      <c r="W79" s="23" t="s">
        <v>151</v>
      </c>
      <c r="X79" s="24" t="s">
        <v>101</v>
      </c>
      <c r="Y79" s="23" t="s">
        <v>190</v>
      </c>
      <c r="Z79" s="23" t="s">
        <v>153</v>
      </c>
      <c r="AA79" s="24" t="s">
        <v>191</v>
      </c>
      <c r="AB79" s="30"/>
    </row>
    <row r="80" spans="1:28" ht="25.5" hidden="1" x14ac:dyDescent="0.25">
      <c r="A80" s="1" t="s">
        <v>43</v>
      </c>
      <c r="B80" s="16" t="s">
        <v>101</v>
      </c>
      <c r="C80" s="17" t="s">
        <v>147</v>
      </c>
      <c r="D80" s="20">
        <f t="shared" si="2"/>
        <v>28334.470000000008</v>
      </c>
      <c r="E80" s="15">
        <v>46252</v>
      </c>
      <c r="F80" s="21">
        <v>0</v>
      </c>
      <c r="G80" s="21">
        <v>9000</v>
      </c>
      <c r="H80" s="62" t="s">
        <v>118</v>
      </c>
      <c r="I80" s="17" t="s">
        <v>117</v>
      </c>
      <c r="J80" s="9" t="s">
        <v>222</v>
      </c>
      <c r="K80" s="5" t="s">
        <v>223</v>
      </c>
      <c r="L80" s="16"/>
      <c r="M80" s="16"/>
      <c r="N80" s="1"/>
      <c r="O80" s="17"/>
      <c r="P80" s="16"/>
      <c r="Q80" s="1" t="s">
        <v>187</v>
      </c>
      <c r="R80" s="1"/>
      <c r="S80" s="1"/>
      <c r="T80" s="22">
        <v>0.43472222222222201</v>
      </c>
      <c r="U80" s="15">
        <v>46252</v>
      </c>
      <c r="V80" s="1" t="s">
        <v>43</v>
      </c>
      <c r="W80" s="1" t="s">
        <v>151</v>
      </c>
      <c r="X80" s="16" t="s">
        <v>101</v>
      </c>
      <c r="Y80" s="1" t="s">
        <v>224</v>
      </c>
      <c r="Z80" s="1" t="s">
        <v>225</v>
      </c>
      <c r="AA80" s="16" t="s">
        <v>226</v>
      </c>
      <c r="AB80" s="5" t="s">
        <v>272</v>
      </c>
    </row>
    <row r="81" spans="1:28" ht="25.5" hidden="1" x14ac:dyDescent="0.25">
      <c r="A81" s="23" t="s">
        <v>43</v>
      </c>
      <c r="B81" s="24" t="s">
        <v>101</v>
      </c>
      <c r="C81" s="25" t="s">
        <v>147</v>
      </c>
      <c r="D81" s="26">
        <f t="shared" si="2"/>
        <v>25712.420000000009</v>
      </c>
      <c r="E81" s="27">
        <v>46253</v>
      </c>
      <c r="F81" s="28">
        <v>0</v>
      </c>
      <c r="G81" s="28">
        <v>2622.05</v>
      </c>
      <c r="H81" s="23" t="s">
        <v>148</v>
      </c>
      <c r="I81" s="25" t="s">
        <v>117</v>
      </c>
      <c r="J81" s="29" t="s">
        <v>149</v>
      </c>
      <c r="K81" s="30" t="s">
        <v>273</v>
      </c>
      <c r="L81" s="24"/>
      <c r="M81" s="24"/>
      <c r="N81" s="23"/>
      <c r="O81" s="25"/>
      <c r="P81" s="24"/>
      <c r="Q81" s="23"/>
      <c r="R81" s="23"/>
      <c r="S81" s="23"/>
      <c r="T81" s="31">
        <v>0.22916666666666699</v>
      </c>
      <c r="U81" s="27">
        <v>46253</v>
      </c>
      <c r="V81" s="23" t="s">
        <v>43</v>
      </c>
      <c r="W81" s="23" t="s">
        <v>151</v>
      </c>
      <c r="X81" s="24" t="s">
        <v>101</v>
      </c>
      <c r="Y81" s="23" t="s">
        <v>177</v>
      </c>
      <c r="Z81" s="23" t="s">
        <v>178</v>
      </c>
      <c r="AA81" s="24" t="s">
        <v>179</v>
      </c>
      <c r="AB81" s="30"/>
    </row>
    <row r="82" spans="1:28" ht="25.5" hidden="1" x14ac:dyDescent="0.25">
      <c r="A82" s="1" t="s">
        <v>43</v>
      </c>
      <c r="B82" s="16" t="s">
        <v>101</v>
      </c>
      <c r="C82" s="17" t="s">
        <v>147</v>
      </c>
      <c r="D82" s="20">
        <f t="shared" si="2"/>
        <v>27008.860000000008</v>
      </c>
      <c r="E82" s="15">
        <v>46254</v>
      </c>
      <c r="F82" s="21">
        <v>1296.44</v>
      </c>
      <c r="G82" s="21">
        <v>0</v>
      </c>
      <c r="H82" s="1" t="s">
        <v>114</v>
      </c>
      <c r="I82" s="17" t="s">
        <v>113</v>
      </c>
      <c r="J82" s="9" t="s">
        <v>168</v>
      </c>
      <c r="K82" s="5" t="s">
        <v>169</v>
      </c>
      <c r="L82" s="16"/>
      <c r="M82" s="16"/>
      <c r="N82" s="1" t="s">
        <v>162</v>
      </c>
      <c r="O82" s="17" t="s">
        <v>163</v>
      </c>
      <c r="P82" s="16" t="s">
        <v>164</v>
      </c>
      <c r="Q82" s="1" t="s">
        <v>165</v>
      </c>
      <c r="R82" s="1" t="s">
        <v>170</v>
      </c>
      <c r="S82" s="1"/>
      <c r="T82" s="22">
        <v>0.29513888888888901</v>
      </c>
      <c r="U82" s="15">
        <v>46254</v>
      </c>
      <c r="V82" s="1" t="s">
        <v>43</v>
      </c>
      <c r="W82" s="1"/>
      <c r="X82" s="16"/>
      <c r="Y82" s="1" t="s">
        <v>43</v>
      </c>
      <c r="Z82" s="1" t="s">
        <v>151</v>
      </c>
      <c r="AA82" s="16" t="s">
        <v>101</v>
      </c>
      <c r="AB82" s="5" t="s">
        <v>171</v>
      </c>
    </row>
    <row r="83" spans="1:28" ht="25.5" hidden="1" x14ac:dyDescent="0.25">
      <c r="A83" s="23" t="s">
        <v>43</v>
      </c>
      <c r="B83" s="24" t="s">
        <v>101</v>
      </c>
      <c r="C83" s="25" t="s">
        <v>147</v>
      </c>
      <c r="D83" s="26">
        <f t="shared" si="2"/>
        <v>32497.740000000009</v>
      </c>
      <c r="E83" s="27">
        <v>46258</v>
      </c>
      <c r="F83" s="28">
        <v>5488.88</v>
      </c>
      <c r="G83" s="28">
        <v>0</v>
      </c>
      <c r="H83" s="23" t="s">
        <v>155</v>
      </c>
      <c r="I83" s="25" t="s">
        <v>113</v>
      </c>
      <c r="J83" s="29" t="s">
        <v>156</v>
      </c>
      <c r="K83" s="30" t="s">
        <v>274</v>
      </c>
      <c r="L83" s="24"/>
      <c r="M83" s="24"/>
      <c r="N83" s="23"/>
      <c r="O83" s="25"/>
      <c r="P83" s="24"/>
      <c r="Q83" s="23"/>
      <c r="R83" s="23"/>
      <c r="S83" s="23"/>
      <c r="T83" s="31">
        <v>0.17708333333333301</v>
      </c>
      <c r="U83" s="27">
        <v>46258</v>
      </c>
      <c r="V83" s="23" t="s">
        <v>158</v>
      </c>
      <c r="W83" s="23" t="s">
        <v>153</v>
      </c>
      <c r="X83" s="24" t="s">
        <v>159</v>
      </c>
      <c r="Y83" s="23" t="s">
        <v>43</v>
      </c>
      <c r="Z83" s="23" t="s">
        <v>151</v>
      </c>
      <c r="AA83" s="24" t="s">
        <v>101</v>
      </c>
      <c r="AB83" s="30"/>
    </row>
    <row r="84" spans="1:28" ht="25.5" hidden="1" x14ac:dyDescent="0.25">
      <c r="A84" s="1" t="s">
        <v>43</v>
      </c>
      <c r="B84" s="16" t="s">
        <v>101</v>
      </c>
      <c r="C84" s="17" t="s">
        <v>147</v>
      </c>
      <c r="D84" s="20">
        <f t="shared" si="2"/>
        <v>27218.62000000001</v>
      </c>
      <c r="E84" s="15">
        <v>46262</v>
      </c>
      <c r="F84" s="21">
        <v>0</v>
      </c>
      <c r="G84" s="21">
        <v>5279.12</v>
      </c>
      <c r="H84" s="1" t="s">
        <v>148</v>
      </c>
      <c r="I84" s="17" t="s">
        <v>117</v>
      </c>
      <c r="J84" s="9" t="s">
        <v>149</v>
      </c>
      <c r="K84" s="5" t="s">
        <v>172</v>
      </c>
      <c r="L84" s="16"/>
      <c r="M84" s="16"/>
      <c r="N84" s="1"/>
      <c r="O84" s="17"/>
      <c r="P84" s="16"/>
      <c r="Q84" s="1"/>
      <c r="R84" s="1"/>
      <c r="S84" s="1"/>
      <c r="T84" s="22">
        <v>0.22916666666666699</v>
      </c>
      <c r="U84" s="15">
        <v>46262</v>
      </c>
      <c r="V84" s="1" t="s">
        <v>43</v>
      </c>
      <c r="W84" s="1" t="s">
        <v>151</v>
      </c>
      <c r="X84" s="16" t="s">
        <v>101</v>
      </c>
      <c r="Y84" s="1" t="s">
        <v>173</v>
      </c>
      <c r="Z84" s="1" t="s">
        <v>153</v>
      </c>
      <c r="AA84" s="16" t="s">
        <v>174</v>
      </c>
      <c r="AB84" s="5"/>
    </row>
    <row r="85" spans="1:28" ht="25.5" hidden="1" x14ac:dyDescent="0.25">
      <c r="A85" s="23" t="s">
        <v>43</v>
      </c>
      <c r="B85" s="24" t="s">
        <v>101</v>
      </c>
      <c r="C85" s="25" t="s">
        <v>147</v>
      </c>
      <c r="D85" s="26">
        <f t="shared" si="2"/>
        <v>32618.89000000001</v>
      </c>
      <c r="E85" s="27">
        <v>46265</v>
      </c>
      <c r="F85" s="28">
        <v>5400.27</v>
      </c>
      <c r="G85" s="28">
        <v>0</v>
      </c>
      <c r="H85" s="23" t="s">
        <v>155</v>
      </c>
      <c r="I85" s="25" t="s">
        <v>113</v>
      </c>
      <c r="J85" s="29" t="s">
        <v>156</v>
      </c>
      <c r="K85" s="30" t="s">
        <v>275</v>
      </c>
      <c r="L85" s="24"/>
      <c r="M85" s="24"/>
      <c r="N85" s="23"/>
      <c r="O85" s="25"/>
      <c r="P85" s="24"/>
      <c r="Q85" s="23"/>
      <c r="R85" s="23"/>
      <c r="S85" s="23"/>
      <c r="T85" s="31">
        <v>0.17708333333333301</v>
      </c>
      <c r="U85" s="27">
        <v>46265</v>
      </c>
      <c r="V85" s="23" t="s">
        <v>158</v>
      </c>
      <c r="W85" s="23" t="s">
        <v>153</v>
      </c>
      <c r="X85" s="24" t="s">
        <v>159</v>
      </c>
      <c r="Y85" s="23" t="s">
        <v>43</v>
      </c>
      <c r="Z85" s="23" t="s">
        <v>151</v>
      </c>
      <c r="AA85" s="24" t="s">
        <v>101</v>
      </c>
      <c r="AB85" s="30"/>
    </row>
    <row r="86" spans="1:28" ht="63.75" hidden="1" x14ac:dyDescent="0.25">
      <c r="A86" s="1" t="s">
        <v>43</v>
      </c>
      <c r="B86" s="16" t="s">
        <v>101</v>
      </c>
      <c r="C86" s="17" t="s">
        <v>147</v>
      </c>
      <c r="D86" s="20">
        <f t="shared" si="2"/>
        <v>32466.240000000009</v>
      </c>
      <c r="E86" s="15">
        <v>46265</v>
      </c>
      <c r="F86" s="21">
        <v>0</v>
      </c>
      <c r="G86" s="21">
        <v>152.65</v>
      </c>
      <c r="H86" s="1" t="s">
        <v>209</v>
      </c>
      <c r="I86" s="17" t="s">
        <v>117</v>
      </c>
      <c r="J86" s="9" t="s">
        <v>181</v>
      </c>
      <c r="K86" s="5" t="s">
        <v>276</v>
      </c>
      <c r="L86" s="16"/>
      <c r="M86" s="16"/>
      <c r="N86" s="1"/>
      <c r="O86" s="17"/>
      <c r="P86" s="16"/>
      <c r="Q86" s="1"/>
      <c r="R86" s="1"/>
      <c r="S86" s="1"/>
      <c r="T86" s="22">
        <v>0.97916666666666696</v>
      </c>
      <c r="U86" s="15">
        <v>46265</v>
      </c>
      <c r="V86" s="1"/>
      <c r="W86" s="1"/>
      <c r="X86" s="16"/>
      <c r="Y86" s="1"/>
      <c r="Z86" s="1"/>
      <c r="AA86" s="16"/>
      <c r="AB86" s="5" t="s">
        <v>277</v>
      </c>
    </row>
    <row r="87" spans="1:28" ht="25.5" hidden="1" x14ac:dyDescent="0.25">
      <c r="A87" s="23" t="s">
        <v>104</v>
      </c>
      <c r="B87" s="24" t="s">
        <v>103</v>
      </c>
      <c r="C87" s="25" t="s">
        <v>278</v>
      </c>
      <c r="D87" s="26">
        <f>6214.58+F87-G87</f>
        <v>4074.58</v>
      </c>
      <c r="E87" s="27">
        <v>46143</v>
      </c>
      <c r="F87" s="28">
        <v>0</v>
      </c>
      <c r="G87" s="28">
        <v>2140</v>
      </c>
      <c r="H87" s="23" t="s">
        <v>148</v>
      </c>
      <c r="I87" s="25" t="s">
        <v>117</v>
      </c>
      <c r="J87" s="29" t="s">
        <v>181</v>
      </c>
      <c r="K87" s="30" t="s">
        <v>279</v>
      </c>
      <c r="L87" s="24"/>
      <c r="M87" s="24"/>
      <c r="N87" s="23"/>
      <c r="O87" s="25"/>
      <c r="P87" s="24"/>
      <c r="Q87" s="23"/>
      <c r="R87" s="23"/>
      <c r="S87" s="23"/>
      <c r="T87" s="31">
        <v>0.22916666666666699</v>
      </c>
      <c r="U87" s="27">
        <v>46143</v>
      </c>
      <c r="V87" s="23" t="s">
        <v>104</v>
      </c>
      <c r="W87" s="23" t="s">
        <v>151</v>
      </c>
      <c r="X87" s="24" t="s">
        <v>103</v>
      </c>
      <c r="Y87" s="23" t="s">
        <v>280</v>
      </c>
      <c r="Z87" s="23" t="s">
        <v>153</v>
      </c>
      <c r="AA87" s="24" t="s">
        <v>281</v>
      </c>
      <c r="AB87" s="30"/>
    </row>
    <row r="88" spans="1:28" ht="25.5" hidden="1" x14ac:dyDescent="0.25">
      <c r="A88" s="1" t="s">
        <v>104</v>
      </c>
      <c r="B88" s="16" t="s">
        <v>103</v>
      </c>
      <c r="C88" s="17" t="s">
        <v>278</v>
      </c>
      <c r="D88" s="20">
        <f t="shared" ref="D88:D111" si="3">D87+F88-G88</f>
        <v>3926.2599999999998</v>
      </c>
      <c r="E88" s="15">
        <v>46153</v>
      </c>
      <c r="F88" s="21">
        <v>0</v>
      </c>
      <c r="G88" s="21">
        <v>148.32</v>
      </c>
      <c r="H88" s="1" t="s">
        <v>282</v>
      </c>
      <c r="I88" s="17" t="s">
        <v>117</v>
      </c>
      <c r="J88" s="9" t="s">
        <v>181</v>
      </c>
      <c r="K88" s="5" t="s">
        <v>283</v>
      </c>
      <c r="L88" s="16" t="s">
        <v>284</v>
      </c>
      <c r="M88" s="16"/>
      <c r="N88" s="1" t="s">
        <v>285</v>
      </c>
      <c r="O88" s="17" t="s">
        <v>163</v>
      </c>
      <c r="P88" s="16" t="s">
        <v>286</v>
      </c>
      <c r="Q88" s="1"/>
      <c r="R88" s="1"/>
      <c r="S88" s="1" t="s">
        <v>287</v>
      </c>
      <c r="T88" s="22">
        <v>0.76458333333333295</v>
      </c>
      <c r="U88" s="15">
        <v>46153</v>
      </c>
      <c r="V88" s="1" t="s">
        <v>104</v>
      </c>
      <c r="W88" s="1" t="s">
        <v>151</v>
      </c>
      <c r="X88" s="16" t="s">
        <v>103</v>
      </c>
      <c r="Y88" s="1" t="s">
        <v>288</v>
      </c>
      <c r="Z88" s="1"/>
      <c r="AA88" s="16"/>
      <c r="AB88" s="5"/>
    </row>
    <row r="89" spans="1:28" ht="25.5" hidden="1" x14ac:dyDescent="0.25">
      <c r="A89" s="23" t="s">
        <v>104</v>
      </c>
      <c r="B89" s="24" t="s">
        <v>103</v>
      </c>
      <c r="C89" s="25" t="s">
        <v>278</v>
      </c>
      <c r="D89" s="26">
        <f t="shared" si="3"/>
        <v>7176.26</v>
      </c>
      <c r="E89" s="27">
        <v>46157</v>
      </c>
      <c r="F89" s="28">
        <v>3250</v>
      </c>
      <c r="G89" s="28">
        <v>0</v>
      </c>
      <c r="H89" s="23" t="s">
        <v>185</v>
      </c>
      <c r="I89" s="25" t="s">
        <v>113</v>
      </c>
      <c r="J89" s="29" t="s">
        <v>181</v>
      </c>
      <c r="K89" s="30" t="s">
        <v>289</v>
      </c>
      <c r="L89" s="24"/>
      <c r="M89" s="24"/>
      <c r="N89" s="23"/>
      <c r="O89" s="25"/>
      <c r="P89" s="24"/>
      <c r="Q89" s="23" t="s">
        <v>187</v>
      </c>
      <c r="R89" s="23"/>
      <c r="S89" s="23"/>
      <c r="T89" s="31">
        <v>0.34166666666666701</v>
      </c>
      <c r="U89" s="27">
        <v>46157</v>
      </c>
      <c r="V89" s="23" t="s">
        <v>43</v>
      </c>
      <c r="W89" s="23" t="s">
        <v>151</v>
      </c>
      <c r="X89" s="24" t="s">
        <v>101</v>
      </c>
      <c r="Y89" s="23" t="s">
        <v>104</v>
      </c>
      <c r="Z89" s="23" t="s">
        <v>151</v>
      </c>
      <c r="AA89" s="24" t="s">
        <v>103</v>
      </c>
      <c r="AB89" s="30"/>
    </row>
    <row r="90" spans="1:28" ht="25.5" hidden="1" x14ac:dyDescent="0.25">
      <c r="A90" s="1" t="s">
        <v>104</v>
      </c>
      <c r="B90" s="16" t="s">
        <v>103</v>
      </c>
      <c r="C90" s="17" t="s">
        <v>278</v>
      </c>
      <c r="D90" s="20">
        <f t="shared" si="3"/>
        <v>6994.6</v>
      </c>
      <c r="E90" s="15">
        <v>46162</v>
      </c>
      <c r="F90" s="21">
        <v>0</v>
      </c>
      <c r="G90" s="21">
        <v>181.66</v>
      </c>
      <c r="H90" s="1" t="s">
        <v>148</v>
      </c>
      <c r="I90" s="17" t="s">
        <v>117</v>
      </c>
      <c r="J90" s="9" t="s">
        <v>181</v>
      </c>
      <c r="K90" s="5" t="s">
        <v>290</v>
      </c>
      <c r="L90" s="16"/>
      <c r="M90" s="16"/>
      <c r="N90" s="1"/>
      <c r="O90" s="17"/>
      <c r="P90" s="16"/>
      <c r="Q90" s="1"/>
      <c r="R90" s="1"/>
      <c r="S90" s="1"/>
      <c r="T90" s="22">
        <v>0.22916666666666699</v>
      </c>
      <c r="U90" s="15">
        <v>46162</v>
      </c>
      <c r="V90" s="1" t="s">
        <v>104</v>
      </c>
      <c r="W90" s="1" t="s">
        <v>151</v>
      </c>
      <c r="X90" s="16" t="s">
        <v>103</v>
      </c>
      <c r="Y90" s="1" t="s">
        <v>190</v>
      </c>
      <c r="Z90" s="1" t="s">
        <v>153</v>
      </c>
      <c r="AA90" s="16" t="s">
        <v>191</v>
      </c>
      <c r="AB90" s="5"/>
    </row>
    <row r="91" spans="1:28" ht="25.5" hidden="1" x14ac:dyDescent="0.25">
      <c r="A91" s="23" t="s">
        <v>104</v>
      </c>
      <c r="B91" s="24" t="s">
        <v>103</v>
      </c>
      <c r="C91" s="25" t="s">
        <v>278</v>
      </c>
      <c r="D91" s="26">
        <f t="shared" si="3"/>
        <v>15894.6</v>
      </c>
      <c r="E91" s="27">
        <v>46163</v>
      </c>
      <c r="F91" s="59">
        <v>8900</v>
      </c>
      <c r="G91" s="28">
        <v>0</v>
      </c>
      <c r="H91" s="23" t="s">
        <v>114</v>
      </c>
      <c r="I91" s="25" t="s">
        <v>113</v>
      </c>
      <c r="J91" s="29" t="s">
        <v>192</v>
      </c>
      <c r="K91" s="30" t="s">
        <v>161</v>
      </c>
      <c r="L91" s="24"/>
      <c r="M91" s="24"/>
      <c r="N91" s="23" t="s">
        <v>218</v>
      </c>
      <c r="O91" s="25" t="s">
        <v>163</v>
      </c>
      <c r="P91" s="24" t="s">
        <v>219</v>
      </c>
      <c r="Q91" s="23" t="s">
        <v>220</v>
      </c>
      <c r="R91" s="23" t="s">
        <v>221</v>
      </c>
      <c r="S91" s="23"/>
      <c r="T91" s="31">
        <v>0.58680555555555602</v>
      </c>
      <c r="U91" s="27">
        <v>46163</v>
      </c>
      <c r="V91" s="23" t="s">
        <v>104</v>
      </c>
      <c r="W91" s="23"/>
      <c r="X91" s="24"/>
      <c r="Y91" s="23" t="s">
        <v>104</v>
      </c>
      <c r="Z91" s="23" t="s">
        <v>151</v>
      </c>
      <c r="AA91" s="24" t="s">
        <v>103</v>
      </c>
      <c r="AB91" s="30" t="s">
        <v>193</v>
      </c>
    </row>
    <row r="92" spans="1:28" ht="25.5" hidden="1" x14ac:dyDescent="0.25">
      <c r="A92" s="1" t="s">
        <v>104</v>
      </c>
      <c r="B92" s="16" t="s">
        <v>103</v>
      </c>
      <c r="C92" s="17" t="s">
        <v>278</v>
      </c>
      <c r="D92" s="20">
        <f t="shared" si="3"/>
        <v>14710.08</v>
      </c>
      <c r="E92" s="15">
        <v>46168</v>
      </c>
      <c r="F92" s="21">
        <v>0</v>
      </c>
      <c r="G92" s="21">
        <v>1184.52</v>
      </c>
      <c r="H92" s="1" t="s">
        <v>148</v>
      </c>
      <c r="I92" s="17" t="s">
        <v>117</v>
      </c>
      <c r="J92" s="9" t="s">
        <v>181</v>
      </c>
      <c r="K92" s="5" t="s">
        <v>291</v>
      </c>
      <c r="L92" s="16"/>
      <c r="M92" s="16"/>
      <c r="N92" s="1"/>
      <c r="O92" s="17"/>
      <c r="P92" s="16"/>
      <c r="Q92" s="1"/>
      <c r="R92" s="1"/>
      <c r="S92" s="1"/>
      <c r="T92" s="22">
        <v>0.22916666666666699</v>
      </c>
      <c r="U92" s="15">
        <v>46168</v>
      </c>
      <c r="V92" s="1" t="s">
        <v>104</v>
      </c>
      <c r="W92" s="1" t="s">
        <v>151</v>
      </c>
      <c r="X92" s="16" t="s">
        <v>103</v>
      </c>
      <c r="Y92" s="1" t="s">
        <v>292</v>
      </c>
      <c r="Z92" s="1" t="s">
        <v>153</v>
      </c>
      <c r="AA92" s="16" t="s">
        <v>293</v>
      </c>
      <c r="AB92" s="5"/>
    </row>
    <row r="93" spans="1:28" ht="25.5" hidden="1" x14ac:dyDescent="0.25">
      <c r="A93" s="23" t="s">
        <v>104</v>
      </c>
      <c r="B93" s="24" t="s">
        <v>103</v>
      </c>
      <c r="C93" s="25" t="s">
        <v>278</v>
      </c>
      <c r="D93" s="26">
        <f t="shared" si="3"/>
        <v>12570.08</v>
      </c>
      <c r="E93" s="27">
        <v>46174</v>
      </c>
      <c r="F93" s="28">
        <v>0</v>
      </c>
      <c r="G93" s="28">
        <v>2140</v>
      </c>
      <c r="H93" s="23" t="s">
        <v>148</v>
      </c>
      <c r="I93" s="25" t="s">
        <v>117</v>
      </c>
      <c r="J93" s="29" t="s">
        <v>181</v>
      </c>
      <c r="K93" s="30" t="s">
        <v>279</v>
      </c>
      <c r="L93" s="24"/>
      <c r="M93" s="24"/>
      <c r="N93" s="23"/>
      <c r="O93" s="25"/>
      <c r="P93" s="24"/>
      <c r="Q93" s="23"/>
      <c r="R93" s="23"/>
      <c r="S93" s="23"/>
      <c r="T93" s="31">
        <v>0.22916666666666699</v>
      </c>
      <c r="U93" s="27">
        <v>46174</v>
      </c>
      <c r="V93" s="23" t="s">
        <v>104</v>
      </c>
      <c r="W93" s="23" t="s">
        <v>151</v>
      </c>
      <c r="X93" s="24" t="s">
        <v>103</v>
      </c>
      <c r="Y93" s="23" t="s">
        <v>280</v>
      </c>
      <c r="Z93" s="23" t="s">
        <v>153</v>
      </c>
      <c r="AA93" s="24" t="s">
        <v>281</v>
      </c>
      <c r="AB93" s="30"/>
    </row>
    <row r="94" spans="1:28" ht="25.5" hidden="1" x14ac:dyDescent="0.25">
      <c r="A94" s="1" t="s">
        <v>104</v>
      </c>
      <c r="B94" s="16" t="s">
        <v>103</v>
      </c>
      <c r="C94" s="17" t="s">
        <v>278</v>
      </c>
      <c r="D94" s="20">
        <f t="shared" si="3"/>
        <v>11885.88</v>
      </c>
      <c r="E94" s="15">
        <v>46175</v>
      </c>
      <c r="F94" s="21">
        <v>0</v>
      </c>
      <c r="G94" s="21">
        <v>684.2</v>
      </c>
      <c r="H94" s="1" t="s">
        <v>148</v>
      </c>
      <c r="I94" s="17" t="s">
        <v>117</v>
      </c>
      <c r="J94" s="9" t="s">
        <v>181</v>
      </c>
      <c r="K94" s="5" t="s">
        <v>294</v>
      </c>
      <c r="L94" s="16"/>
      <c r="M94" s="16"/>
      <c r="N94" s="1"/>
      <c r="O94" s="17"/>
      <c r="P94" s="16"/>
      <c r="Q94" s="1"/>
      <c r="R94" s="1"/>
      <c r="S94" s="1"/>
      <c r="T94" s="22">
        <v>0.22916666666666699</v>
      </c>
      <c r="U94" s="15">
        <v>46175</v>
      </c>
      <c r="V94" s="1" t="s">
        <v>104</v>
      </c>
      <c r="W94" s="1" t="s">
        <v>151</v>
      </c>
      <c r="X94" s="16" t="s">
        <v>103</v>
      </c>
      <c r="Y94" s="1" t="s">
        <v>295</v>
      </c>
      <c r="Z94" s="1" t="s">
        <v>153</v>
      </c>
      <c r="AA94" s="16" t="s">
        <v>296</v>
      </c>
      <c r="AB94" s="5"/>
    </row>
    <row r="95" spans="1:28" ht="25.5" hidden="1" x14ac:dyDescent="0.25">
      <c r="A95" s="23" t="s">
        <v>104</v>
      </c>
      <c r="B95" s="24" t="s">
        <v>103</v>
      </c>
      <c r="C95" s="25" t="s">
        <v>278</v>
      </c>
      <c r="D95" s="26">
        <f t="shared" si="3"/>
        <v>15135.88</v>
      </c>
      <c r="E95" s="27">
        <v>46188</v>
      </c>
      <c r="F95" s="28">
        <v>3250</v>
      </c>
      <c r="G95" s="28">
        <v>0</v>
      </c>
      <c r="H95" s="23" t="s">
        <v>185</v>
      </c>
      <c r="I95" s="25" t="s">
        <v>113</v>
      </c>
      <c r="J95" s="29" t="s">
        <v>181</v>
      </c>
      <c r="K95" s="30" t="s">
        <v>289</v>
      </c>
      <c r="L95" s="24"/>
      <c r="M95" s="24"/>
      <c r="N95" s="23"/>
      <c r="O95" s="25"/>
      <c r="P95" s="24"/>
      <c r="Q95" s="23" t="s">
        <v>187</v>
      </c>
      <c r="R95" s="23"/>
      <c r="S95" s="23"/>
      <c r="T95" s="31">
        <v>0.34166666666666701</v>
      </c>
      <c r="U95" s="27">
        <v>46188</v>
      </c>
      <c r="V95" s="23" t="s">
        <v>43</v>
      </c>
      <c r="W95" s="23" t="s">
        <v>151</v>
      </c>
      <c r="X95" s="24" t="s">
        <v>101</v>
      </c>
      <c r="Y95" s="23" t="s">
        <v>104</v>
      </c>
      <c r="Z95" s="23" t="s">
        <v>151</v>
      </c>
      <c r="AA95" s="24" t="s">
        <v>103</v>
      </c>
      <c r="AB95" s="30"/>
    </row>
    <row r="96" spans="1:28" ht="25.5" hidden="1" x14ac:dyDescent="0.25">
      <c r="A96" s="1" t="s">
        <v>104</v>
      </c>
      <c r="B96" s="16" t="s">
        <v>103</v>
      </c>
      <c r="C96" s="17" t="s">
        <v>278</v>
      </c>
      <c r="D96" s="20">
        <f t="shared" si="3"/>
        <v>14904.38</v>
      </c>
      <c r="E96" s="15">
        <v>46191</v>
      </c>
      <c r="F96" s="21">
        <v>0</v>
      </c>
      <c r="G96" s="21">
        <v>231.5</v>
      </c>
      <c r="H96" s="1" t="s">
        <v>148</v>
      </c>
      <c r="I96" s="17" t="s">
        <v>117</v>
      </c>
      <c r="J96" s="9" t="s">
        <v>181</v>
      </c>
      <c r="K96" s="5" t="s">
        <v>290</v>
      </c>
      <c r="L96" s="16"/>
      <c r="M96" s="16"/>
      <c r="N96" s="1"/>
      <c r="O96" s="17"/>
      <c r="P96" s="16"/>
      <c r="Q96" s="1"/>
      <c r="R96" s="1"/>
      <c r="S96" s="1"/>
      <c r="T96" s="22">
        <v>0.22916666666666699</v>
      </c>
      <c r="U96" s="15">
        <v>46191</v>
      </c>
      <c r="V96" s="1" t="s">
        <v>104</v>
      </c>
      <c r="W96" s="1" t="s">
        <v>151</v>
      </c>
      <c r="X96" s="16" t="s">
        <v>103</v>
      </c>
      <c r="Y96" s="1" t="s">
        <v>190</v>
      </c>
      <c r="Z96" s="1" t="s">
        <v>153</v>
      </c>
      <c r="AA96" s="16" t="s">
        <v>191</v>
      </c>
      <c r="AB96" s="5"/>
    </row>
    <row r="97" spans="1:28" hidden="1" x14ac:dyDescent="0.25">
      <c r="A97" s="23" t="s">
        <v>104</v>
      </c>
      <c r="B97" s="24" t="s">
        <v>103</v>
      </c>
      <c r="C97" s="25" t="s">
        <v>278</v>
      </c>
      <c r="D97" s="26">
        <f t="shared" si="3"/>
        <v>14842.23</v>
      </c>
      <c r="E97" s="27">
        <v>46196</v>
      </c>
      <c r="F97" s="28">
        <v>0</v>
      </c>
      <c r="G97" s="28">
        <v>62.15</v>
      </c>
      <c r="H97" s="23" t="s">
        <v>282</v>
      </c>
      <c r="I97" s="25" t="s">
        <v>117</v>
      </c>
      <c r="J97" s="29" t="s">
        <v>181</v>
      </c>
      <c r="K97" s="30" t="s">
        <v>297</v>
      </c>
      <c r="L97" s="24" t="s">
        <v>284</v>
      </c>
      <c r="M97" s="24"/>
      <c r="N97" s="23" t="s">
        <v>285</v>
      </c>
      <c r="O97" s="25" t="s">
        <v>163</v>
      </c>
      <c r="P97" s="24" t="s">
        <v>286</v>
      </c>
      <c r="Q97" s="23"/>
      <c r="R97" s="23"/>
      <c r="S97" s="23" t="s">
        <v>298</v>
      </c>
      <c r="T97" s="31">
        <v>0.32500000000000001</v>
      </c>
      <c r="U97" s="27">
        <v>46196</v>
      </c>
      <c r="V97" s="23" t="s">
        <v>104</v>
      </c>
      <c r="W97" s="23" t="s">
        <v>151</v>
      </c>
      <c r="X97" s="24" t="s">
        <v>103</v>
      </c>
      <c r="Y97" s="23" t="s">
        <v>299</v>
      </c>
      <c r="Z97" s="23"/>
      <c r="AA97" s="24"/>
      <c r="AB97" s="30"/>
    </row>
    <row r="98" spans="1:28" ht="25.5" hidden="1" x14ac:dyDescent="0.25">
      <c r="A98" s="1" t="s">
        <v>104</v>
      </c>
      <c r="B98" s="16" t="s">
        <v>103</v>
      </c>
      <c r="C98" s="17" t="s">
        <v>278</v>
      </c>
      <c r="D98" s="20">
        <f t="shared" si="3"/>
        <v>13879.859999999999</v>
      </c>
      <c r="E98" s="15">
        <v>46198</v>
      </c>
      <c r="F98" s="21">
        <v>0</v>
      </c>
      <c r="G98" s="21">
        <v>962.37</v>
      </c>
      <c r="H98" s="1" t="s">
        <v>148</v>
      </c>
      <c r="I98" s="17" t="s">
        <v>117</v>
      </c>
      <c r="J98" s="9" t="s">
        <v>181</v>
      </c>
      <c r="K98" s="5" t="s">
        <v>291</v>
      </c>
      <c r="L98" s="16"/>
      <c r="M98" s="16"/>
      <c r="N98" s="1"/>
      <c r="O98" s="17"/>
      <c r="P98" s="16"/>
      <c r="Q98" s="1"/>
      <c r="R98" s="1"/>
      <c r="S98" s="1"/>
      <c r="T98" s="22">
        <v>0.22916666666666699</v>
      </c>
      <c r="U98" s="15">
        <v>46198</v>
      </c>
      <c r="V98" s="1" t="s">
        <v>104</v>
      </c>
      <c r="W98" s="1" t="s">
        <v>151</v>
      </c>
      <c r="X98" s="16" t="s">
        <v>103</v>
      </c>
      <c r="Y98" s="1" t="s">
        <v>292</v>
      </c>
      <c r="Z98" s="1" t="s">
        <v>153</v>
      </c>
      <c r="AA98" s="16" t="s">
        <v>293</v>
      </c>
      <c r="AB98" s="5"/>
    </row>
    <row r="99" spans="1:28" ht="25.5" hidden="1" x14ac:dyDescent="0.25">
      <c r="A99" s="23" t="s">
        <v>104</v>
      </c>
      <c r="B99" s="24" t="s">
        <v>103</v>
      </c>
      <c r="C99" s="25" t="s">
        <v>278</v>
      </c>
      <c r="D99" s="26">
        <f t="shared" si="3"/>
        <v>23329.86</v>
      </c>
      <c r="E99" s="27">
        <v>46203</v>
      </c>
      <c r="F99" s="59">
        <v>9450</v>
      </c>
      <c r="G99" s="28">
        <v>0</v>
      </c>
      <c r="H99" s="23" t="s">
        <v>114</v>
      </c>
      <c r="I99" s="25" t="s">
        <v>113</v>
      </c>
      <c r="J99" s="29" t="s">
        <v>192</v>
      </c>
      <c r="K99" s="30" t="s">
        <v>161</v>
      </c>
      <c r="L99" s="24"/>
      <c r="M99" s="24"/>
      <c r="N99" s="23" t="s">
        <v>285</v>
      </c>
      <c r="O99" s="25" t="s">
        <v>163</v>
      </c>
      <c r="P99" s="24" t="s">
        <v>286</v>
      </c>
      <c r="Q99" s="23" t="s">
        <v>300</v>
      </c>
      <c r="R99" s="23" t="s">
        <v>301</v>
      </c>
      <c r="S99" s="23"/>
      <c r="T99" s="31">
        <v>0.56666666666666698</v>
      </c>
      <c r="U99" s="27">
        <v>46203</v>
      </c>
      <c r="V99" s="23" t="s">
        <v>104</v>
      </c>
      <c r="W99" s="23"/>
      <c r="X99" s="24"/>
      <c r="Y99" s="23" t="s">
        <v>104</v>
      </c>
      <c r="Z99" s="23" t="s">
        <v>151</v>
      </c>
      <c r="AA99" s="24" t="s">
        <v>103</v>
      </c>
      <c r="AB99" s="30" t="s">
        <v>193</v>
      </c>
    </row>
    <row r="100" spans="1:28" ht="25.5" hidden="1" x14ac:dyDescent="0.25">
      <c r="A100" s="1" t="s">
        <v>104</v>
      </c>
      <c r="B100" s="16" t="s">
        <v>103</v>
      </c>
      <c r="C100" s="17" t="s">
        <v>278</v>
      </c>
      <c r="D100" s="20">
        <f t="shared" si="3"/>
        <v>21189.86</v>
      </c>
      <c r="E100" s="15">
        <v>46204</v>
      </c>
      <c r="F100" s="21">
        <v>0</v>
      </c>
      <c r="G100" s="21">
        <v>2140</v>
      </c>
      <c r="H100" s="1" t="s">
        <v>148</v>
      </c>
      <c r="I100" s="17" t="s">
        <v>117</v>
      </c>
      <c r="J100" s="9" t="s">
        <v>181</v>
      </c>
      <c r="K100" s="5" t="s">
        <v>279</v>
      </c>
      <c r="L100" s="16"/>
      <c r="M100" s="16"/>
      <c r="N100" s="1"/>
      <c r="O100" s="17"/>
      <c r="P100" s="16"/>
      <c r="Q100" s="1"/>
      <c r="R100" s="1"/>
      <c r="S100" s="1"/>
      <c r="T100" s="22">
        <v>0.22916666666666699</v>
      </c>
      <c r="U100" s="15">
        <v>46204</v>
      </c>
      <c r="V100" s="1" t="s">
        <v>104</v>
      </c>
      <c r="W100" s="1" t="s">
        <v>151</v>
      </c>
      <c r="X100" s="16" t="s">
        <v>103</v>
      </c>
      <c r="Y100" s="1" t="s">
        <v>280</v>
      </c>
      <c r="Z100" s="1" t="s">
        <v>153</v>
      </c>
      <c r="AA100" s="16" t="s">
        <v>281</v>
      </c>
      <c r="AB100" s="5"/>
    </row>
    <row r="101" spans="1:28" ht="25.5" hidden="1" x14ac:dyDescent="0.25">
      <c r="A101" s="23" t="s">
        <v>104</v>
      </c>
      <c r="B101" s="24" t="s">
        <v>103</v>
      </c>
      <c r="C101" s="25" t="s">
        <v>278</v>
      </c>
      <c r="D101" s="26">
        <f t="shared" si="3"/>
        <v>24439.86</v>
      </c>
      <c r="E101" s="27">
        <v>46218</v>
      </c>
      <c r="F101" s="28">
        <v>3250</v>
      </c>
      <c r="G101" s="28">
        <v>0</v>
      </c>
      <c r="H101" s="23" t="s">
        <v>185</v>
      </c>
      <c r="I101" s="25" t="s">
        <v>113</v>
      </c>
      <c r="J101" s="29" t="s">
        <v>181</v>
      </c>
      <c r="K101" s="30" t="s">
        <v>289</v>
      </c>
      <c r="L101" s="24"/>
      <c r="M101" s="24"/>
      <c r="N101" s="23"/>
      <c r="O101" s="25"/>
      <c r="P101" s="24"/>
      <c r="Q101" s="23" t="s">
        <v>187</v>
      </c>
      <c r="R101" s="23"/>
      <c r="S101" s="23"/>
      <c r="T101" s="31">
        <v>0.34166666666666701</v>
      </c>
      <c r="U101" s="27">
        <v>46218</v>
      </c>
      <c r="V101" s="23" t="s">
        <v>43</v>
      </c>
      <c r="W101" s="23" t="s">
        <v>151</v>
      </c>
      <c r="X101" s="24" t="s">
        <v>101</v>
      </c>
      <c r="Y101" s="23" t="s">
        <v>104</v>
      </c>
      <c r="Z101" s="23" t="s">
        <v>151</v>
      </c>
      <c r="AA101" s="24" t="s">
        <v>103</v>
      </c>
      <c r="AB101" s="30"/>
    </row>
    <row r="102" spans="1:28" ht="25.5" hidden="1" x14ac:dyDescent="0.25">
      <c r="A102" s="1" t="s">
        <v>104</v>
      </c>
      <c r="B102" s="16" t="s">
        <v>103</v>
      </c>
      <c r="C102" s="17" t="s">
        <v>278</v>
      </c>
      <c r="D102" s="20">
        <f t="shared" si="3"/>
        <v>24189.88</v>
      </c>
      <c r="E102" s="15">
        <v>46223</v>
      </c>
      <c r="F102" s="21">
        <v>0</v>
      </c>
      <c r="G102" s="21">
        <v>249.98</v>
      </c>
      <c r="H102" s="1" t="s">
        <v>148</v>
      </c>
      <c r="I102" s="17" t="s">
        <v>117</v>
      </c>
      <c r="J102" s="9" t="s">
        <v>181</v>
      </c>
      <c r="K102" s="5" t="s">
        <v>290</v>
      </c>
      <c r="L102" s="16"/>
      <c r="M102" s="16"/>
      <c r="N102" s="1"/>
      <c r="O102" s="17"/>
      <c r="P102" s="16"/>
      <c r="Q102" s="1"/>
      <c r="R102" s="1"/>
      <c r="S102" s="1"/>
      <c r="T102" s="22">
        <v>0.22916666666666699</v>
      </c>
      <c r="U102" s="15">
        <v>46223</v>
      </c>
      <c r="V102" s="1" t="s">
        <v>104</v>
      </c>
      <c r="W102" s="1" t="s">
        <v>151</v>
      </c>
      <c r="X102" s="16" t="s">
        <v>103</v>
      </c>
      <c r="Y102" s="1" t="s">
        <v>190</v>
      </c>
      <c r="Z102" s="1" t="s">
        <v>153</v>
      </c>
      <c r="AA102" s="16" t="s">
        <v>191</v>
      </c>
      <c r="AB102" s="5"/>
    </row>
    <row r="103" spans="1:28" ht="25.5" hidden="1" x14ac:dyDescent="0.25">
      <c r="A103" s="23" t="s">
        <v>104</v>
      </c>
      <c r="B103" s="24" t="s">
        <v>103</v>
      </c>
      <c r="C103" s="25" t="s">
        <v>278</v>
      </c>
      <c r="D103" s="26">
        <f t="shared" si="3"/>
        <v>22884.080000000002</v>
      </c>
      <c r="E103" s="27">
        <v>46227</v>
      </c>
      <c r="F103" s="28">
        <v>0</v>
      </c>
      <c r="G103" s="28">
        <v>1305.8</v>
      </c>
      <c r="H103" s="23" t="s">
        <v>148</v>
      </c>
      <c r="I103" s="25" t="s">
        <v>117</v>
      </c>
      <c r="J103" s="29" t="s">
        <v>181</v>
      </c>
      <c r="K103" s="30" t="s">
        <v>291</v>
      </c>
      <c r="L103" s="24"/>
      <c r="M103" s="24"/>
      <c r="N103" s="23"/>
      <c r="O103" s="25"/>
      <c r="P103" s="24"/>
      <c r="Q103" s="23"/>
      <c r="R103" s="23"/>
      <c r="S103" s="23"/>
      <c r="T103" s="31">
        <v>0.22916666666666699</v>
      </c>
      <c r="U103" s="27">
        <v>46227</v>
      </c>
      <c r="V103" s="23" t="s">
        <v>104</v>
      </c>
      <c r="W103" s="23" t="s">
        <v>151</v>
      </c>
      <c r="X103" s="24" t="s">
        <v>103</v>
      </c>
      <c r="Y103" s="23" t="s">
        <v>292</v>
      </c>
      <c r="Z103" s="23" t="s">
        <v>153</v>
      </c>
      <c r="AA103" s="24" t="s">
        <v>293</v>
      </c>
      <c r="AB103" s="30"/>
    </row>
    <row r="104" spans="1:28" ht="63.75" hidden="1" x14ac:dyDescent="0.25">
      <c r="A104" s="1" t="s">
        <v>104</v>
      </c>
      <c r="B104" s="16" t="s">
        <v>103</v>
      </c>
      <c r="C104" s="17" t="s">
        <v>278</v>
      </c>
      <c r="D104" s="20">
        <f t="shared" si="3"/>
        <v>32084.080000000002</v>
      </c>
      <c r="E104" s="15">
        <v>46230</v>
      </c>
      <c r="F104" s="60">
        <v>9200</v>
      </c>
      <c r="G104" s="21">
        <v>0</v>
      </c>
      <c r="H104" s="1" t="s">
        <v>114</v>
      </c>
      <c r="I104" s="17" t="s">
        <v>113</v>
      </c>
      <c r="J104" s="9" t="s">
        <v>192</v>
      </c>
      <c r="K104" s="5" t="s">
        <v>161</v>
      </c>
      <c r="L104" s="16"/>
      <c r="M104" s="16"/>
      <c r="N104" s="1" t="s">
        <v>285</v>
      </c>
      <c r="O104" s="17" t="s">
        <v>163</v>
      </c>
      <c r="P104" s="16" t="s">
        <v>286</v>
      </c>
      <c r="Q104" s="1" t="s">
        <v>300</v>
      </c>
      <c r="R104" s="1" t="s">
        <v>301</v>
      </c>
      <c r="S104" s="1"/>
      <c r="T104" s="22">
        <v>0.55416666666666703</v>
      </c>
      <c r="U104" s="15">
        <v>46230</v>
      </c>
      <c r="V104" s="1" t="s">
        <v>104</v>
      </c>
      <c r="W104" s="1"/>
      <c r="X104" s="16"/>
      <c r="Y104" s="1" t="s">
        <v>104</v>
      </c>
      <c r="Z104" s="1" t="s">
        <v>151</v>
      </c>
      <c r="AA104" s="16" t="s">
        <v>103</v>
      </c>
      <c r="AB104" s="5" t="s">
        <v>263</v>
      </c>
    </row>
    <row r="105" spans="1:28" ht="38.25" hidden="1" x14ac:dyDescent="0.25">
      <c r="A105" s="23" t="s">
        <v>104</v>
      </c>
      <c r="B105" s="24" t="s">
        <v>103</v>
      </c>
      <c r="C105" s="25" t="s">
        <v>278</v>
      </c>
      <c r="D105" s="26">
        <f t="shared" si="3"/>
        <v>14584.080000000002</v>
      </c>
      <c r="E105" s="27">
        <v>46233</v>
      </c>
      <c r="F105" s="28">
        <v>0</v>
      </c>
      <c r="G105" s="28">
        <v>17500</v>
      </c>
      <c r="H105" s="61" t="s">
        <v>118</v>
      </c>
      <c r="I105" s="25" t="s">
        <v>117</v>
      </c>
      <c r="J105" s="29" t="s">
        <v>222</v>
      </c>
      <c r="K105" s="30" t="s">
        <v>223</v>
      </c>
      <c r="L105" s="24"/>
      <c r="M105" s="24"/>
      <c r="N105" s="23" t="s">
        <v>285</v>
      </c>
      <c r="O105" s="25" t="s">
        <v>163</v>
      </c>
      <c r="P105" s="24" t="s">
        <v>286</v>
      </c>
      <c r="Q105" s="23" t="s">
        <v>300</v>
      </c>
      <c r="R105" s="23" t="s">
        <v>301</v>
      </c>
      <c r="S105" s="23"/>
      <c r="T105" s="31">
        <v>0.61944444444444502</v>
      </c>
      <c r="U105" s="27">
        <v>46233</v>
      </c>
      <c r="V105" s="23" t="s">
        <v>104</v>
      </c>
      <c r="W105" s="23" t="s">
        <v>151</v>
      </c>
      <c r="X105" s="24" t="s">
        <v>103</v>
      </c>
      <c r="Y105" s="23" t="s">
        <v>224</v>
      </c>
      <c r="Z105" s="23" t="s">
        <v>225</v>
      </c>
      <c r="AA105" s="24" t="s">
        <v>226</v>
      </c>
      <c r="AB105" s="30" t="s">
        <v>302</v>
      </c>
    </row>
    <row r="106" spans="1:28" hidden="1" x14ac:dyDescent="0.25">
      <c r="A106" s="1" t="s">
        <v>104</v>
      </c>
      <c r="B106" s="16" t="s">
        <v>103</v>
      </c>
      <c r="C106" s="17" t="s">
        <v>278</v>
      </c>
      <c r="D106" s="20">
        <f t="shared" si="3"/>
        <v>14554.080000000002</v>
      </c>
      <c r="E106" s="15">
        <v>46233</v>
      </c>
      <c r="F106" s="21">
        <v>0</v>
      </c>
      <c r="G106" s="21">
        <v>30</v>
      </c>
      <c r="H106" s="1" t="s">
        <v>209</v>
      </c>
      <c r="I106" s="17" t="s">
        <v>117</v>
      </c>
      <c r="J106" s="9" t="s">
        <v>181</v>
      </c>
      <c r="K106" s="5" t="s">
        <v>303</v>
      </c>
      <c r="L106" s="16"/>
      <c r="M106" s="16"/>
      <c r="N106" s="1" t="s">
        <v>285</v>
      </c>
      <c r="O106" s="17" t="s">
        <v>163</v>
      </c>
      <c r="P106" s="16" t="s">
        <v>286</v>
      </c>
      <c r="Q106" s="1" t="s">
        <v>300</v>
      </c>
      <c r="R106" s="1" t="s">
        <v>301</v>
      </c>
      <c r="S106" s="1"/>
      <c r="T106" s="22">
        <v>0.61944444444444502</v>
      </c>
      <c r="U106" s="15">
        <v>46233</v>
      </c>
      <c r="V106" s="1"/>
      <c r="W106" s="1"/>
      <c r="X106" s="16"/>
      <c r="Y106" s="1"/>
      <c r="Z106" s="1"/>
      <c r="AA106" s="16"/>
      <c r="AB106" s="5"/>
    </row>
    <row r="107" spans="1:28" ht="25.5" hidden="1" x14ac:dyDescent="0.25">
      <c r="A107" s="23" t="s">
        <v>104</v>
      </c>
      <c r="B107" s="24" t="s">
        <v>103</v>
      </c>
      <c r="C107" s="25" t="s">
        <v>278</v>
      </c>
      <c r="D107" s="26">
        <f t="shared" si="3"/>
        <v>12414.080000000002</v>
      </c>
      <c r="E107" s="27">
        <v>46237</v>
      </c>
      <c r="F107" s="28">
        <v>0</v>
      </c>
      <c r="G107" s="28">
        <v>2140</v>
      </c>
      <c r="H107" s="23" t="s">
        <v>148</v>
      </c>
      <c r="I107" s="25" t="s">
        <v>117</v>
      </c>
      <c r="J107" s="29" t="s">
        <v>181</v>
      </c>
      <c r="K107" s="30" t="s">
        <v>279</v>
      </c>
      <c r="L107" s="24"/>
      <c r="M107" s="24"/>
      <c r="N107" s="23"/>
      <c r="O107" s="25"/>
      <c r="P107" s="24"/>
      <c r="Q107" s="23"/>
      <c r="R107" s="23"/>
      <c r="S107" s="23"/>
      <c r="T107" s="31">
        <v>0.22916666666666699</v>
      </c>
      <c r="U107" s="27">
        <v>46237</v>
      </c>
      <c r="V107" s="23" t="s">
        <v>104</v>
      </c>
      <c r="W107" s="23" t="s">
        <v>151</v>
      </c>
      <c r="X107" s="24" t="s">
        <v>103</v>
      </c>
      <c r="Y107" s="23" t="s">
        <v>280</v>
      </c>
      <c r="Z107" s="23" t="s">
        <v>153</v>
      </c>
      <c r="AA107" s="24" t="s">
        <v>281</v>
      </c>
      <c r="AB107" s="30"/>
    </row>
    <row r="108" spans="1:28" ht="25.5" hidden="1" x14ac:dyDescent="0.25">
      <c r="A108" s="1" t="s">
        <v>104</v>
      </c>
      <c r="B108" s="16" t="s">
        <v>103</v>
      </c>
      <c r="C108" s="17" t="s">
        <v>278</v>
      </c>
      <c r="D108" s="20">
        <f t="shared" si="3"/>
        <v>12375.180000000002</v>
      </c>
      <c r="E108" s="15">
        <v>46241</v>
      </c>
      <c r="F108" s="21">
        <v>0</v>
      </c>
      <c r="G108" s="21">
        <v>38.9</v>
      </c>
      <c r="H108" s="1" t="s">
        <v>282</v>
      </c>
      <c r="I108" s="17" t="s">
        <v>117</v>
      </c>
      <c r="J108" s="9" t="s">
        <v>181</v>
      </c>
      <c r="K108" s="5" t="s">
        <v>304</v>
      </c>
      <c r="L108" s="16" t="s">
        <v>284</v>
      </c>
      <c r="M108" s="16"/>
      <c r="N108" s="1" t="s">
        <v>285</v>
      </c>
      <c r="O108" s="17" t="s">
        <v>163</v>
      </c>
      <c r="P108" s="16" t="s">
        <v>305</v>
      </c>
      <c r="Q108" s="1"/>
      <c r="R108" s="1"/>
      <c r="S108" s="1" t="s">
        <v>306</v>
      </c>
      <c r="T108" s="22">
        <v>0.70972222222222203</v>
      </c>
      <c r="U108" s="15">
        <v>46241</v>
      </c>
      <c r="V108" s="1" t="s">
        <v>104</v>
      </c>
      <c r="W108" s="1" t="s">
        <v>151</v>
      </c>
      <c r="X108" s="16" t="s">
        <v>103</v>
      </c>
      <c r="Y108" s="1" t="s">
        <v>307</v>
      </c>
      <c r="Z108" s="1"/>
      <c r="AA108" s="16"/>
      <c r="AB108" s="5"/>
    </row>
    <row r="109" spans="1:28" ht="25.5" hidden="1" x14ac:dyDescent="0.25">
      <c r="A109" s="23" t="s">
        <v>104</v>
      </c>
      <c r="B109" s="24" t="s">
        <v>103</v>
      </c>
      <c r="C109" s="25" t="s">
        <v>278</v>
      </c>
      <c r="D109" s="26">
        <f t="shared" si="3"/>
        <v>15625.180000000002</v>
      </c>
      <c r="E109" s="27">
        <v>46248</v>
      </c>
      <c r="F109" s="28">
        <v>3250</v>
      </c>
      <c r="G109" s="28">
        <v>0</v>
      </c>
      <c r="H109" s="23" t="s">
        <v>185</v>
      </c>
      <c r="I109" s="25" t="s">
        <v>113</v>
      </c>
      <c r="J109" s="29" t="s">
        <v>181</v>
      </c>
      <c r="K109" s="30" t="s">
        <v>289</v>
      </c>
      <c r="L109" s="24"/>
      <c r="M109" s="24"/>
      <c r="N109" s="23"/>
      <c r="O109" s="25"/>
      <c r="P109" s="24"/>
      <c r="Q109" s="23" t="s">
        <v>187</v>
      </c>
      <c r="R109" s="23"/>
      <c r="S109" s="23"/>
      <c r="T109" s="31">
        <v>0.34166666666666701</v>
      </c>
      <c r="U109" s="27">
        <v>46248</v>
      </c>
      <c r="V109" s="23" t="s">
        <v>43</v>
      </c>
      <c r="W109" s="23" t="s">
        <v>151</v>
      </c>
      <c r="X109" s="24" t="s">
        <v>101</v>
      </c>
      <c r="Y109" s="23" t="s">
        <v>104</v>
      </c>
      <c r="Z109" s="23" t="s">
        <v>151</v>
      </c>
      <c r="AA109" s="24" t="s">
        <v>103</v>
      </c>
      <c r="AB109" s="30"/>
    </row>
    <row r="110" spans="1:28" ht="25.5" hidden="1" x14ac:dyDescent="0.25">
      <c r="A110" s="1" t="s">
        <v>104</v>
      </c>
      <c r="B110" s="16" t="s">
        <v>103</v>
      </c>
      <c r="C110" s="17" t="s">
        <v>278</v>
      </c>
      <c r="D110" s="20">
        <f t="shared" si="3"/>
        <v>15375.620000000003</v>
      </c>
      <c r="E110" s="15">
        <v>46253</v>
      </c>
      <c r="F110" s="21">
        <v>0</v>
      </c>
      <c r="G110" s="21">
        <v>249.56</v>
      </c>
      <c r="H110" s="1" t="s">
        <v>148</v>
      </c>
      <c r="I110" s="17" t="s">
        <v>117</v>
      </c>
      <c r="J110" s="9" t="s">
        <v>181</v>
      </c>
      <c r="K110" s="5" t="s">
        <v>290</v>
      </c>
      <c r="L110" s="16"/>
      <c r="M110" s="16"/>
      <c r="N110" s="1"/>
      <c r="O110" s="17"/>
      <c r="P110" s="16"/>
      <c r="Q110" s="1"/>
      <c r="R110" s="1"/>
      <c r="S110" s="1"/>
      <c r="T110" s="22">
        <v>0.22916666666666699</v>
      </c>
      <c r="U110" s="15">
        <v>46253</v>
      </c>
      <c r="V110" s="1" t="s">
        <v>104</v>
      </c>
      <c r="W110" s="1" t="s">
        <v>151</v>
      </c>
      <c r="X110" s="16" t="s">
        <v>103</v>
      </c>
      <c r="Y110" s="1" t="s">
        <v>190</v>
      </c>
      <c r="Z110" s="1" t="s">
        <v>153</v>
      </c>
      <c r="AA110" s="16" t="s">
        <v>191</v>
      </c>
      <c r="AB110" s="5"/>
    </row>
    <row r="111" spans="1:28" ht="25.5" hidden="1" x14ac:dyDescent="0.25">
      <c r="A111" s="23" t="s">
        <v>104</v>
      </c>
      <c r="B111" s="24" t="s">
        <v>103</v>
      </c>
      <c r="C111" s="25" t="s">
        <v>278</v>
      </c>
      <c r="D111" s="26">
        <f t="shared" si="3"/>
        <v>14328.460000000003</v>
      </c>
      <c r="E111" s="27">
        <v>46259</v>
      </c>
      <c r="F111" s="28">
        <v>0</v>
      </c>
      <c r="G111" s="28">
        <v>1047.1600000000001</v>
      </c>
      <c r="H111" s="23" t="s">
        <v>148</v>
      </c>
      <c r="I111" s="25" t="s">
        <v>117</v>
      </c>
      <c r="J111" s="29" t="s">
        <v>181</v>
      </c>
      <c r="K111" s="30" t="s">
        <v>291</v>
      </c>
      <c r="L111" s="24"/>
      <c r="M111" s="24"/>
      <c r="N111" s="23"/>
      <c r="O111" s="25"/>
      <c r="P111" s="24"/>
      <c r="Q111" s="23"/>
      <c r="R111" s="23"/>
      <c r="S111" s="23"/>
      <c r="T111" s="31">
        <v>0.22916666666666699</v>
      </c>
      <c r="U111" s="27">
        <v>46259</v>
      </c>
      <c r="V111" s="23" t="s">
        <v>104</v>
      </c>
      <c r="W111" s="23" t="s">
        <v>151</v>
      </c>
      <c r="X111" s="24" t="s">
        <v>103</v>
      </c>
      <c r="Y111" s="23" t="s">
        <v>292</v>
      </c>
      <c r="Z111" s="23" t="s">
        <v>153</v>
      </c>
      <c r="AA111" s="24" t="s">
        <v>293</v>
      </c>
      <c r="AB111" s="30"/>
    </row>
  </sheetData>
  <autoFilter ref="A1:AB111" xr:uid="{00000000-0001-0000-0400-000000000000}">
    <filterColumn colId="7">
      <filters>
        <filter val="Wire"/>
      </filters>
    </filterColumn>
    <filterColumn colId="24">
      <filters>
        <filter val="Golden Kestral General Trading FZE"/>
        <filter val="Golden Kestrel General Trading FZE"/>
      </filters>
    </filterColumn>
  </autoFilter>
  <pageMargins left="0.4" right="0.4" top="0.75" bottom="0.75" header="0.3" footer="0.3"/>
  <pageSetup paperSize="5" fitToWidth="2" fitToHeight="0" orientation="landscape" horizontalDpi="300" verticalDpi="300"/>
  <headerFooter>
    <oddHeader>&amp;CPractice Case A – Instructor Key – CONFIDENTIAL</oddHeader>
    <oddFooter>&amp;L&amp;A&amp;RPage &amp;P of &amp;N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2A44"/>
    <pageSetUpPr fitToPage="1"/>
  </sheetPr>
  <dimension ref="A1"/>
  <sheetViews>
    <sheetView showGridLines="0" zoomScaleNormal="100" workbookViewId="0"/>
  </sheetViews>
  <sheetFormatPr defaultColWidth="8.7109375" defaultRowHeight="15" x14ac:dyDescent="0.25"/>
  <cols>
    <col min="1" max="1" width="120" customWidth="1"/>
  </cols>
  <sheetData>
    <row r="1" spans="1:1" ht="33.75" customHeight="1" x14ac:dyDescent="0.25">
      <c r="A1" s="4" t="s">
        <v>308</v>
      </c>
    </row>
  </sheetData>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2A44"/>
    <pageSetUpPr fitToPage="1"/>
  </sheetPr>
  <dimension ref="A1"/>
  <sheetViews>
    <sheetView showGridLines="0" zoomScaleNormal="100" workbookViewId="0"/>
  </sheetViews>
  <sheetFormatPr defaultColWidth="8.7109375" defaultRowHeight="15" x14ac:dyDescent="0.25"/>
  <cols>
    <col min="1" max="1" width="120" customWidth="1"/>
  </cols>
  <sheetData>
    <row r="1" spans="1:1" ht="33.75" customHeight="1" x14ac:dyDescent="0.25">
      <c r="A1" s="4" t="s">
        <v>309</v>
      </c>
    </row>
  </sheetData>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2A44"/>
    <pageSetUpPr fitToPage="1"/>
  </sheetPr>
  <dimension ref="A1:A3"/>
  <sheetViews>
    <sheetView showGridLines="0" zoomScaleNormal="100" workbookViewId="0">
      <selection activeCell="D1" sqref="D1"/>
    </sheetView>
  </sheetViews>
  <sheetFormatPr defaultColWidth="8.7109375" defaultRowHeight="15" x14ac:dyDescent="0.25"/>
  <cols>
    <col min="1" max="1" width="150" customWidth="1"/>
  </cols>
  <sheetData>
    <row r="1" spans="1:1" ht="408.75" customHeight="1" x14ac:dyDescent="0.25">
      <c r="A1" s="32" t="s">
        <v>310</v>
      </c>
    </row>
    <row r="3" spans="1:1" x14ac:dyDescent="0.25">
      <c r="A3" s="33" t="s">
        <v>311</v>
      </c>
    </row>
  </sheetData>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2A44"/>
    <pageSetUpPr fitToPage="1"/>
  </sheetPr>
  <dimension ref="A1:E76"/>
  <sheetViews>
    <sheetView showGridLines="0" zoomScaleNormal="100" workbookViewId="0">
      <pane ySplit="1" topLeftCell="A2" activePane="bottomLeft" state="frozen"/>
      <selection pane="bottomLeft"/>
    </sheetView>
  </sheetViews>
  <sheetFormatPr defaultColWidth="8.7109375" defaultRowHeight="15" x14ac:dyDescent="0.25"/>
  <cols>
    <col min="1" max="1" width="5" customWidth="1"/>
    <col min="2" max="2" width="54" customWidth="1"/>
    <col min="3" max="3" width="5" customWidth="1"/>
    <col min="4" max="4" width="54" customWidth="1"/>
    <col min="5" max="5" width="14" customWidth="1"/>
  </cols>
  <sheetData>
    <row r="1" spans="1:5" ht="24" customHeight="1" x14ac:dyDescent="0.25">
      <c r="A1" s="8" t="s">
        <v>312</v>
      </c>
      <c r="B1" s="8"/>
      <c r="C1" s="8"/>
      <c r="D1" s="8"/>
      <c r="E1" s="8"/>
    </row>
    <row r="2" spans="1:5" x14ac:dyDescent="0.25">
      <c r="A2" s="34" t="s">
        <v>313</v>
      </c>
    </row>
    <row r="3" spans="1:5" x14ac:dyDescent="0.25">
      <c r="A3" s="7" t="s">
        <v>314</v>
      </c>
    </row>
    <row r="4" spans="1:5" x14ac:dyDescent="0.25">
      <c r="A4" s="35" t="s">
        <v>315</v>
      </c>
    </row>
    <row r="6" spans="1:5" ht="18" customHeight="1" x14ac:dyDescent="0.25">
      <c r="A6" s="6" t="s">
        <v>316</v>
      </c>
      <c r="B6" s="6"/>
      <c r="C6" s="6"/>
      <c r="D6" s="6"/>
      <c r="E6" s="6"/>
    </row>
    <row r="7" spans="1:5" ht="30" customHeight="1" x14ac:dyDescent="0.25">
      <c r="B7" s="4" t="s">
        <v>317</v>
      </c>
      <c r="D7" s="32" t="s">
        <v>318</v>
      </c>
    </row>
    <row r="8" spans="1:5" x14ac:dyDescent="0.25">
      <c r="B8" s="4" t="s">
        <v>319</v>
      </c>
      <c r="D8" s="32" t="s">
        <v>151</v>
      </c>
    </row>
    <row r="9" spans="1:5" ht="30" customHeight="1" x14ac:dyDescent="0.25">
      <c r="B9" s="4" t="s">
        <v>320</v>
      </c>
      <c r="D9" s="32" t="s">
        <v>321</v>
      </c>
      <c r="E9" s="7" t="s">
        <v>322</v>
      </c>
    </row>
    <row r="10" spans="1:5" ht="30" customHeight="1" x14ac:dyDescent="0.25">
      <c r="B10" s="4" t="s">
        <v>323</v>
      </c>
      <c r="D10" s="32" t="s">
        <v>324</v>
      </c>
    </row>
    <row r="12" spans="1:5" ht="18" customHeight="1" x14ac:dyDescent="0.25">
      <c r="A12" s="36" t="s">
        <v>325</v>
      </c>
      <c r="B12" s="36"/>
      <c r="C12" s="36"/>
      <c r="D12" s="36"/>
      <c r="E12" s="36"/>
    </row>
    <row r="13" spans="1:5" x14ac:dyDescent="0.25">
      <c r="A13" s="3" t="s">
        <v>326</v>
      </c>
      <c r="B13" s="3" t="s">
        <v>327</v>
      </c>
      <c r="C13" s="3"/>
      <c r="D13" s="3" t="s">
        <v>132</v>
      </c>
      <c r="E13" s="3" t="s">
        <v>133</v>
      </c>
    </row>
    <row r="14" spans="1:5" x14ac:dyDescent="0.25">
      <c r="A14" s="37">
        <v>1</v>
      </c>
      <c r="B14" s="32" t="s">
        <v>328</v>
      </c>
      <c r="C14" s="1"/>
      <c r="D14" s="32" t="s">
        <v>162</v>
      </c>
      <c r="E14" s="38" t="s">
        <v>163</v>
      </c>
    </row>
    <row r="15" spans="1:5" x14ac:dyDescent="0.25">
      <c r="A15" s="37">
        <v>2</v>
      </c>
      <c r="B15" s="32" t="s">
        <v>329</v>
      </c>
      <c r="C15" s="1"/>
      <c r="D15" s="32" t="s">
        <v>195</v>
      </c>
      <c r="E15" s="38" t="s">
        <v>163</v>
      </c>
    </row>
    <row r="16" spans="1:5" x14ac:dyDescent="0.25">
      <c r="A16" s="37">
        <v>3</v>
      </c>
      <c r="B16" s="32" t="s">
        <v>330</v>
      </c>
      <c r="C16" s="1"/>
      <c r="D16" s="32" t="s">
        <v>218</v>
      </c>
      <c r="E16" s="38" t="s">
        <v>163</v>
      </c>
    </row>
    <row r="17" spans="1:5" x14ac:dyDescent="0.25">
      <c r="A17" s="37">
        <v>4</v>
      </c>
      <c r="B17" s="32" t="s">
        <v>331</v>
      </c>
      <c r="C17" s="1"/>
      <c r="D17" s="32" t="s">
        <v>285</v>
      </c>
      <c r="E17" s="38" t="s">
        <v>163</v>
      </c>
    </row>
    <row r="18" spans="1:5" x14ac:dyDescent="0.25">
      <c r="A18" s="37">
        <v>5</v>
      </c>
      <c r="B18" s="32"/>
      <c r="C18" s="1"/>
      <c r="D18" s="32"/>
      <c r="E18" s="38"/>
    </row>
    <row r="19" spans="1:5" x14ac:dyDescent="0.25">
      <c r="A19" s="37">
        <v>6</v>
      </c>
      <c r="B19" s="32"/>
      <c r="C19" s="1"/>
      <c r="D19" s="32"/>
      <c r="E19" s="38"/>
    </row>
    <row r="20" spans="1:5" x14ac:dyDescent="0.25">
      <c r="A20" s="37">
        <v>7</v>
      </c>
      <c r="B20" s="32"/>
      <c r="C20" s="1"/>
      <c r="D20" s="32"/>
      <c r="E20" s="38"/>
    </row>
    <row r="21" spans="1:5" x14ac:dyDescent="0.25">
      <c r="A21" s="37">
        <v>8</v>
      </c>
      <c r="B21" s="32"/>
      <c r="C21" s="1"/>
      <c r="D21" s="32"/>
      <c r="E21" s="38"/>
    </row>
    <row r="23" spans="1:5" ht="18" customHeight="1" x14ac:dyDescent="0.25">
      <c r="A23" s="6" t="s">
        <v>332</v>
      </c>
      <c r="B23" s="6"/>
      <c r="C23" s="6"/>
      <c r="D23" s="6"/>
      <c r="E23" s="6"/>
    </row>
    <row r="24" spans="1:5" x14ac:dyDescent="0.25">
      <c r="B24" s="4" t="s">
        <v>333</v>
      </c>
      <c r="D24" s="39">
        <v>288195</v>
      </c>
      <c r="E24" s="7" t="s">
        <v>334</v>
      </c>
    </row>
    <row r="25" spans="1:5" x14ac:dyDescent="0.25">
      <c r="B25" s="4" t="s">
        <v>335</v>
      </c>
      <c r="D25" s="40">
        <v>46161</v>
      </c>
      <c r="E25" s="7" t="s">
        <v>336</v>
      </c>
    </row>
    <row r="26" spans="1:5" x14ac:dyDescent="0.25">
      <c r="B26" s="4" t="s">
        <v>337</v>
      </c>
      <c r="D26" s="40">
        <v>46252</v>
      </c>
    </row>
    <row r="27" spans="1:5" x14ac:dyDescent="0.25">
      <c r="B27" s="4" t="s">
        <v>338</v>
      </c>
      <c r="D27" s="39"/>
    </row>
    <row r="29" spans="1:5" ht="18" customHeight="1" x14ac:dyDescent="0.25">
      <c r="A29" s="36" t="s">
        <v>339</v>
      </c>
      <c r="B29" s="36"/>
      <c r="C29" s="36"/>
      <c r="D29" s="36"/>
      <c r="E29" s="36"/>
    </row>
    <row r="30" spans="1:5" ht="29.25" customHeight="1" x14ac:dyDescent="0.25">
      <c r="A30" s="41"/>
      <c r="B30" s="5" t="s">
        <v>340</v>
      </c>
      <c r="C30" s="41" t="s">
        <v>341</v>
      </c>
      <c r="D30" s="5" t="s">
        <v>342</v>
      </c>
    </row>
    <row r="31" spans="1:5" ht="29.25" customHeight="1" x14ac:dyDescent="0.25">
      <c r="A31" s="41"/>
      <c r="B31" s="5" t="s">
        <v>343</v>
      </c>
      <c r="C31" s="41"/>
      <c r="D31" s="5" t="s">
        <v>344</v>
      </c>
    </row>
    <row r="32" spans="1:5" ht="29.25" customHeight="1" x14ac:dyDescent="0.25">
      <c r="A32" s="41"/>
      <c r="B32" s="5" t="s">
        <v>345</v>
      </c>
      <c r="C32" s="41"/>
      <c r="D32" s="5" t="s">
        <v>346</v>
      </c>
    </row>
    <row r="33" spans="1:5" ht="16.5" customHeight="1" x14ac:dyDescent="0.25">
      <c r="A33" s="41"/>
      <c r="B33" s="5" t="s">
        <v>347</v>
      </c>
    </row>
    <row r="35" spans="1:5" ht="18" customHeight="1" x14ac:dyDescent="0.25">
      <c r="A35" s="36" t="s">
        <v>348</v>
      </c>
      <c r="B35" s="36"/>
      <c r="C35" s="36"/>
      <c r="D35" s="36"/>
      <c r="E35" s="36"/>
    </row>
    <row r="36" spans="1:5" x14ac:dyDescent="0.25">
      <c r="A36" s="41"/>
      <c r="B36" s="5" t="s">
        <v>349</v>
      </c>
      <c r="C36" s="41"/>
      <c r="D36" s="5" t="s">
        <v>350</v>
      </c>
    </row>
    <row r="37" spans="1:5" x14ac:dyDescent="0.25">
      <c r="A37" s="41"/>
      <c r="B37" s="5" t="s">
        <v>351</v>
      </c>
      <c r="C37" s="41"/>
      <c r="D37" s="5" t="s">
        <v>352</v>
      </c>
    </row>
    <row r="38" spans="1:5" ht="16.5" customHeight="1" x14ac:dyDescent="0.25">
      <c r="A38" s="41"/>
      <c r="B38" s="5" t="s">
        <v>353</v>
      </c>
      <c r="C38" s="41"/>
      <c r="D38" s="5" t="s">
        <v>354</v>
      </c>
    </row>
    <row r="39" spans="1:5" ht="16.5" customHeight="1" x14ac:dyDescent="0.25">
      <c r="A39" s="41" t="s">
        <v>341</v>
      </c>
      <c r="B39" s="5" t="s">
        <v>355</v>
      </c>
      <c r="C39" s="41"/>
      <c r="D39" s="5" t="s">
        <v>356</v>
      </c>
    </row>
    <row r="40" spans="1:5" ht="29.25" customHeight="1" x14ac:dyDescent="0.25">
      <c r="A40" s="41"/>
      <c r="B40" s="5" t="s">
        <v>357</v>
      </c>
      <c r="C40" s="41"/>
      <c r="D40" s="5" t="s">
        <v>358</v>
      </c>
    </row>
    <row r="41" spans="1:5" x14ac:dyDescent="0.25">
      <c r="A41" s="41" t="s">
        <v>341</v>
      </c>
      <c r="B41" s="5" t="s">
        <v>359</v>
      </c>
      <c r="C41" s="41"/>
      <c r="D41" s="5" t="s">
        <v>360</v>
      </c>
    </row>
    <row r="42" spans="1:5" x14ac:dyDescent="0.25">
      <c r="A42" s="41"/>
      <c r="B42" s="5" t="s">
        <v>361</v>
      </c>
      <c r="C42" s="41"/>
      <c r="D42" s="5" t="s">
        <v>346</v>
      </c>
    </row>
    <row r="44" spans="1:5" ht="18" customHeight="1" x14ac:dyDescent="0.25">
      <c r="A44" s="36" t="s">
        <v>362</v>
      </c>
      <c r="B44" s="36"/>
      <c r="C44" s="36"/>
      <c r="D44" s="36"/>
      <c r="E44" s="36"/>
    </row>
    <row r="45" spans="1:5" x14ac:dyDescent="0.25">
      <c r="A45" s="41"/>
      <c r="B45" s="5" t="s">
        <v>363</v>
      </c>
      <c r="C45" s="41"/>
      <c r="D45" s="5" t="s">
        <v>364</v>
      </c>
    </row>
    <row r="46" spans="1:5" x14ac:dyDescent="0.25">
      <c r="A46" s="41"/>
      <c r="B46" s="5" t="s">
        <v>365</v>
      </c>
      <c r="C46" s="41"/>
      <c r="D46" s="5" t="s">
        <v>366</v>
      </c>
    </row>
    <row r="47" spans="1:5" x14ac:dyDescent="0.25">
      <c r="A47" s="41"/>
      <c r="B47" s="5" t="s">
        <v>367</v>
      </c>
      <c r="C47" s="41"/>
      <c r="D47" s="5" t="s">
        <v>368</v>
      </c>
    </row>
    <row r="48" spans="1:5" x14ac:dyDescent="0.25">
      <c r="A48" s="41"/>
      <c r="B48" s="5" t="s">
        <v>369</v>
      </c>
      <c r="C48" s="41"/>
      <c r="D48" s="5" t="s">
        <v>370</v>
      </c>
    </row>
    <row r="49" spans="1:5" x14ac:dyDescent="0.25">
      <c r="A49" s="41"/>
      <c r="B49" s="5" t="s">
        <v>371</v>
      </c>
      <c r="C49" s="41" t="s">
        <v>341</v>
      </c>
      <c r="D49" s="5" t="s">
        <v>372</v>
      </c>
    </row>
    <row r="50" spans="1:5" ht="29.25" customHeight="1" x14ac:dyDescent="0.25">
      <c r="A50" s="41"/>
      <c r="B50" s="5" t="s">
        <v>373</v>
      </c>
      <c r="C50" s="41"/>
      <c r="D50" s="5" t="s">
        <v>374</v>
      </c>
    </row>
    <row r="51" spans="1:5" ht="16.5" customHeight="1" x14ac:dyDescent="0.25">
      <c r="A51" s="41"/>
      <c r="B51" s="5" t="s">
        <v>375</v>
      </c>
      <c r="C51" s="41"/>
      <c r="D51" s="5" t="s">
        <v>376</v>
      </c>
    </row>
    <row r="52" spans="1:5" x14ac:dyDescent="0.25">
      <c r="A52" s="41"/>
      <c r="B52" s="5" t="s">
        <v>377</v>
      </c>
      <c r="C52" s="41"/>
      <c r="D52" s="5" t="s">
        <v>378</v>
      </c>
    </row>
    <row r="53" spans="1:5" x14ac:dyDescent="0.25">
      <c r="A53" s="41"/>
      <c r="B53" s="5" t="s">
        <v>379</v>
      </c>
      <c r="C53" s="41"/>
      <c r="D53" s="5" t="s">
        <v>380</v>
      </c>
    </row>
    <row r="54" spans="1:5" ht="29.25" customHeight="1" x14ac:dyDescent="0.25">
      <c r="A54" s="41"/>
      <c r="B54" s="5" t="s">
        <v>381</v>
      </c>
      <c r="C54" s="41"/>
      <c r="D54" s="5" t="s">
        <v>346</v>
      </c>
    </row>
    <row r="56" spans="1:5" ht="18" customHeight="1" x14ac:dyDescent="0.25">
      <c r="A56" s="36" t="s">
        <v>382</v>
      </c>
      <c r="B56" s="36"/>
      <c r="C56" s="36"/>
      <c r="D56" s="36"/>
      <c r="E56" s="36"/>
    </row>
    <row r="57" spans="1:5" x14ac:dyDescent="0.25">
      <c r="A57" s="41"/>
      <c r="B57" s="5" t="s">
        <v>383</v>
      </c>
      <c r="C57" s="41"/>
      <c r="D57" s="5" t="s">
        <v>384</v>
      </c>
    </row>
    <row r="58" spans="1:5" x14ac:dyDescent="0.25">
      <c r="A58" s="41"/>
      <c r="B58" s="5" t="s">
        <v>385</v>
      </c>
      <c r="C58" s="41"/>
      <c r="D58" s="5" t="s">
        <v>386</v>
      </c>
    </row>
    <row r="59" spans="1:5" x14ac:dyDescent="0.25">
      <c r="A59" s="41"/>
      <c r="B59" s="5" t="s">
        <v>387</v>
      </c>
      <c r="C59" s="41"/>
      <c r="D59" s="5" t="s">
        <v>388</v>
      </c>
    </row>
    <row r="60" spans="1:5" x14ac:dyDescent="0.25">
      <c r="A60" s="41"/>
      <c r="B60" s="5" t="s">
        <v>389</v>
      </c>
      <c r="C60" s="41"/>
      <c r="D60" s="5" t="s">
        <v>390</v>
      </c>
    </row>
    <row r="61" spans="1:5" x14ac:dyDescent="0.25">
      <c r="A61" s="41"/>
      <c r="B61" s="5" t="s">
        <v>391</v>
      </c>
      <c r="C61" s="41"/>
      <c r="D61" s="5" t="s">
        <v>392</v>
      </c>
    </row>
    <row r="62" spans="1:5" x14ac:dyDescent="0.25">
      <c r="A62" s="41" t="s">
        <v>341</v>
      </c>
      <c r="B62" s="5" t="s">
        <v>393</v>
      </c>
      <c r="C62" s="41"/>
      <c r="D62" s="5" t="s">
        <v>394</v>
      </c>
    </row>
    <row r="63" spans="1:5" x14ac:dyDescent="0.25">
      <c r="A63" s="41"/>
      <c r="B63" s="5" t="s">
        <v>395</v>
      </c>
      <c r="C63" s="41"/>
      <c r="D63" s="5" t="s">
        <v>396</v>
      </c>
    </row>
    <row r="64" spans="1:5" x14ac:dyDescent="0.25">
      <c r="A64" s="41"/>
      <c r="B64" s="5" t="s">
        <v>397</v>
      </c>
      <c r="C64" s="41"/>
      <c r="D64" s="5" t="s">
        <v>398</v>
      </c>
    </row>
    <row r="65" spans="1:5" x14ac:dyDescent="0.25">
      <c r="A65" s="41"/>
      <c r="B65" s="5" t="s">
        <v>399</v>
      </c>
      <c r="C65" s="41"/>
      <c r="D65" s="5" t="s">
        <v>400</v>
      </c>
    </row>
    <row r="66" spans="1:5" x14ac:dyDescent="0.25">
      <c r="A66" s="41"/>
      <c r="B66" s="5" t="s">
        <v>401</v>
      </c>
      <c r="C66" s="41"/>
      <c r="D66" s="5" t="s">
        <v>346</v>
      </c>
    </row>
    <row r="67" spans="1:5" x14ac:dyDescent="0.25">
      <c r="A67" s="41"/>
      <c r="B67" s="5" t="s">
        <v>402</v>
      </c>
    </row>
    <row r="69" spans="1:5" ht="18" customHeight="1" x14ac:dyDescent="0.25">
      <c r="A69" s="36" t="s">
        <v>403</v>
      </c>
      <c r="B69" s="36"/>
      <c r="C69" s="36"/>
      <c r="D69" s="36"/>
      <c r="E69" s="36"/>
    </row>
    <row r="70" spans="1:5" x14ac:dyDescent="0.25">
      <c r="A70" s="41"/>
      <c r="B70" s="5" t="s">
        <v>404</v>
      </c>
      <c r="C70" s="41"/>
      <c r="D70" s="5" t="s">
        <v>405</v>
      </c>
    </row>
    <row r="71" spans="1:5" x14ac:dyDescent="0.25">
      <c r="A71" s="41"/>
      <c r="B71" s="5" t="s">
        <v>406</v>
      </c>
      <c r="C71" s="41"/>
      <c r="D71" s="5" t="s">
        <v>407</v>
      </c>
    </row>
    <row r="72" spans="1:5" x14ac:dyDescent="0.25">
      <c r="A72" s="41" t="s">
        <v>341</v>
      </c>
      <c r="B72" s="5" t="s">
        <v>408</v>
      </c>
      <c r="C72" s="41"/>
      <c r="D72" s="5" t="s">
        <v>409</v>
      </c>
    </row>
    <row r="73" spans="1:5" x14ac:dyDescent="0.25">
      <c r="A73" s="41"/>
      <c r="B73" s="5" t="s">
        <v>410</v>
      </c>
      <c r="C73" s="41" t="s">
        <v>341</v>
      </c>
      <c r="D73" s="5" t="s">
        <v>411</v>
      </c>
    </row>
    <row r="74" spans="1:5" x14ac:dyDescent="0.25">
      <c r="A74" s="41"/>
      <c r="B74" s="5" t="s">
        <v>412</v>
      </c>
      <c r="C74" s="41"/>
      <c r="D74" s="5" t="s">
        <v>346</v>
      </c>
    </row>
    <row r="76" spans="1:5" ht="18" customHeight="1" x14ac:dyDescent="0.25">
      <c r="A76" s="6" t="s">
        <v>413</v>
      </c>
      <c r="B76" s="6"/>
      <c r="C76" s="6"/>
      <c r="D76" s="6"/>
      <c r="E76" s="6"/>
    </row>
  </sheetData>
  <dataValidations count="1">
    <dataValidation type="list" errorStyle="warning" allowBlank="1" showErrorMessage="1" errorTitle="Mark with X" error="Choose X from the drop-down, or leave the cell blank." sqref="A30:A33 C30:C32 A36:A42 C36:C42 A45:A54 C45:C54 A57:A67 C57:C66 A70:A74 C70:C74" xr:uid="{00000000-0002-0000-0800-000000000000}">
      <formula1>"X"</formula1>
      <formula2>0</formula2>
    </dataValidation>
  </dataValidations>
  <pageMargins left="0.4" right="0.4" top="0.75" bottom="0.75" header="0.3" footer="0.3"/>
  <pageSetup fitToHeight="0" orientation="portrait" horizontalDpi="300" verticalDpi="300"/>
  <headerFooter>
    <oddHeader>&amp;CPractice Case A – Instructor Key – CONFIDENTIAL</oddHeader>
    <oddFooter>&amp;L&amp;A&amp;RPage &amp;P of &amp;N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2A44"/>
    <pageSetUpPr fitToPage="1"/>
  </sheetPr>
  <dimension ref="A1:C51"/>
  <sheetViews>
    <sheetView showGridLines="0" tabSelected="1" zoomScaleNormal="100" workbookViewId="0">
      <pane ySplit="4" topLeftCell="A14" activePane="bottomLeft" state="frozen"/>
      <selection pane="bottomLeft" activeCell="G30" sqref="G30"/>
    </sheetView>
  </sheetViews>
  <sheetFormatPr defaultColWidth="8.7109375" defaultRowHeight="15" x14ac:dyDescent="0.25"/>
  <cols>
    <col min="1" max="1" width="10" customWidth="1"/>
    <col min="2" max="2" width="9" customWidth="1"/>
    <col min="3" max="3" width="110" customWidth="1"/>
  </cols>
  <sheetData>
    <row r="1" spans="1:3" ht="24" customHeight="1" x14ac:dyDescent="0.25">
      <c r="A1" s="50" t="s">
        <v>414</v>
      </c>
      <c r="B1" s="50"/>
      <c r="C1" s="50"/>
    </row>
    <row r="2" spans="1:3" x14ac:dyDescent="0.25">
      <c r="A2" s="51" t="s">
        <v>415</v>
      </c>
      <c r="B2" s="51"/>
      <c r="C2" s="51"/>
    </row>
    <row r="4" spans="1:3" x14ac:dyDescent="0.25">
      <c r="A4" s="3" t="s">
        <v>416</v>
      </c>
      <c r="B4" s="3" t="s">
        <v>417</v>
      </c>
      <c r="C4" s="3" t="s">
        <v>418</v>
      </c>
    </row>
    <row r="5" spans="1:3" ht="29.25" customHeight="1" x14ac:dyDescent="0.25">
      <c r="A5" s="54" t="s">
        <v>419</v>
      </c>
      <c r="B5" s="54"/>
      <c r="C5" s="54"/>
    </row>
    <row r="6" spans="1:3" ht="16.5" customHeight="1" x14ac:dyDescent="0.25">
      <c r="A6" s="41"/>
      <c r="B6" s="9" t="s">
        <v>420</v>
      </c>
      <c r="C6" s="5" t="s">
        <v>421</v>
      </c>
    </row>
    <row r="7" spans="1:3" ht="16.5" customHeight="1" x14ac:dyDescent="0.25">
      <c r="A7" s="41"/>
      <c r="B7" s="9" t="s">
        <v>147</v>
      </c>
      <c r="C7" s="5" t="s">
        <v>422</v>
      </c>
    </row>
    <row r="8" spans="1:3" ht="16.5" customHeight="1" x14ac:dyDescent="0.25">
      <c r="A8" s="41" t="s">
        <v>341</v>
      </c>
      <c r="B8" s="42" t="s">
        <v>113</v>
      </c>
      <c r="C8" s="43" t="s">
        <v>423</v>
      </c>
    </row>
    <row r="9" spans="1:3" ht="16.5" customHeight="1" x14ac:dyDescent="0.25">
      <c r="A9" s="41"/>
      <c r="B9" s="9" t="s">
        <v>117</v>
      </c>
      <c r="C9" s="5" t="s">
        <v>424</v>
      </c>
    </row>
    <row r="11" spans="1:3" ht="29.25" customHeight="1" x14ac:dyDescent="0.25">
      <c r="A11" s="54" t="s">
        <v>425</v>
      </c>
      <c r="B11" s="54"/>
      <c r="C11" s="54"/>
    </row>
    <row r="12" spans="1:3" ht="16.5" customHeight="1" x14ac:dyDescent="0.25">
      <c r="A12" s="41"/>
      <c r="B12" s="9" t="s">
        <v>420</v>
      </c>
      <c r="C12" s="5" t="s">
        <v>426</v>
      </c>
    </row>
    <row r="13" spans="1:3" ht="16.5" customHeight="1" x14ac:dyDescent="0.25">
      <c r="A13" s="41" t="s">
        <v>341</v>
      </c>
      <c r="B13" s="42" t="s">
        <v>147</v>
      </c>
      <c r="C13" s="43" t="s">
        <v>427</v>
      </c>
    </row>
    <row r="14" spans="1:3" ht="16.5" customHeight="1" x14ac:dyDescent="0.25">
      <c r="A14" s="41"/>
      <c r="B14" s="9" t="s">
        <v>113</v>
      </c>
      <c r="C14" s="5" t="s">
        <v>428</v>
      </c>
    </row>
    <row r="15" spans="1:3" ht="16.5" customHeight="1" x14ac:dyDescent="0.25">
      <c r="A15" s="41"/>
      <c r="B15" s="9" t="s">
        <v>117</v>
      </c>
      <c r="C15" s="5" t="s">
        <v>429</v>
      </c>
    </row>
    <row r="17" spans="1:3" ht="29.25" customHeight="1" x14ac:dyDescent="0.25">
      <c r="A17" s="54" t="s">
        <v>430</v>
      </c>
      <c r="B17" s="54"/>
      <c r="C17" s="54"/>
    </row>
    <row r="18" spans="1:3" ht="16.5" customHeight="1" x14ac:dyDescent="0.25">
      <c r="A18" s="41"/>
      <c r="B18" s="9" t="s">
        <v>420</v>
      </c>
      <c r="C18" s="5" t="s">
        <v>431</v>
      </c>
    </row>
    <row r="19" spans="1:3" ht="16.5" customHeight="1" x14ac:dyDescent="0.25">
      <c r="A19" s="41"/>
      <c r="B19" s="9" t="s">
        <v>147</v>
      </c>
      <c r="C19" s="5" t="s">
        <v>432</v>
      </c>
    </row>
    <row r="20" spans="1:3" ht="16.5" customHeight="1" x14ac:dyDescent="0.25">
      <c r="A20" s="41"/>
      <c r="B20" s="9" t="s">
        <v>113</v>
      </c>
      <c r="C20" s="5" t="s">
        <v>433</v>
      </c>
    </row>
    <row r="21" spans="1:3" ht="16.5" customHeight="1" x14ac:dyDescent="0.25">
      <c r="A21" s="41" t="s">
        <v>341</v>
      </c>
      <c r="B21" s="42" t="s">
        <v>117</v>
      </c>
      <c r="C21" s="43" t="s">
        <v>434</v>
      </c>
    </row>
    <row r="23" spans="1:3" ht="18" customHeight="1" x14ac:dyDescent="0.25">
      <c r="A23" s="54" t="s">
        <v>435</v>
      </c>
      <c r="B23" s="54"/>
      <c r="C23" s="54"/>
    </row>
    <row r="24" spans="1:3" ht="16.5" customHeight="1" x14ac:dyDescent="0.25">
      <c r="A24" s="41" t="s">
        <v>341</v>
      </c>
      <c r="B24" s="42" t="s">
        <v>420</v>
      </c>
      <c r="C24" s="43" t="s">
        <v>436</v>
      </c>
    </row>
    <row r="25" spans="1:3" ht="16.5" customHeight="1" x14ac:dyDescent="0.25">
      <c r="A25" s="41"/>
      <c r="B25" s="9" t="s">
        <v>147</v>
      </c>
      <c r="C25" s="5" t="s">
        <v>437</v>
      </c>
    </row>
    <row r="26" spans="1:3" ht="16.5" customHeight="1" x14ac:dyDescent="0.25">
      <c r="A26" s="41"/>
      <c r="B26" s="9" t="s">
        <v>113</v>
      </c>
      <c r="C26" s="5" t="s">
        <v>438</v>
      </c>
    </row>
    <row r="27" spans="1:3" ht="16.5" customHeight="1" x14ac:dyDescent="0.25">
      <c r="A27" s="41"/>
      <c r="B27" s="9" t="s">
        <v>117</v>
      </c>
      <c r="C27" s="5" t="s">
        <v>439</v>
      </c>
    </row>
    <row r="29" spans="1:3" ht="18" customHeight="1" x14ac:dyDescent="0.25">
      <c r="A29" s="54" t="s">
        <v>440</v>
      </c>
      <c r="B29" s="54"/>
      <c r="C29" s="54"/>
    </row>
    <row r="30" spans="1:3" ht="16.5" customHeight="1" x14ac:dyDescent="0.25">
      <c r="A30" s="41"/>
      <c r="B30" s="9" t="s">
        <v>420</v>
      </c>
      <c r="C30" s="5" t="s">
        <v>441</v>
      </c>
    </row>
    <row r="31" spans="1:3" ht="16.5" customHeight="1" x14ac:dyDescent="0.25">
      <c r="A31" s="41"/>
      <c r="B31" s="9" t="s">
        <v>147</v>
      </c>
      <c r="C31" s="5" t="s">
        <v>442</v>
      </c>
    </row>
    <row r="32" spans="1:3" ht="16.5" customHeight="1" x14ac:dyDescent="0.25">
      <c r="A32" s="41" t="s">
        <v>341</v>
      </c>
      <c r="B32" s="42" t="s">
        <v>113</v>
      </c>
      <c r="C32" s="43" t="s">
        <v>443</v>
      </c>
    </row>
    <row r="33" spans="1:3" ht="16.5" customHeight="1" x14ac:dyDescent="0.25">
      <c r="A33" s="41"/>
      <c r="B33" s="9" t="s">
        <v>117</v>
      </c>
      <c r="C33" s="5" t="s">
        <v>444</v>
      </c>
    </row>
    <row r="35" spans="1:3" ht="18" customHeight="1" x14ac:dyDescent="0.25">
      <c r="A35" s="54" t="s">
        <v>445</v>
      </c>
      <c r="B35" s="54"/>
      <c r="C35" s="54"/>
    </row>
    <row r="36" spans="1:3" ht="16.5" customHeight="1" x14ac:dyDescent="0.25">
      <c r="A36" s="41"/>
      <c r="B36" s="9" t="s">
        <v>420</v>
      </c>
      <c r="C36" s="5" t="s">
        <v>446</v>
      </c>
    </row>
    <row r="37" spans="1:3" ht="16.5" customHeight="1" x14ac:dyDescent="0.25">
      <c r="A37" s="41"/>
      <c r="B37" s="9" t="s">
        <v>147</v>
      </c>
      <c r="C37" s="5" t="s">
        <v>447</v>
      </c>
    </row>
    <row r="38" spans="1:3" ht="16.5" customHeight="1" x14ac:dyDescent="0.25">
      <c r="A38" s="41"/>
      <c r="B38" s="9" t="s">
        <v>113</v>
      </c>
      <c r="C38" s="5" t="s">
        <v>448</v>
      </c>
    </row>
    <row r="39" spans="1:3" ht="16.5" customHeight="1" x14ac:dyDescent="0.25">
      <c r="A39" s="41" t="s">
        <v>341</v>
      </c>
      <c r="B39" s="42" t="s">
        <v>117</v>
      </c>
      <c r="C39" s="43" t="s">
        <v>449</v>
      </c>
    </row>
    <row r="41" spans="1:3" ht="18" customHeight="1" x14ac:dyDescent="0.25">
      <c r="A41" s="54" t="s">
        <v>450</v>
      </c>
      <c r="B41" s="54"/>
      <c r="C41" s="54"/>
    </row>
    <row r="42" spans="1:3" ht="16.5" customHeight="1" x14ac:dyDescent="0.25">
      <c r="A42" s="41"/>
      <c r="B42" s="9" t="s">
        <v>420</v>
      </c>
      <c r="C42" s="5" t="s">
        <v>451</v>
      </c>
    </row>
    <row r="43" spans="1:3" ht="16.5" customHeight="1" x14ac:dyDescent="0.25">
      <c r="A43" s="41" t="s">
        <v>341</v>
      </c>
      <c r="B43" s="42" t="s">
        <v>147</v>
      </c>
      <c r="C43" s="43" t="s">
        <v>452</v>
      </c>
    </row>
    <row r="44" spans="1:3" ht="16.5" customHeight="1" x14ac:dyDescent="0.25">
      <c r="A44" s="41"/>
      <c r="B44" s="9" t="s">
        <v>113</v>
      </c>
      <c r="C44" s="5" t="s">
        <v>453</v>
      </c>
    </row>
    <row r="45" spans="1:3" ht="16.5" customHeight="1" x14ac:dyDescent="0.25">
      <c r="A45" s="41"/>
      <c r="B45" s="9" t="s">
        <v>117</v>
      </c>
      <c r="C45" s="5" t="s">
        <v>454</v>
      </c>
    </row>
    <row r="47" spans="1:3" ht="18" customHeight="1" x14ac:dyDescent="0.25">
      <c r="A47" s="54" t="s">
        <v>455</v>
      </c>
      <c r="B47" s="54"/>
      <c r="C47" s="54"/>
    </row>
    <row r="48" spans="1:3" ht="29.25" customHeight="1" x14ac:dyDescent="0.25">
      <c r="A48" s="41" t="s">
        <v>341</v>
      </c>
      <c r="B48" s="42" t="s">
        <v>420</v>
      </c>
      <c r="C48" s="43" t="s">
        <v>456</v>
      </c>
    </row>
    <row r="49" spans="1:3" ht="29.25" customHeight="1" x14ac:dyDescent="0.25">
      <c r="A49" s="41"/>
      <c r="B49" s="9" t="s">
        <v>147</v>
      </c>
      <c r="C49" s="5" t="s">
        <v>457</v>
      </c>
    </row>
    <row r="50" spans="1:3" ht="29.25" customHeight="1" x14ac:dyDescent="0.25">
      <c r="A50" s="41"/>
      <c r="B50" s="9" t="s">
        <v>113</v>
      </c>
      <c r="C50" s="5" t="s">
        <v>458</v>
      </c>
    </row>
    <row r="51" spans="1:3" ht="16.5" customHeight="1" x14ac:dyDescent="0.25">
      <c r="A51" s="41"/>
      <c r="B51" s="9" t="s">
        <v>117</v>
      </c>
      <c r="C51" s="5" t="s">
        <v>459</v>
      </c>
    </row>
  </sheetData>
  <mergeCells count="10">
    <mergeCell ref="A1:C1"/>
    <mergeCell ref="A2:C2"/>
    <mergeCell ref="A5:C5"/>
    <mergeCell ref="A11:C11"/>
    <mergeCell ref="A17:C17"/>
    <mergeCell ref="A23:C23"/>
    <mergeCell ref="A29:C29"/>
    <mergeCell ref="A35:C35"/>
    <mergeCell ref="A41:C41"/>
    <mergeCell ref="A47:C47"/>
  </mergeCells>
  <dataValidations count="1">
    <dataValidation type="list" errorStyle="warning" allowBlank="1" showErrorMessage="1" errorTitle="Mark with X" error="Choose X from the drop-down, or leave the cell blank." sqref="A6:A9 A12:A15 A18:A21 A24:A27 A30:A33 A36:A39 A42:A45 A48:A51" xr:uid="{00000000-0002-0000-0900-000000000000}">
      <formula1>"X"</formula1>
      <formula2>0</formula2>
    </dataValidation>
  </dataValidations>
  <pageMargins left="0.4" right="0.4" top="0.75" bottom="0.75" header="0.3" footer="0.3"/>
  <pageSetup fitToHeight="0" orientation="portrait" horizontalDpi="300" verticalDpi="300"/>
  <headerFooter>
    <oddHeader>&amp;CPractice Case A – Instructor Key – CONFIDENTIAL</oddHeader>
    <oddFooter>&amp;L&amp;A&amp;RPage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B1E2D"/>
    <pageSetUpPr fitToPage="1"/>
  </sheetPr>
  <dimension ref="A1:D30"/>
  <sheetViews>
    <sheetView showGridLines="0" zoomScaleNormal="100" workbookViewId="0">
      <pane ySplit="4" topLeftCell="A5" activePane="bottomLeft" state="frozen"/>
      <selection pane="bottomLeft"/>
    </sheetView>
  </sheetViews>
  <sheetFormatPr defaultColWidth="8.7109375" defaultRowHeight="15" x14ac:dyDescent="0.25"/>
  <cols>
    <col min="1" max="1" width="7" customWidth="1"/>
    <col min="2" max="2" width="42" customWidth="1"/>
    <col min="3" max="3" width="64" customWidth="1"/>
    <col min="4" max="4" width="40" customWidth="1"/>
  </cols>
  <sheetData>
    <row r="1" spans="1:4" ht="19.5" customHeight="1" x14ac:dyDescent="0.25">
      <c r="A1" s="56" t="s">
        <v>460</v>
      </c>
      <c r="B1" s="56"/>
      <c r="C1" s="56"/>
      <c r="D1" s="56"/>
    </row>
    <row r="2" spans="1:4" ht="19.5" customHeight="1" x14ac:dyDescent="0.25">
      <c r="A2" s="52" t="s">
        <v>461</v>
      </c>
      <c r="B2" s="52"/>
      <c r="C2" s="52"/>
      <c r="D2" s="52"/>
    </row>
    <row r="4" spans="1:4" ht="18.75" customHeight="1" x14ac:dyDescent="0.25">
      <c r="A4" s="3" t="s">
        <v>462</v>
      </c>
      <c r="B4" s="3" t="s">
        <v>463</v>
      </c>
      <c r="C4" s="3" t="s">
        <v>464</v>
      </c>
      <c r="D4" s="3" t="s">
        <v>465</v>
      </c>
    </row>
    <row r="5" spans="1:4" ht="80.25" customHeight="1" x14ac:dyDescent="0.25">
      <c r="A5" s="17">
        <v>1</v>
      </c>
      <c r="B5" s="5" t="s">
        <v>466</v>
      </c>
      <c r="C5" s="5" t="s">
        <v>467</v>
      </c>
      <c r="D5" s="5" t="s">
        <v>468</v>
      </c>
    </row>
    <row r="6" spans="1:4" ht="93" customHeight="1" x14ac:dyDescent="0.25">
      <c r="A6" s="17">
        <v>2</v>
      </c>
      <c r="B6" s="5" t="s">
        <v>469</v>
      </c>
      <c r="C6" s="5" t="s">
        <v>470</v>
      </c>
      <c r="D6" s="5" t="s">
        <v>471</v>
      </c>
    </row>
    <row r="7" spans="1:4" ht="105.75" customHeight="1" x14ac:dyDescent="0.25">
      <c r="A7" s="17">
        <v>3</v>
      </c>
      <c r="B7" s="5" t="s">
        <v>472</v>
      </c>
      <c r="C7" s="5" t="s">
        <v>473</v>
      </c>
      <c r="D7" s="5" t="s">
        <v>474</v>
      </c>
    </row>
    <row r="8" spans="1:4" ht="80.25" customHeight="1" x14ac:dyDescent="0.25">
      <c r="A8" s="17">
        <v>4</v>
      </c>
      <c r="B8" s="5" t="s">
        <v>475</v>
      </c>
      <c r="C8" s="5" t="s">
        <v>476</v>
      </c>
      <c r="D8" s="5" t="s">
        <v>477</v>
      </c>
    </row>
    <row r="9" spans="1:4" ht="80.25" customHeight="1" x14ac:dyDescent="0.25">
      <c r="A9" s="17">
        <v>5</v>
      </c>
      <c r="B9" s="5" t="s">
        <v>478</v>
      </c>
      <c r="C9" s="5" t="s">
        <v>479</v>
      </c>
      <c r="D9" s="5" t="s">
        <v>480</v>
      </c>
    </row>
    <row r="10" spans="1:4" ht="105.75" customHeight="1" x14ac:dyDescent="0.25">
      <c r="A10" s="17">
        <v>6</v>
      </c>
      <c r="B10" s="5" t="s">
        <v>481</v>
      </c>
      <c r="C10" s="5" t="s">
        <v>482</v>
      </c>
      <c r="D10" s="5" t="s">
        <v>483</v>
      </c>
    </row>
    <row r="11" spans="1:4" ht="93" customHeight="1" x14ac:dyDescent="0.25">
      <c r="A11" s="17">
        <v>7</v>
      </c>
      <c r="B11" s="5" t="s">
        <v>484</v>
      </c>
      <c r="C11" s="5" t="s">
        <v>485</v>
      </c>
      <c r="D11" s="5" t="s">
        <v>486</v>
      </c>
    </row>
    <row r="12" spans="1:4" ht="93" customHeight="1" x14ac:dyDescent="0.25">
      <c r="A12" s="17">
        <v>8</v>
      </c>
      <c r="B12" s="5" t="s">
        <v>487</v>
      </c>
      <c r="C12" s="5" t="s">
        <v>488</v>
      </c>
      <c r="D12" s="5" t="s">
        <v>489</v>
      </c>
    </row>
    <row r="14" spans="1:4" ht="18" customHeight="1" x14ac:dyDescent="0.25">
      <c r="A14" s="52" t="s">
        <v>490</v>
      </c>
      <c r="B14" s="52"/>
      <c r="C14" s="52"/>
      <c r="D14" s="52"/>
    </row>
    <row r="15" spans="1:4" x14ac:dyDescent="0.25">
      <c r="A15" s="7" t="s">
        <v>491</v>
      </c>
    </row>
    <row r="16" spans="1:4" ht="29.25" customHeight="1" x14ac:dyDescent="0.25">
      <c r="A16" s="57" t="s">
        <v>492</v>
      </c>
      <c r="B16" s="57"/>
      <c r="C16" s="3" t="s">
        <v>493</v>
      </c>
      <c r="D16" s="3" t="s">
        <v>494</v>
      </c>
    </row>
    <row r="17" spans="1:4" ht="67.5" customHeight="1" x14ac:dyDescent="0.25">
      <c r="A17" s="55" t="s">
        <v>317</v>
      </c>
      <c r="B17" s="55"/>
      <c r="C17" s="5" t="s">
        <v>318</v>
      </c>
      <c r="D17" s="5"/>
    </row>
    <row r="18" spans="1:4" ht="16.5" customHeight="1" x14ac:dyDescent="0.25">
      <c r="A18" s="55" t="s">
        <v>319</v>
      </c>
      <c r="B18" s="55"/>
      <c r="C18" s="5" t="s">
        <v>151</v>
      </c>
      <c r="D18" s="5"/>
    </row>
    <row r="19" spans="1:4" ht="54.75" customHeight="1" x14ac:dyDescent="0.25">
      <c r="A19" s="55" t="s">
        <v>495</v>
      </c>
      <c r="B19" s="55"/>
      <c r="C19" s="5" t="s">
        <v>321</v>
      </c>
      <c r="D19" s="5" t="s">
        <v>496</v>
      </c>
    </row>
    <row r="20" spans="1:4" ht="29.25" customHeight="1" x14ac:dyDescent="0.25">
      <c r="A20" s="55" t="s">
        <v>497</v>
      </c>
      <c r="B20" s="55"/>
      <c r="C20" s="5" t="s">
        <v>324</v>
      </c>
      <c r="D20" s="5"/>
    </row>
    <row r="21" spans="1:4" ht="54.75" customHeight="1" x14ac:dyDescent="0.25">
      <c r="A21" s="55" t="s">
        <v>498</v>
      </c>
      <c r="B21" s="55"/>
      <c r="C21" s="5" t="s">
        <v>499</v>
      </c>
      <c r="D21" s="5"/>
    </row>
    <row r="22" spans="1:4" ht="16.5" customHeight="1" x14ac:dyDescent="0.25">
      <c r="A22" s="55" t="s">
        <v>500</v>
      </c>
      <c r="B22" s="55"/>
      <c r="C22" s="5" t="s">
        <v>501</v>
      </c>
      <c r="D22" s="5" t="s">
        <v>502</v>
      </c>
    </row>
    <row r="23" spans="1:4" ht="16.5" customHeight="1" x14ac:dyDescent="0.25">
      <c r="A23" s="55" t="s">
        <v>503</v>
      </c>
      <c r="B23" s="55"/>
      <c r="C23" s="5" t="s">
        <v>504</v>
      </c>
      <c r="D23" s="5" t="s">
        <v>505</v>
      </c>
    </row>
    <row r="24" spans="1:4" ht="16.5" customHeight="1" x14ac:dyDescent="0.25">
      <c r="A24" s="55" t="s">
        <v>506</v>
      </c>
      <c r="B24" s="55"/>
      <c r="C24" s="5" t="s">
        <v>507</v>
      </c>
      <c r="D24" s="5"/>
    </row>
    <row r="25" spans="1:4" ht="16.5" customHeight="1" x14ac:dyDescent="0.25">
      <c r="A25" s="55" t="s">
        <v>508</v>
      </c>
      <c r="B25" s="55"/>
      <c r="C25" s="5" t="s">
        <v>509</v>
      </c>
      <c r="D25" s="5"/>
    </row>
    <row r="26" spans="1:4" ht="16.5" customHeight="1" x14ac:dyDescent="0.25">
      <c r="A26" s="55" t="s">
        <v>510</v>
      </c>
      <c r="B26" s="55"/>
      <c r="C26" s="5" t="s">
        <v>342</v>
      </c>
      <c r="D26" s="5"/>
    </row>
    <row r="27" spans="1:4" ht="29.25" customHeight="1" x14ac:dyDescent="0.25">
      <c r="A27" s="55" t="s">
        <v>511</v>
      </c>
      <c r="B27" s="55"/>
      <c r="C27" s="5" t="s">
        <v>512</v>
      </c>
      <c r="D27" s="5" t="s">
        <v>513</v>
      </c>
    </row>
    <row r="28" spans="1:4" ht="67.5" customHeight="1" x14ac:dyDescent="0.25">
      <c r="A28" s="55" t="s">
        <v>514</v>
      </c>
      <c r="B28" s="55"/>
      <c r="C28" s="5" t="s">
        <v>372</v>
      </c>
      <c r="D28" s="5" t="s">
        <v>515</v>
      </c>
    </row>
    <row r="29" spans="1:4" ht="16.5" customHeight="1" x14ac:dyDescent="0.25">
      <c r="A29" s="55" t="s">
        <v>516</v>
      </c>
      <c r="B29" s="55"/>
      <c r="C29" s="5" t="s">
        <v>393</v>
      </c>
      <c r="D29" s="5"/>
    </row>
    <row r="30" spans="1:4" ht="29.25" customHeight="1" x14ac:dyDescent="0.25">
      <c r="A30" s="55" t="s">
        <v>517</v>
      </c>
      <c r="B30" s="55"/>
      <c r="C30" s="5" t="s">
        <v>518</v>
      </c>
      <c r="D30" s="5"/>
    </row>
  </sheetData>
  <mergeCells count="18">
    <mergeCell ref="A1:D1"/>
    <mergeCell ref="A2:D2"/>
    <mergeCell ref="A14:D14"/>
    <mergeCell ref="A16:B16"/>
    <mergeCell ref="A17:B17"/>
    <mergeCell ref="A18:B18"/>
    <mergeCell ref="A19:B19"/>
    <mergeCell ref="A20:B20"/>
    <mergeCell ref="A21:B21"/>
    <mergeCell ref="A22:B22"/>
    <mergeCell ref="A28:B28"/>
    <mergeCell ref="A29:B29"/>
    <mergeCell ref="A30:B30"/>
    <mergeCell ref="A23:B23"/>
    <mergeCell ref="A24:B24"/>
    <mergeCell ref="A25:B25"/>
    <mergeCell ref="A26:B26"/>
    <mergeCell ref="A27:B27"/>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B1E2D"/>
    <pageSetUpPr fitToPage="1"/>
  </sheetPr>
  <dimension ref="A1:G32"/>
  <sheetViews>
    <sheetView showGridLines="0" zoomScaleNormal="100" workbookViewId="0">
      <pane ySplit="4" topLeftCell="A5" activePane="bottomLeft" state="frozen"/>
      <selection pane="bottomLeft"/>
    </sheetView>
  </sheetViews>
  <sheetFormatPr defaultColWidth="8.7109375" defaultRowHeight="15" x14ac:dyDescent="0.25"/>
  <cols>
    <col min="1" max="1" width="7" customWidth="1"/>
    <col min="2" max="2" width="56" customWidth="1"/>
    <col min="3" max="3" width="12" customWidth="1"/>
    <col min="4" max="4" width="22" customWidth="1"/>
    <col min="5" max="5" width="14" customWidth="1"/>
    <col min="6" max="6" width="40" customWidth="1"/>
    <col min="7" max="7" width="17" customWidth="1"/>
  </cols>
  <sheetData>
    <row r="1" spans="1:7" ht="19.5" customHeight="1" x14ac:dyDescent="0.25">
      <c r="A1" s="56" t="s">
        <v>460</v>
      </c>
      <c r="B1" s="56"/>
      <c r="C1" s="56"/>
      <c r="D1" s="56"/>
      <c r="E1" s="56"/>
      <c r="F1" s="56"/>
      <c r="G1" s="56"/>
    </row>
    <row r="2" spans="1:7" ht="19.5" customHeight="1" x14ac:dyDescent="0.25">
      <c r="A2" s="52" t="s">
        <v>519</v>
      </c>
      <c r="B2" s="52"/>
      <c r="C2" s="52"/>
      <c r="D2" s="52"/>
      <c r="E2" s="52"/>
      <c r="F2" s="52"/>
      <c r="G2" s="52"/>
    </row>
    <row r="4" spans="1:7" ht="44.25" customHeight="1" x14ac:dyDescent="0.25">
      <c r="A4" s="3" t="s">
        <v>520</v>
      </c>
      <c r="B4" s="3" t="s">
        <v>521</v>
      </c>
      <c r="C4" s="3" t="s">
        <v>522</v>
      </c>
      <c r="D4" s="3" t="s">
        <v>523</v>
      </c>
      <c r="E4" s="3" t="s">
        <v>524</v>
      </c>
      <c r="F4" s="3" t="s">
        <v>525</v>
      </c>
      <c r="G4" s="3" t="s">
        <v>526</v>
      </c>
    </row>
    <row r="5" spans="1:7" ht="42" customHeight="1" x14ac:dyDescent="0.25">
      <c r="A5" s="17" t="s">
        <v>527</v>
      </c>
      <c r="B5" s="5" t="s">
        <v>528</v>
      </c>
      <c r="C5" s="17" t="s">
        <v>529</v>
      </c>
      <c r="D5" s="5" t="s">
        <v>530</v>
      </c>
      <c r="E5" s="17" t="s">
        <v>531</v>
      </c>
      <c r="F5" s="5" t="s">
        <v>532</v>
      </c>
      <c r="G5" s="17" t="s">
        <v>533</v>
      </c>
    </row>
    <row r="6" spans="1:7" ht="29.25" customHeight="1" x14ac:dyDescent="0.25">
      <c r="A6" s="17" t="s">
        <v>534</v>
      </c>
      <c r="B6" s="5" t="s">
        <v>535</v>
      </c>
      <c r="C6" s="17" t="s">
        <v>536</v>
      </c>
      <c r="D6" s="5" t="s">
        <v>530</v>
      </c>
      <c r="E6" s="17" t="s">
        <v>531</v>
      </c>
      <c r="F6" s="5" t="s">
        <v>537</v>
      </c>
      <c r="G6" s="17" t="s">
        <v>533</v>
      </c>
    </row>
    <row r="7" spans="1:7" ht="131.25" customHeight="1" x14ac:dyDescent="0.25">
      <c r="A7" s="17" t="s">
        <v>538</v>
      </c>
      <c r="B7" s="5" t="s">
        <v>539</v>
      </c>
      <c r="C7" s="17" t="s">
        <v>540</v>
      </c>
      <c r="D7" s="5" t="s">
        <v>530</v>
      </c>
      <c r="E7" s="17" t="s">
        <v>531</v>
      </c>
      <c r="F7" s="5" t="s">
        <v>541</v>
      </c>
      <c r="G7" s="17" t="s">
        <v>533</v>
      </c>
    </row>
    <row r="8" spans="1:7" ht="42" customHeight="1" x14ac:dyDescent="0.25">
      <c r="A8" s="17" t="s">
        <v>542</v>
      </c>
      <c r="B8" s="5" t="s">
        <v>543</v>
      </c>
      <c r="C8" s="17" t="s">
        <v>544</v>
      </c>
      <c r="D8" s="5" t="s">
        <v>530</v>
      </c>
      <c r="E8" s="17" t="s">
        <v>531</v>
      </c>
      <c r="F8" s="5" t="s">
        <v>545</v>
      </c>
      <c r="G8" s="17" t="s">
        <v>546</v>
      </c>
    </row>
    <row r="9" spans="1:7" ht="29.25" customHeight="1" x14ac:dyDescent="0.25">
      <c r="A9" s="17" t="s">
        <v>547</v>
      </c>
      <c r="B9" s="5" t="s">
        <v>548</v>
      </c>
      <c r="C9" s="17" t="s">
        <v>549</v>
      </c>
      <c r="D9" s="5" t="s">
        <v>530</v>
      </c>
      <c r="E9" s="17" t="s">
        <v>531</v>
      </c>
      <c r="F9" s="5" t="s">
        <v>550</v>
      </c>
      <c r="G9" s="17" t="s">
        <v>533</v>
      </c>
    </row>
    <row r="10" spans="1:7" ht="42" customHeight="1" x14ac:dyDescent="0.25">
      <c r="A10" s="17" t="s">
        <v>551</v>
      </c>
      <c r="B10" s="5" t="s">
        <v>552</v>
      </c>
      <c r="C10" s="17" t="s">
        <v>553</v>
      </c>
      <c r="D10" s="5" t="s">
        <v>554</v>
      </c>
      <c r="E10" s="17" t="s">
        <v>531</v>
      </c>
      <c r="F10" s="5" t="s">
        <v>555</v>
      </c>
      <c r="G10" s="17" t="s">
        <v>546</v>
      </c>
    </row>
    <row r="11" spans="1:7" ht="29.25" customHeight="1" x14ac:dyDescent="0.25">
      <c r="A11" s="17" t="s">
        <v>556</v>
      </c>
      <c r="B11" s="5" t="s">
        <v>557</v>
      </c>
      <c r="C11" s="17" t="s">
        <v>553</v>
      </c>
      <c r="D11" s="5" t="s">
        <v>554</v>
      </c>
      <c r="E11" s="17" t="s">
        <v>558</v>
      </c>
      <c r="F11" s="5" t="s">
        <v>559</v>
      </c>
      <c r="G11" s="17" t="s">
        <v>546</v>
      </c>
    </row>
    <row r="12" spans="1:7" ht="29.25" customHeight="1" x14ac:dyDescent="0.25">
      <c r="A12" s="17" t="s">
        <v>560</v>
      </c>
      <c r="B12" s="5" t="s">
        <v>561</v>
      </c>
      <c r="C12" s="17" t="s">
        <v>540</v>
      </c>
      <c r="D12" s="5" t="s">
        <v>562</v>
      </c>
      <c r="E12" s="17" t="s">
        <v>531</v>
      </c>
      <c r="F12" s="5" t="s">
        <v>563</v>
      </c>
      <c r="G12" s="17" t="s">
        <v>546</v>
      </c>
    </row>
    <row r="13" spans="1:7" ht="29.25" customHeight="1" x14ac:dyDescent="0.25">
      <c r="A13" s="17" t="s">
        <v>564</v>
      </c>
      <c r="B13" s="5" t="s">
        <v>565</v>
      </c>
      <c r="C13" s="17" t="s">
        <v>540</v>
      </c>
      <c r="D13" s="5" t="s">
        <v>562</v>
      </c>
      <c r="E13" s="17" t="s">
        <v>531</v>
      </c>
      <c r="F13" s="5" t="s">
        <v>566</v>
      </c>
      <c r="G13" s="17" t="s">
        <v>533</v>
      </c>
    </row>
    <row r="14" spans="1:7" ht="29.25" customHeight="1" x14ac:dyDescent="0.25">
      <c r="A14" s="17" t="s">
        <v>567</v>
      </c>
      <c r="B14" s="5" t="s">
        <v>568</v>
      </c>
      <c r="C14" s="17" t="s">
        <v>569</v>
      </c>
      <c r="D14" s="5" t="s">
        <v>562</v>
      </c>
      <c r="E14" s="17" t="s">
        <v>558</v>
      </c>
      <c r="F14" s="5" t="s">
        <v>570</v>
      </c>
      <c r="G14" s="17" t="s">
        <v>546</v>
      </c>
    </row>
    <row r="15" spans="1:7" ht="29.25" customHeight="1" x14ac:dyDescent="0.25">
      <c r="A15" s="17" t="s">
        <v>571</v>
      </c>
      <c r="B15" s="5" t="s">
        <v>572</v>
      </c>
      <c r="C15" s="17" t="s">
        <v>529</v>
      </c>
      <c r="D15" s="5" t="s">
        <v>562</v>
      </c>
      <c r="E15" s="17" t="s">
        <v>558</v>
      </c>
      <c r="F15" s="5" t="s">
        <v>573</v>
      </c>
      <c r="G15" s="17" t="s">
        <v>546</v>
      </c>
    </row>
    <row r="16" spans="1:7" ht="67.5" customHeight="1" x14ac:dyDescent="0.25">
      <c r="A16" s="17" t="s">
        <v>574</v>
      </c>
      <c r="B16" s="5" t="s">
        <v>575</v>
      </c>
      <c r="C16" s="17" t="s">
        <v>576</v>
      </c>
      <c r="D16" s="5" t="s">
        <v>562</v>
      </c>
      <c r="E16" s="17" t="s">
        <v>558</v>
      </c>
      <c r="F16" s="5" t="s">
        <v>577</v>
      </c>
      <c r="G16" s="17" t="s">
        <v>546</v>
      </c>
    </row>
    <row r="17" spans="1:7" ht="42" customHeight="1" x14ac:dyDescent="0.25">
      <c r="A17" s="17" t="s">
        <v>578</v>
      </c>
      <c r="B17" s="5" t="s">
        <v>579</v>
      </c>
      <c r="C17" s="17" t="s">
        <v>576</v>
      </c>
      <c r="D17" s="5" t="s">
        <v>562</v>
      </c>
      <c r="E17" s="17" t="s">
        <v>531</v>
      </c>
      <c r="F17" s="5" t="s">
        <v>580</v>
      </c>
      <c r="G17" s="17" t="s">
        <v>533</v>
      </c>
    </row>
    <row r="18" spans="1:7" ht="54.75" customHeight="1" x14ac:dyDescent="0.25">
      <c r="A18" s="17" t="s">
        <v>581</v>
      </c>
      <c r="B18" s="5" t="s">
        <v>582</v>
      </c>
      <c r="C18" s="17" t="s">
        <v>576</v>
      </c>
      <c r="D18" s="5" t="s">
        <v>562</v>
      </c>
      <c r="E18" s="17" t="s">
        <v>531</v>
      </c>
      <c r="F18" s="5" t="s">
        <v>583</v>
      </c>
      <c r="G18" s="17" t="s">
        <v>533</v>
      </c>
    </row>
    <row r="19" spans="1:7" ht="42" customHeight="1" x14ac:dyDescent="0.25">
      <c r="A19" s="17" t="s">
        <v>584</v>
      </c>
      <c r="B19" s="5" t="s">
        <v>585</v>
      </c>
      <c r="C19" s="17" t="s">
        <v>544</v>
      </c>
      <c r="D19" s="5" t="s">
        <v>562</v>
      </c>
      <c r="E19" s="17" t="s">
        <v>531</v>
      </c>
      <c r="F19" s="5" t="s">
        <v>586</v>
      </c>
      <c r="G19" s="17" t="s">
        <v>546</v>
      </c>
    </row>
    <row r="20" spans="1:7" ht="42" customHeight="1" x14ac:dyDescent="0.25">
      <c r="A20" s="17" t="s">
        <v>587</v>
      </c>
      <c r="B20" s="5" t="s">
        <v>588</v>
      </c>
      <c r="C20" s="17" t="s">
        <v>576</v>
      </c>
      <c r="D20" s="5" t="s">
        <v>562</v>
      </c>
      <c r="E20" s="17" t="s">
        <v>558</v>
      </c>
      <c r="F20" s="5" t="s">
        <v>589</v>
      </c>
      <c r="G20" s="17" t="s">
        <v>546</v>
      </c>
    </row>
    <row r="21" spans="1:7" ht="42" customHeight="1" x14ac:dyDescent="0.25">
      <c r="A21" s="17" t="s">
        <v>590</v>
      </c>
      <c r="B21" s="5" t="s">
        <v>591</v>
      </c>
      <c r="C21" s="17" t="s">
        <v>540</v>
      </c>
      <c r="D21" s="5" t="s">
        <v>592</v>
      </c>
      <c r="E21" s="17" t="s">
        <v>531</v>
      </c>
      <c r="F21" s="5" t="s">
        <v>593</v>
      </c>
      <c r="G21" s="17" t="s">
        <v>546</v>
      </c>
    </row>
    <row r="22" spans="1:7" ht="29.25" customHeight="1" x14ac:dyDescent="0.25">
      <c r="A22" s="17" t="s">
        <v>594</v>
      </c>
      <c r="B22" s="5" t="s">
        <v>595</v>
      </c>
      <c r="C22" s="17" t="s">
        <v>540</v>
      </c>
      <c r="D22" s="5" t="s">
        <v>592</v>
      </c>
      <c r="E22" s="17" t="s">
        <v>558</v>
      </c>
      <c r="F22" s="5" t="s">
        <v>596</v>
      </c>
      <c r="G22" s="17" t="s">
        <v>546</v>
      </c>
    </row>
    <row r="23" spans="1:7" ht="29.25" customHeight="1" x14ac:dyDescent="0.25">
      <c r="A23" s="17" t="s">
        <v>597</v>
      </c>
      <c r="B23" s="5" t="s">
        <v>598</v>
      </c>
      <c r="C23" s="17" t="s">
        <v>540</v>
      </c>
      <c r="D23" s="5" t="s">
        <v>592</v>
      </c>
      <c r="E23" s="17" t="s">
        <v>599</v>
      </c>
      <c r="F23" s="5" t="s">
        <v>600</v>
      </c>
      <c r="G23" s="17" t="s">
        <v>546</v>
      </c>
    </row>
    <row r="24" spans="1:7" ht="54.75" customHeight="1" x14ac:dyDescent="0.25">
      <c r="A24" s="17" t="s">
        <v>601</v>
      </c>
      <c r="B24" s="5" t="s">
        <v>602</v>
      </c>
      <c r="C24" s="17" t="s">
        <v>529</v>
      </c>
      <c r="D24" s="5" t="s">
        <v>592</v>
      </c>
      <c r="E24" s="17" t="s">
        <v>531</v>
      </c>
      <c r="F24" s="5" t="s">
        <v>603</v>
      </c>
      <c r="G24" s="17" t="s">
        <v>546</v>
      </c>
    </row>
    <row r="25" spans="1:7" ht="42" customHeight="1" x14ac:dyDescent="0.25">
      <c r="A25" s="17" t="s">
        <v>604</v>
      </c>
      <c r="B25" s="5" t="s">
        <v>605</v>
      </c>
      <c r="C25" s="17" t="s">
        <v>549</v>
      </c>
      <c r="D25" s="5" t="s">
        <v>592</v>
      </c>
      <c r="E25" s="17" t="s">
        <v>531</v>
      </c>
      <c r="F25" s="5" t="s">
        <v>606</v>
      </c>
      <c r="G25" s="17" t="s">
        <v>533</v>
      </c>
    </row>
    <row r="26" spans="1:7" ht="42" customHeight="1" x14ac:dyDescent="0.25">
      <c r="A26" s="17" t="s">
        <v>607</v>
      </c>
      <c r="B26" s="5" t="s">
        <v>608</v>
      </c>
      <c r="C26" s="17" t="s">
        <v>549</v>
      </c>
      <c r="D26" s="5" t="s">
        <v>592</v>
      </c>
      <c r="E26" s="17" t="s">
        <v>558</v>
      </c>
      <c r="F26" s="5" t="s">
        <v>609</v>
      </c>
      <c r="G26" s="17" t="s">
        <v>546</v>
      </c>
    </row>
    <row r="27" spans="1:7" ht="42" customHeight="1" x14ac:dyDescent="0.25">
      <c r="A27" s="17" t="s">
        <v>610</v>
      </c>
      <c r="B27" s="5" t="s">
        <v>611</v>
      </c>
      <c r="C27" s="17" t="s">
        <v>549</v>
      </c>
      <c r="D27" s="5" t="s">
        <v>612</v>
      </c>
      <c r="E27" s="17" t="s">
        <v>531</v>
      </c>
      <c r="F27" s="5" t="s">
        <v>613</v>
      </c>
      <c r="G27" s="17" t="s">
        <v>546</v>
      </c>
    </row>
    <row r="28" spans="1:7" ht="54.75" customHeight="1" x14ac:dyDescent="0.25">
      <c r="A28" s="17" t="s">
        <v>614</v>
      </c>
      <c r="B28" s="5" t="s">
        <v>615</v>
      </c>
      <c r="C28" s="17" t="s">
        <v>549</v>
      </c>
      <c r="D28" s="5" t="s">
        <v>612</v>
      </c>
      <c r="E28" s="17" t="s">
        <v>531</v>
      </c>
      <c r="F28" s="5" t="s">
        <v>616</v>
      </c>
      <c r="G28" s="17" t="s">
        <v>533</v>
      </c>
    </row>
    <row r="29" spans="1:7" ht="54.75" customHeight="1" x14ac:dyDescent="0.25">
      <c r="A29" s="17" t="s">
        <v>617</v>
      </c>
      <c r="B29" s="5" t="s">
        <v>618</v>
      </c>
      <c r="C29" s="17" t="s">
        <v>549</v>
      </c>
      <c r="D29" s="5" t="s">
        <v>612</v>
      </c>
      <c r="E29" s="17" t="s">
        <v>531</v>
      </c>
      <c r="F29" s="5" t="s">
        <v>619</v>
      </c>
      <c r="G29" s="17" t="s">
        <v>533</v>
      </c>
    </row>
    <row r="30" spans="1:7" ht="42" customHeight="1" x14ac:dyDescent="0.25">
      <c r="A30" s="17" t="s">
        <v>620</v>
      </c>
      <c r="B30" s="5" t="s">
        <v>621</v>
      </c>
      <c r="C30" s="17" t="s">
        <v>569</v>
      </c>
      <c r="D30" s="5" t="s">
        <v>622</v>
      </c>
      <c r="E30" s="17" t="s">
        <v>558</v>
      </c>
      <c r="F30" s="5" t="s">
        <v>623</v>
      </c>
      <c r="G30" s="17" t="s">
        <v>546</v>
      </c>
    </row>
    <row r="31" spans="1:7" ht="42" customHeight="1" x14ac:dyDescent="0.25">
      <c r="A31" s="17" t="s">
        <v>624</v>
      </c>
      <c r="B31" s="5" t="s">
        <v>625</v>
      </c>
      <c r="C31" s="17" t="s">
        <v>536</v>
      </c>
      <c r="D31" s="5" t="s">
        <v>622</v>
      </c>
      <c r="E31" s="17" t="s">
        <v>558</v>
      </c>
      <c r="F31" s="5" t="s">
        <v>626</v>
      </c>
      <c r="G31" s="17" t="s">
        <v>546</v>
      </c>
    </row>
    <row r="32" spans="1:7" ht="42" customHeight="1" x14ac:dyDescent="0.25">
      <c r="A32" s="17" t="s">
        <v>627</v>
      </c>
      <c r="B32" s="5" t="s">
        <v>628</v>
      </c>
      <c r="C32" s="17" t="s">
        <v>569</v>
      </c>
      <c r="D32" s="5" t="s">
        <v>622</v>
      </c>
      <c r="E32" s="17" t="s">
        <v>599</v>
      </c>
      <c r="F32" s="5" t="s">
        <v>629</v>
      </c>
      <c r="G32" s="17" t="s">
        <v>546</v>
      </c>
    </row>
  </sheetData>
  <mergeCells count="2">
    <mergeCell ref="A1:G1"/>
    <mergeCell ref="A2:G2"/>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B1E2D"/>
    <pageSetUpPr fitToPage="1"/>
  </sheetPr>
  <dimension ref="A1:D8"/>
  <sheetViews>
    <sheetView showGridLines="0" zoomScaleNormal="100" workbookViewId="0">
      <pane ySplit="4" topLeftCell="A5" activePane="bottomLeft" state="frozen"/>
      <selection pane="bottomLeft"/>
    </sheetView>
  </sheetViews>
  <sheetFormatPr defaultColWidth="8.7109375" defaultRowHeight="15" x14ac:dyDescent="0.25"/>
  <cols>
    <col min="1" max="1" width="6" customWidth="1"/>
    <col min="2" max="2" width="52" customWidth="1"/>
    <col min="3" max="3" width="36" customWidth="1"/>
    <col min="4" max="4" width="58" customWidth="1"/>
  </cols>
  <sheetData>
    <row r="1" spans="1:4" ht="19.5" customHeight="1" x14ac:dyDescent="0.25">
      <c r="A1" s="56" t="s">
        <v>460</v>
      </c>
      <c r="B1" s="56"/>
      <c r="C1" s="56"/>
      <c r="D1" s="56"/>
    </row>
    <row r="2" spans="1:4" ht="19.5" customHeight="1" x14ac:dyDescent="0.25">
      <c r="A2" s="52" t="s">
        <v>630</v>
      </c>
      <c r="B2" s="52"/>
      <c r="C2" s="52"/>
      <c r="D2" s="52"/>
    </row>
    <row r="4" spans="1:4" ht="18.75" customHeight="1" x14ac:dyDescent="0.25">
      <c r="A4" s="3" t="s">
        <v>326</v>
      </c>
      <c r="B4" s="3" t="s">
        <v>631</v>
      </c>
      <c r="C4" s="3" t="s">
        <v>632</v>
      </c>
      <c r="D4" s="3" t="s">
        <v>633</v>
      </c>
    </row>
    <row r="5" spans="1:4" ht="54.75" customHeight="1" x14ac:dyDescent="0.25">
      <c r="A5" s="17">
        <v>1</v>
      </c>
      <c r="B5" s="5" t="s">
        <v>634</v>
      </c>
      <c r="C5" s="5" t="s">
        <v>635</v>
      </c>
      <c r="D5" s="5" t="s">
        <v>636</v>
      </c>
    </row>
    <row r="6" spans="1:4" ht="118.5" customHeight="1" x14ac:dyDescent="0.25">
      <c r="A6" s="17">
        <v>2</v>
      </c>
      <c r="B6" s="5" t="s">
        <v>637</v>
      </c>
      <c r="C6" s="5" t="s">
        <v>638</v>
      </c>
      <c r="D6" s="5" t="s">
        <v>639</v>
      </c>
    </row>
    <row r="7" spans="1:4" ht="54.75" customHeight="1" x14ac:dyDescent="0.25">
      <c r="A7" s="17">
        <v>3</v>
      </c>
      <c r="B7" s="5" t="s">
        <v>640</v>
      </c>
      <c r="C7" s="5" t="s">
        <v>641</v>
      </c>
      <c r="D7" s="5" t="s">
        <v>642</v>
      </c>
    </row>
    <row r="8" spans="1:4" ht="67.5" customHeight="1" x14ac:dyDescent="0.25">
      <c r="A8" s="17">
        <v>4</v>
      </c>
      <c r="B8" s="5" t="s">
        <v>643</v>
      </c>
      <c r="C8" s="5" t="s">
        <v>644</v>
      </c>
      <c r="D8" s="5" t="s">
        <v>645</v>
      </c>
    </row>
  </sheetData>
  <mergeCells count="2">
    <mergeCell ref="A1:D1"/>
    <mergeCell ref="A2:D2"/>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B1E2D"/>
    <pageSetUpPr fitToPage="1"/>
  </sheetPr>
  <dimension ref="A1:F16"/>
  <sheetViews>
    <sheetView showGridLines="0" zoomScaleNormal="100" workbookViewId="0">
      <pane ySplit="4" topLeftCell="A5" activePane="bottomLeft" state="frozen"/>
      <selection pane="bottomLeft"/>
    </sheetView>
  </sheetViews>
  <sheetFormatPr defaultColWidth="8.7109375" defaultRowHeight="15" x14ac:dyDescent="0.25"/>
  <cols>
    <col min="1" max="1" width="14" customWidth="1"/>
    <col min="2" max="2" width="58" customWidth="1"/>
    <col min="3" max="3" width="12" customWidth="1"/>
    <col min="4" max="6" width="17" customWidth="1"/>
  </cols>
  <sheetData>
    <row r="1" spans="1:6" ht="19.5" customHeight="1" x14ac:dyDescent="0.25">
      <c r="A1" s="56" t="s">
        <v>460</v>
      </c>
      <c r="B1" s="56"/>
      <c r="C1" s="56"/>
      <c r="D1" s="56"/>
      <c r="E1" s="56"/>
      <c r="F1" s="56"/>
    </row>
    <row r="2" spans="1:6" ht="19.5" customHeight="1" x14ac:dyDescent="0.25">
      <c r="A2" s="52" t="s">
        <v>646</v>
      </c>
      <c r="B2" s="52"/>
      <c r="C2" s="52"/>
      <c r="D2" s="52"/>
      <c r="E2" s="52"/>
      <c r="F2" s="52"/>
    </row>
    <row r="3" spans="1:6" x14ac:dyDescent="0.25">
      <c r="A3" s="7" t="s">
        <v>647</v>
      </c>
    </row>
    <row r="4" spans="1:6" ht="30" customHeight="1" x14ac:dyDescent="0.25">
      <c r="A4" s="3" t="s">
        <v>128</v>
      </c>
      <c r="B4" s="3" t="s">
        <v>648</v>
      </c>
      <c r="C4" s="3" t="s">
        <v>649</v>
      </c>
      <c r="D4" s="3" t="s">
        <v>650</v>
      </c>
      <c r="E4" s="3" t="s">
        <v>651</v>
      </c>
      <c r="F4" s="3" t="s">
        <v>652</v>
      </c>
    </row>
    <row r="5" spans="1:6" ht="67.5" customHeight="1" x14ac:dyDescent="0.25">
      <c r="A5" s="9" t="s">
        <v>192</v>
      </c>
      <c r="B5" s="5" t="s">
        <v>653</v>
      </c>
      <c r="C5" s="44">
        <f>SUMPRODUCT((LEN(Transactions!$B$2:$B$111)&gt;0)*(Transactions!$J$2:$J$111="Group 1"))</f>
        <v>16</v>
      </c>
      <c r="D5" s="21">
        <f>SUMPRODUCT((LEN(Transactions!$B$2:$B$111)&gt;0)*(Transactions!$J$2:$J$111="Group 1")*(Transactions!$I$2:$I$111="C")*Transactions!$F$2:$F$111)</f>
        <v>148150</v>
      </c>
      <c r="E5" s="21">
        <f>SUMPRODUCT((LEN(Transactions!$B$2:$B$111)&gt;0)*(Transactions!$J$2:$J$111="Group 1")*(Transactions!$I$2:$I$111="D")*Transactions!$G$2:$G$111)</f>
        <v>0</v>
      </c>
      <c r="F5" s="21">
        <f t="shared" ref="F5:F15" si="0">D5+E5</f>
        <v>148150</v>
      </c>
    </row>
    <row r="6" spans="1:6" ht="54.75" customHeight="1" x14ac:dyDescent="0.25">
      <c r="A6" s="9" t="s">
        <v>202</v>
      </c>
      <c r="B6" s="5" t="s">
        <v>654</v>
      </c>
      <c r="C6" s="44">
        <f>SUMPRODUCT((LEN(Transactions!$B$2:$B$111)&gt;0)*(Transactions!$J$2:$J$111="Group 2"))</f>
        <v>4</v>
      </c>
      <c r="D6" s="21">
        <f>SUMPRODUCT((LEN(Transactions!$B$2:$B$111)&gt;0)*(Transactions!$J$2:$J$111="Group 2")*(Transactions!$I$2:$I$111="C")*Transactions!$F$2:$F$111)</f>
        <v>0</v>
      </c>
      <c r="E6" s="21">
        <f>SUMPRODUCT((LEN(Transactions!$B$2:$B$111)&gt;0)*(Transactions!$J$2:$J$111="Group 2")*(Transactions!$I$2:$I$111="D")*Transactions!$G$2:$G$111)</f>
        <v>98544.45</v>
      </c>
      <c r="F6" s="21">
        <f t="shared" si="0"/>
        <v>98544.45</v>
      </c>
    </row>
    <row r="7" spans="1:6" ht="54.75" customHeight="1" x14ac:dyDescent="0.25">
      <c r="A7" s="9" t="s">
        <v>222</v>
      </c>
      <c r="B7" s="5" t="s">
        <v>655</v>
      </c>
      <c r="C7" s="44">
        <f>SUMPRODUCT((LEN(Transactions!$B$2:$B$111)&gt;0)*(Transactions!$J$2:$J$111="Group 3"))</f>
        <v>3</v>
      </c>
      <c r="D7" s="21">
        <f>SUMPRODUCT((LEN(Transactions!$B$2:$B$111)&gt;0)*(Transactions!$J$2:$J$111="Group 3")*(Transactions!$I$2:$I$111="C")*Transactions!$F$2:$F$111)</f>
        <v>0</v>
      </c>
      <c r="E7" s="21">
        <f>SUMPRODUCT((LEN(Transactions!$B$2:$B$111)&gt;0)*(Transactions!$J$2:$J$111="Group 3")*(Transactions!$I$2:$I$111="D")*Transactions!$G$2:$G$111)</f>
        <v>41500</v>
      </c>
      <c r="F7" s="21">
        <f t="shared" si="0"/>
        <v>41500</v>
      </c>
    </row>
    <row r="8" spans="1:6" ht="54.75" customHeight="1" x14ac:dyDescent="0.25">
      <c r="A8" s="9" t="s">
        <v>252</v>
      </c>
      <c r="B8" s="5" t="s">
        <v>656</v>
      </c>
      <c r="C8" s="44">
        <f>SUMPRODUCT((LEN(Transactions!$B$2:$B$111)&gt;0)*(Transactions!$J$2:$J$111="Group 4"))</f>
        <v>2</v>
      </c>
      <c r="D8" s="21">
        <f>SUMPRODUCT((LEN(Transactions!$B$2:$B$111)&gt;0)*(Transactions!$J$2:$J$111="Group 4")*(Transactions!$I$2:$I$111="C")*Transactions!$F$2:$F$111)</f>
        <v>27793.1</v>
      </c>
      <c r="E8" s="21">
        <f>SUMPRODUCT((LEN(Transactions!$B$2:$B$111)&gt;0)*(Transactions!$J$2:$J$111="Group 4")*(Transactions!$I$2:$I$111="D")*Transactions!$G$2:$G$111)</f>
        <v>27835.599999999999</v>
      </c>
      <c r="F8" s="21">
        <f t="shared" si="0"/>
        <v>55628.7</v>
      </c>
    </row>
    <row r="9" spans="1:6" ht="54.75" customHeight="1" x14ac:dyDescent="0.25">
      <c r="A9" s="9" t="s">
        <v>160</v>
      </c>
      <c r="B9" s="5" t="s">
        <v>657</v>
      </c>
      <c r="C9" s="44">
        <f>SUMPRODUCT((LEN(Transactions!$B$2:$B$111)&gt;0)*(Transactions!$J$2:$J$111="Group 5"))</f>
        <v>1</v>
      </c>
      <c r="D9" s="21">
        <f>SUMPRODUCT((LEN(Transactions!$B$2:$B$111)&gt;0)*(Transactions!$J$2:$J$111="Group 5")*(Transactions!$I$2:$I$111="C")*Transactions!$F$2:$F$111)</f>
        <v>11240</v>
      </c>
      <c r="E9" s="21">
        <f>SUMPRODUCT((LEN(Transactions!$B$2:$B$111)&gt;0)*(Transactions!$J$2:$J$111="Group 5")*(Transactions!$I$2:$I$111="D")*Transactions!$G$2:$G$111)</f>
        <v>0</v>
      </c>
      <c r="F9" s="21">
        <f t="shared" si="0"/>
        <v>11240</v>
      </c>
    </row>
    <row r="10" spans="1:6" ht="29.25" customHeight="1" x14ac:dyDescent="0.25">
      <c r="A10" s="9" t="s">
        <v>231</v>
      </c>
      <c r="B10" s="5" t="s">
        <v>658</v>
      </c>
      <c r="C10" s="44">
        <f>SUMPRODUCT((LEN(Transactions!$B$2:$B$111)&gt;0)*(Transactions!$J$2:$J$111="Group 6"))</f>
        <v>3</v>
      </c>
      <c r="D10" s="21">
        <f>SUMPRODUCT((LEN(Transactions!$B$2:$B$111)&gt;0)*(Transactions!$J$2:$J$111="Group 6")*(Transactions!$I$2:$I$111="C")*Transactions!$F$2:$F$111)</f>
        <v>18650</v>
      </c>
      <c r="E10" s="21">
        <f>SUMPRODUCT((LEN(Transactions!$B$2:$B$111)&gt;0)*(Transactions!$J$2:$J$111="Group 6")*(Transactions!$I$2:$I$111="D")*Transactions!$G$2:$G$111)</f>
        <v>17740</v>
      </c>
      <c r="F10" s="21">
        <f t="shared" si="0"/>
        <v>36390</v>
      </c>
    </row>
    <row r="11" spans="1:6" ht="29.25" customHeight="1" x14ac:dyDescent="0.25">
      <c r="A11" s="9" t="s">
        <v>156</v>
      </c>
      <c r="B11" s="5" t="s">
        <v>659</v>
      </c>
      <c r="C11" s="44">
        <f>SUMPRODUCT((LEN(Transactions!$B$2:$B$111)&gt;0)*(Transactions!$J$2:$J$111="Group 7"))</f>
        <v>18</v>
      </c>
      <c r="D11" s="21">
        <f>SUMPRODUCT((LEN(Transactions!$B$2:$B$111)&gt;0)*(Transactions!$J$2:$J$111="Group 7")*(Transactions!$I$2:$I$111="C")*Transactions!$F$2:$F$111)</f>
        <v>96728.590000000011</v>
      </c>
      <c r="E11" s="21">
        <f>SUMPRODUCT((LEN(Transactions!$B$2:$B$111)&gt;0)*(Transactions!$J$2:$J$111="Group 7")*(Transactions!$I$2:$I$111="D")*Transactions!$G$2:$G$111)</f>
        <v>0</v>
      </c>
      <c r="F11" s="21">
        <f t="shared" si="0"/>
        <v>96728.590000000011</v>
      </c>
    </row>
    <row r="12" spans="1:6" ht="29.25" customHeight="1" x14ac:dyDescent="0.25">
      <c r="A12" s="9" t="s">
        <v>168</v>
      </c>
      <c r="B12" s="5" t="s">
        <v>660</v>
      </c>
      <c r="C12" s="44">
        <f>SUMPRODUCT((LEN(Transactions!$B$2:$B$111)&gt;0)*(Transactions!$J$2:$J$111="Group 8"))</f>
        <v>8</v>
      </c>
      <c r="D12" s="21">
        <f>SUMPRODUCT((LEN(Transactions!$B$2:$B$111)&gt;0)*(Transactions!$J$2:$J$111="Group 8")*(Transactions!$I$2:$I$111="C")*Transactions!$F$2:$F$111)</f>
        <v>9812.2500000000018</v>
      </c>
      <c r="E12" s="21">
        <f>SUMPRODUCT((LEN(Transactions!$B$2:$B$111)&gt;0)*(Transactions!$J$2:$J$111="Group 8")*(Transactions!$I$2:$I$111="D")*Transactions!$G$2:$G$111)</f>
        <v>0</v>
      </c>
      <c r="F12" s="21">
        <f t="shared" si="0"/>
        <v>9812.2500000000018</v>
      </c>
    </row>
    <row r="13" spans="1:6" ht="29.25" customHeight="1" x14ac:dyDescent="0.25">
      <c r="A13" s="9" t="s">
        <v>149</v>
      </c>
      <c r="B13" s="5" t="s">
        <v>661</v>
      </c>
      <c r="C13" s="44">
        <f>SUMPRODUCT((LEN(Transactions!$B$2:$B$111)&gt;0)*(Transactions!$J$2:$J$111="Group 9"))</f>
        <v>25</v>
      </c>
      <c r="D13" s="21">
        <f>SUMPRODUCT((LEN(Transactions!$B$2:$B$111)&gt;0)*(Transactions!$J$2:$J$111="Group 9")*(Transactions!$I$2:$I$111="C")*Transactions!$F$2:$F$111)</f>
        <v>0</v>
      </c>
      <c r="E13" s="21">
        <f>SUMPRODUCT((LEN(Transactions!$B$2:$B$111)&gt;0)*(Transactions!$J$2:$J$111="Group 9")*(Transactions!$I$2:$I$111="D")*Transactions!$G$2:$G$111)</f>
        <v>90883.54</v>
      </c>
      <c r="F13" s="21">
        <f t="shared" si="0"/>
        <v>90883.54</v>
      </c>
    </row>
    <row r="14" spans="1:6" ht="54.75" customHeight="1" x14ac:dyDescent="0.25">
      <c r="A14" s="9" t="s">
        <v>181</v>
      </c>
      <c r="B14" s="5" t="s">
        <v>662</v>
      </c>
      <c r="C14" s="44">
        <f>SUMPRODUCT((LEN(Transactions!$B$2:$B$111)&gt;0)*(Transactions!$J$2:$J$111="Other"))</f>
        <v>30</v>
      </c>
      <c r="D14" s="21">
        <f>SUMPRODUCT((LEN(Transactions!$B$2:$B$111)&gt;0)*(Transactions!$J$2:$J$111="Other")*(Transactions!$I$2:$I$111="C")*Transactions!$F$2:$F$111)</f>
        <v>13000</v>
      </c>
      <c r="E14" s="21">
        <f>SUMPRODUCT((LEN(Transactions!$B$2:$B$111)&gt;0)*(Transactions!$J$2:$J$111="Other")*(Transactions!$I$2:$I$111="D")*Transactions!$G$2:$G$111)</f>
        <v>29776.600000000002</v>
      </c>
      <c r="F14" s="21">
        <f t="shared" si="0"/>
        <v>42776.600000000006</v>
      </c>
    </row>
    <row r="15" spans="1:6" ht="16.5" customHeight="1" x14ac:dyDescent="0.25">
      <c r="A15" s="9" t="s">
        <v>663</v>
      </c>
      <c r="B15" s="5" t="s">
        <v>664</v>
      </c>
      <c r="C15" s="44">
        <f>SUMPRODUCT((LEN(Transactions!$B$2:$B$111)&gt;0)*(Transactions!$J$2:$J$111="Untagged"))</f>
        <v>0</v>
      </c>
      <c r="D15" s="21">
        <f>SUMPRODUCT((LEN(Transactions!$B$2:$B$111)&gt;0)*(Transactions!$J$2:$J$111="Untagged")*(Transactions!$I$2:$I$111="C")*Transactions!$F$2:$F$111)</f>
        <v>0</v>
      </c>
      <c r="E15" s="21">
        <f>SUMPRODUCT((LEN(Transactions!$B$2:$B$111)&gt;0)*(Transactions!$J$2:$J$111="Untagged")*(Transactions!$I$2:$I$111="D")*Transactions!$G$2:$G$111)</f>
        <v>0</v>
      </c>
      <c r="F15" s="21">
        <f t="shared" si="0"/>
        <v>0</v>
      </c>
    </row>
    <row r="16" spans="1:6" x14ac:dyDescent="0.25">
      <c r="A16" s="45" t="s">
        <v>665</v>
      </c>
      <c r="B16" s="4" t="s">
        <v>666</v>
      </c>
      <c r="C16" s="46">
        <f>SUM(C5:C15)</f>
        <v>110</v>
      </c>
      <c r="D16" s="47">
        <f>SUM(D5:D15)</f>
        <v>325373.94</v>
      </c>
      <c r="E16" s="47">
        <f>SUM(E5:E15)</f>
        <v>306280.19</v>
      </c>
      <c r="F16" s="47">
        <f>SUM(F5:F15)</f>
        <v>631654.13</v>
      </c>
    </row>
  </sheetData>
  <mergeCells count="2">
    <mergeCell ref="A1:F1"/>
    <mergeCell ref="A2:F2"/>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B1E2D"/>
    <pageSetUpPr fitToPage="1"/>
  </sheetPr>
  <dimension ref="A1:G89"/>
  <sheetViews>
    <sheetView showGridLines="0" zoomScaleNormal="100" workbookViewId="0"/>
  </sheetViews>
  <sheetFormatPr defaultColWidth="8.7109375" defaultRowHeight="15" x14ac:dyDescent="0.25"/>
  <cols>
    <col min="1" max="1" width="44" customWidth="1"/>
    <col min="2" max="2" width="16" customWidth="1"/>
    <col min="3" max="3" width="18" customWidth="1"/>
    <col min="4" max="4" width="16" customWidth="1"/>
    <col min="5" max="5" width="18" customWidth="1"/>
    <col min="6" max="6" width="12" customWidth="1"/>
    <col min="7" max="7" width="40" customWidth="1"/>
  </cols>
  <sheetData>
    <row r="1" spans="1:7" ht="19.5" customHeight="1" x14ac:dyDescent="0.25">
      <c r="A1" s="56" t="s">
        <v>460</v>
      </c>
      <c r="B1" s="56"/>
      <c r="C1" s="56"/>
      <c r="D1" s="56"/>
      <c r="E1" s="56"/>
      <c r="F1" s="56"/>
      <c r="G1" s="56"/>
    </row>
    <row r="2" spans="1:7" ht="19.5" customHeight="1" x14ac:dyDescent="0.25">
      <c r="A2" s="52" t="s">
        <v>667</v>
      </c>
      <c r="B2" s="52"/>
      <c r="C2" s="52"/>
      <c r="D2" s="52"/>
      <c r="E2" s="52"/>
      <c r="F2" s="52"/>
      <c r="G2" s="52"/>
    </row>
    <row r="4" spans="1:7" x14ac:dyDescent="0.25">
      <c r="A4" s="4" t="s">
        <v>668</v>
      </c>
      <c r="B4" s="58" t="s">
        <v>669</v>
      </c>
      <c r="C4" s="58"/>
      <c r="D4" s="58"/>
      <c r="E4" s="58"/>
      <c r="F4" s="58"/>
      <c r="G4" s="58"/>
    </row>
    <row r="5" spans="1:7" x14ac:dyDescent="0.25">
      <c r="A5" s="4" t="s">
        <v>670</v>
      </c>
      <c r="B5" s="58" t="s">
        <v>43</v>
      </c>
      <c r="C5" s="58"/>
      <c r="D5" s="58"/>
      <c r="E5" s="58"/>
      <c r="F5" s="58"/>
      <c r="G5" s="58"/>
    </row>
    <row r="6" spans="1:7" x14ac:dyDescent="0.25">
      <c r="A6" s="4" t="s">
        <v>671</v>
      </c>
      <c r="B6" s="48" t="s">
        <v>672</v>
      </c>
      <c r="C6" s="48"/>
      <c r="D6" s="48"/>
      <c r="E6" s="48"/>
      <c r="F6" s="48"/>
      <c r="G6" s="48"/>
    </row>
    <row r="7" spans="1:7" x14ac:dyDescent="0.25">
      <c r="A7" s="4" t="s">
        <v>673</v>
      </c>
      <c r="B7" s="58" t="s">
        <v>151</v>
      </c>
      <c r="C7" s="58"/>
      <c r="D7" s="58"/>
      <c r="E7" s="58"/>
      <c r="F7" s="58"/>
      <c r="G7" s="58"/>
    </row>
    <row r="8" spans="1:7" x14ac:dyDescent="0.25">
      <c r="A8" s="4" t="s">
        <v>674</v>
      </c>
      <c r="B8" s="58" t="s">
        <v>675</v>
      </c>
      <c r="C8" s="58"/>
      <c r="D8" s="58"/>
      <c r="E8" s="58"/>
      <c r="F8" s="58"/>
      <c r="G8" s="58"/>
    </row>
    <row r="9" spans="1:7" x14ac:dyDescent="0.25">
      <c r="A9" s="4" t="s">
        <v>676</v>
      </c>
      <c r="B9" s="58" t="s">
        <v>107</v>
      </c>
      <c r="C9" s="58"/>
      <c r="D9" s="58"/>
      <c r="E9" s="58"/>
      <c r="F9" s="58"/>
      <c r="G9" s="58"/>
    </row>
    <row r="10" spans="1:7" x14ac:dyDescent="0.25">
      <c r="A10" s="4" t="s">
        <v>677</v>
      </c>
      <c r="B10" s="58" t="s">
        <v>423</v>
      </c>
      <c r="C10" s="58"/>
      <c r="D10" s="58"/>
      <c r="E10" s="58"/>
      <c r="F10" s="58"/>
      <c r="G10" s="58"/>
    </row>
    <row r="11" spans="1:7" x14ac:dyDescent="0.25">
      <c r="A11" s="4" t="s">
        <v>678</v>
      </c>
      <c r="B11" s="48" t="s">
        <v>501</v>
      </c>
      <c r="C11" s="48"/>
      <c r="D11" s="48"/>
      <c r="E11" s="48"/>
      <c r="F11" s="48"/>
      <c r="G11" s="48"/>
    </row>
    <row r="12" spans="1:7" x14ac:dyDescent="0.25">
      <c r="A12" s="4" t="s">
        <v>679</v>
      </c>
      <c r="B12" s="58" t="s">
        <v>680</v>
      </c>
      <c r="C12" s="58"/>
      <c r="D12" s="58"/>
      <c r="E12" s="58"/>
      <c r="F12" s="58"/>
      <c r="G12" s="58"/>
    </row>
    <row r="14" spans="1:7" ht="18" customHeight="1" x14ac:dyDescent="0.25">
      <c r="A14" s="52" t="s">
        <v>681</v>
      </c>
      <c r="B14" s="52"/>
      <c r="C14" s="52"/>
      <c r="D14" s="52"/>
      <c r="E14" s="52"/>
      <c r="F14" s="52"/>
      <c r="G14" s="52"/>
    </row>
    <row r="15" spans="1:7" ht="27.75" customHeight="1" x14ac:dyDescent="0.25">
      <c r="A15" s="3" t="s">
        <v>94</v>
      </c>
      <c r="B15" s="3" t="s">
        <v>682</v>
      </c>
      <c r="C15" s="3" t="s">
        <v>650</v>
      </c>
      <c r="D15" s="3" t="s">
        <v>651</v>
      </c>
      <c r="E15" s="3" t="s">
        <v>683</v>
      </c>
      <c r="F15" s="3" t="s">
        <v>180</v>
      </c>
      <c r="G15" s="3" t="s">
        <v>684</v>
      </c>
    </row>
    <row r="16" spans="1:7" ht="29.25" customHeight="1" x14ac:dyDescent="0.25">
      <c r="A16" s="5" t="s">
        <v>685</v>
      </c>
      <c r="B16" s="20">
        <v>21486.37</v>
      </c>
      <c r="C16" s="21">
        <f>SUMPRODUCT((LEN(Transactions!$B$2:$B$111)&gt;0)*(Transactions!$B$2:$B$111="5523018846120")*(Transactions!$I$2:$I$111="C")*Transactions!$F$2:$F$111)</f>
        <v>284823.94000000006</v>
      </c>
      <c r="D16" s="21">
        <f>SUMPRODUCT((LEN(Transactions!$B$2:$B$111)&gt;0)*(Transactions!$B$2:$B$111="5523018846120")*(Transactions!$I$2:$I$111="D")*Transactions!$G$2:$G$111)</f>
        <v>273844.07</v>
      </c>
      <c r="E16" s="20">
        <f>B16+C16-D16</f>
        <v>32466.240000000049</v>
      </c>
      <c r="F16" s="17" t="str">
        <f>IF(ABS(E16-Transactions!D86)&lt;0.005,"OK","CHECK")</f>
        <v>OK</v>
      </c>
      <c r="G16" s="5" t="s">
        <v>686</v>
      </c>
    </row>
    <row r="17" spans="1:7" ht="29.25" customHeight="1" x14ac:dyDescent="0.25">
      <c r="A17" s="5" t="s">
        <v>687</v>
      </c>
      <c r="B17" s="20">
        <v>6214.58</v>
      </c>
      <c r="C17" s="21">
        <f>SUMPRODUCT((LEN(Transactions!$B$2:$B$111)&gt;0)*(Transactions!$B$2:$B$111="5523018851447")*(Transactions!$I$2:$I$111="C")*Transactions!$F$2:$F$111)</f>
        <v>40550</v>
      </c>
      <c r="D17" s="21">
        <f>SUMPRODUCT((LEN(Transactions!$B$2:$B$111)&gt;0)*(Transactions!$B$2:$B$111="5523018851447")*(Transactions!$I$2:$I$111="D")*Transactions!$G$2:$G$111)</f>
        <v>32436.120000000003</v>
      </c>
      <c r="E17" s="20">
        <f>B17+C17-D17</f>
        <v>14328.46</v>
      </c>
      <c r="F17" s="17" t="str">
        <f>IF(ABS(E17-Transactions!D111)&lt;0.005,"OK","CHECK")</f>
        <v>OK</v>
      </c>
      <c r="G17" s="5" t="s">
        <v>688</v>
      </c>
    </row>
    <row r="19" spans="1:7" ht="18" customHeight="1" x14ac:dyDescent="0.25">
      <c r="A19" s="52" t="s">
        <v>689</v>
      </c>
      <c r="B19" s="52"/>
      <c r="C19" s="52"/>
      <c r="D19" s="52"/>
      <c r="E19" s="52"/>
      <c r="F19" s="52"/>
      <c r="G19" s="52"/>
    </row>
    <row r="20" spans="1:7" ht="27.75" customHeight="1" x14ac:dyDescent="0.25">
      <c r="A20" s="3" t="s">
        <v>690</v>
      </c>
      <c r="B20" s="3" t="s">
        <v>691</v>
      </c>
      <c r="C20" s="3" t="s">
        <v>692</v>
      </c>
      <c r="D20" s="3" t="s">
        <v>693</v>
      </c>
      <c r="E20" s="3" t="s">
        <v>694</v>
      </c>
      <c r="F20" s="3" t="s">
        <v>180</v>
      </c>
      <c r="G20" s="3" t="s">
        <v>695</v>
      </c>
    </row>
    <row r="21" spans="1:7" ht="29.25" customHeight="1" x14ac:dyDescent="0.25">
      <c r="A21" s="5" t="s">
        <v>696</v>
      </c>
      <c r="B21" s="44">
        <v>13</v>
      </c>
      <c r="C21" s="21">
        <v>120600</v>
      </c>
      <c r="D21" s="44">
        <f>SUMPRODUCT((LEN(Transactions!$B$2:$B$111)&gt;0)*(Transactions!$J$2:$J$111="Group 1")*(Transactions!$B$2:$B$111="5523018846120"))</f>
        <v>13</v>
      </c>
      <c r="E21" s="21">
        <f>SUMPRODUCT((LEN(Transactions!$B$2:$B$111)&gt;0)*(Transactions!$J$2:$J$111="Group 1")*(Transactions!$B$2:$B$111="5523018846120")*(Transactions!$F$2:$F$111+Transactions!$G$2:$G$111))</f>
        <v>120600</v>
      </c>
      <c r="F21" s="17" t="str">
        <f t="shared" ref="F21:F37" si="0">IF(AND(ABS(C21-E21)&lt;0.005,OR(B21="",B21=D21)),"OK","CHECK")</f>
        <v>OK</v>
      </c>
      <c r="G21" s="5" t="s">
        <v>697</v>
      </c>
    </row>
    <row r="22" spans="1:7" ht="29.25" customHeight="1" x14ac:dyDescent="0.25">
      <c r="A22" s="5" t="s">
        <v>698</v>
      </c>
      <c r="B22" s="44">
        <v>3</v>
      </c>
      <c r="C22" s="21">
        <v>27550</v>
      </c>
      <c r="D22" s="44">
        <f>SUMPRODUCT((LEN(Transactions!$B$2:$B$111)&gt;0)*(Transactions!$J$2:$J$111="Group 1")*(Transactions!$B$2:$B$111="5523018851447"))</f>
        <v>3</v>
      </c>
      <c r="E22" s="21">
        <f>SUMPRODUCT((LEN(Transactions!$B$2:$B$111)&gt;0)*(Transactions!$J$2:$J$111="Group 1")*(Transactions!$B$2:$B$111="5523018851447")*(Transactions!$F$2:$F$111+Transactions!$G$2:$G$111))</f>
        <v>27550</v>
      </c>
      <c r="F22" s="17" t="str">
        <f t="shared" si="0"/>
        <v>OK</v>
      </c>
      <c r="G22" s="5" t="s">
        <v>699</v>
      </c>
    </row>
    <row r="23" spans="1:7" ht="16.5" customHeight="1" x14ac:dyDescent="0.25">
      <c r="A23" s="5" t="s">
        <v>700</v>
      </c>
      <c r="B23" s="44">
        <v>16</v>
      </c>
      <c r="C23" s="21">
        <v>148150</v>
      </c>
      <c r="D23" s="44">
        <f>SUMPRODUCT((LEN(Transactions!$B$2:$B$111)&gt;0)*(Transactions!$J$2:$J$111="Group 1"))</f>
        <v>16</v>
      </c>
      <c r="E23" s="21">
        <f>SUMPRODUCT((LEN(Transactions!$B$2:$B$111)&gt;0)*(Transactions!$J$2:$J$111="Group 1")*(Transactions!$F$2:$F$111+Transactions!$G$2:$G$111))</f>
        <v>148150</v>
      </c>
      <c r="F23" s="17" t="str">
        <f t="shared" si="0"/>
        <v>OK</v>
      </c>
      <c r="G23" s="5" t="s">
        <v>701</v>
      </c>
    </row>
    <row r="24" spans="1:7" ht="29.25" customHeight="1" x14ac:dyDescent="0.25">
      <c r="A24" s="5" t="s">
        <v>702</v>
      </c>
      <c r="B24" s="44">
        <v>4</v>
      </c>
      <c r="C24" s="21">
        <v>98544.45</v>
      </c>
      <c r="D24" s="44">
        <f>SUMPRODUCT((LEN(Transactions!$B$2:$B$111)&gt;0)*(Transactions!$J$2:$J$111="Group 2"))</f>
        <v>4</v>
      </c>
      <c r="E24" s="21">
        <f>SUMPRODUCT((LEN(Transactions!$B$2:$B$111)&gt;0)*(Transactions!$J$2:$J$111="Group 2")*(Transactions!$F$2:$F$111+Transactions!$G$2:$G$111))</f>
        <v>98544.45</v>
      </c>
      <c r="F24" s="17" t="str">
        <f t="shared" si="0"/>
        <v>OK</v>
      </c>
      <c r="G24" s="5" t="s">
        <v>703</v>
      </c>
    </row>
    <row r="25" spans="1:7" ht="29.25" customHeight="1" x14ac:dyDescent="0.25">
      <c r="A25" s="5" t="s">
        <v>704</v>
      </c>
      <c r="B25" s="44">
        <v>3</v>
      </c>
      <c r="C25" s="21">
        <v>41500</v>
      </c>
      <c r="D25" s="44">
        <f>SUMPRODUCT((LEN(Transactions!$B$2:$B$111)&gt;0)*(Transactions!$J$2:$J$111="Group 3"))</f>
        <v>3</v>
      </c>
      <c r="E25" s="21">
        <f>SUMPRODUCT((LEN(Transactions!$B$2:$B$111)&gt;0)*(Transactions!$J$2:$J$111="Group 3")*(Transactions!$F$2:$F$111+Transactions!$G$2:$G$111))</f>
        <v>41500</v>
      </c>
      <c r="F25" s="17" t="str">
        <f t="shared" si="0"/>
        <v>OK</v>
      </c>
      <c r="G25" s="5" t="s">
        <v>705</v>
      </c>
    </row>
    <row r="26" spans="1:7" ht="16.5" customHeight="1" x14ac:dyDescent="0.25">
      <c r="A26" s="5" t="s">
        <v>706</v>
      </c>
      <c r="B26" s="44">
        <v>7</v>
      </c>
      <c r="C26" s="21">
        <v>140044.45000000001</v>
      </c>
      <c r="D26" s="44">
        <f>SUMPRODUCT((LEN(Transactions!$B$2:$B$111)&gt;0)*(((Transactions!$J$2:$J$111="Group 2")+(Transactions!$J$2:$J$111="Group 3"))&gt;0))</f>
        <v>7</v>
      </c>
      <c r="E26" s="21">
        <f>SUMPRODUCT((LEN(Transactions!$B$2:$B$111)&gt;0)*(((Transactions!$J$2:$J$111="Group 2")+(Transactions!$J$2:$J$111="Group 3"))&gt;0)*(Transactions!$F$2:$F$111+Transactions!$G$2:$G$111))</f>
        <v>140044.45000000001</v>
      </c>
      <c r="F26" s="17" t="str">
        <f t="shared" si="0"/>
        <v>OK</v>
      </c>
      <c r="G26" s="5" t="s">
        <v>707</v>
      </c>
    </row>
    <row r="27" spans="1:7" ht="29.25" customHeight="1" x14ac:dyDescent="0.25">
      <c r="A27" s="5" t="s">
        <v>708</v>
      </c>
      <c r="B27" s="44">
        <v>23</v>
      </c>
      <c r="C27" s="21">
        <v>288194.45</v>
      </c>
      <c r="D27" s="44">
        <f>SUMPRODUCT((LEN(Transactions!$B$2:$B$111)&gt;0)*(((Transactions!$J$2:$J$111="Group 1")+(Transactions!$J$2:$J$111="Group 2")+(Transactions!$J$2:$J$111="Group 3"))&gt;0))</f>
        <v>23</v>
      </c>
      <c r="E27" s="21">
        <f>SUMPRODUCT((LEN(Transactions!$B$2:$B$111)&gt;0)*(((Transactions!$J$2:$J$111="Group 1")+(Transactions!$J$2:$J$111="Group 2")+(Transactions!$J$2:$J$111="Group 3"))&gt;0)*(Transactions!$F$2:$F$111+Transactions!$G$2:$G$111))</f>
        <v>288194.44999999995</v>
      </c>
      <c r="F27" s="17" t="str">
        <f t="shared" si="0"/>
        <v>OK</v>
      </c>
      <c r="G27" s="5" t="s">
        <v>709</v>
      </c>
    </row>
    <row r="28" spans="1:7" ht="29.25" customHeight="1" x14ac:dyDescent="0.25">
      <c r="A28" s="5" t="s">
        <v>710</v>
      </c>
      <c r="B28" s="44">
        <v>24</v>
      </c>
      <c r="C28" s="21">
        <v>299434.45</v>
      </c>
      <c r="D28" s="44">
        <f>SUMPRODUCT((LEN(Transactions!$B$2:$B$111)&gt;0)*(((Transactions!$J$2:$J$111="Group 1")+(Transactions!$J$2:$J$111="Group 2")+(Transactions!$J$2:$J$111="Group 3")+(Transactions!$J$2:$J$111="Group 5"))&gt;0))</f>
        <v>24</v>
      </c>
      <c r="E28" s="21">
        <f>SUMPRODUCT((LEN(Transactions!$B$2:$B$111)&gt;0)*(((Transactions!$J$2:$J$111="Group 1")+(Transactions!$J$2:$J$111="Group 2")+(Transactions!$J$2:$J$111="Group 3")+(Transactions!$J$2:$J$111="Group 5"))&gt;0)*(Transactions!$F$2:$F$111+Transactions!$G$2:$G$111))</f>
        <v>299434.44999999995</v>
      </c>
      <c r="F28" s="17" t="str">
        <f t="shared" si="0"/>
        <v>OK</v>
      </c>
      <c r="G28" s="5" t="s">
        <v>711</v>
      </c>
    </row>
    <row r="29" spans="1:7" ht="16.5" customHeight="1" x14ac:dyDescent="0.25">
      <c r="A29" s="5" t="s">
        <v>712</v>
      </c>
      <c r="B29" s="44">
        <v>1</v>
      </c>
      <c r="C29" s="21">
        <v>27835.599999999999</v>
      </c>
      <c r="D29" s="44">
        <f>SUMPRODUCT((LEN(Transactions!$B$2:$B$111)&gt;0)*(Transactions!$J$2:$J$111="Group 4")*(Transactions!$I$2:$I$111="D"))</f>
        <v>1</v>
      </c>
      <c r="E29" s="21">
        <f>SUMPRODUCT((LEN(Transactions!$B$2:$B$111)&gt;0)*(Transactions!$J$2:$J$111="Group 4")*(Transactions!$I$2:$I$111="D")*Transactions!$G$2:$G$111)</f>
        <v>27835.599999999999</v>
      </c>
      <c r="F29" s="17" t="str">
        <f t="shared" si="0"/>
        <v>OK</v>
      </c>
      <c r="G29" s="5" t="s">
        <v>713</v>
      </c>
    </row>
    <row r="30" spans="1:7" ht="29.25" customHeight="1" x14ac:dyDescent="0.25">
      <c r="A30" s="5" t="s">
        <v>714</v>
      </c>
      <c r="B30" s="44">
        <v>1</v>
      </c>
      <c r="C30" s="21">
        <v>27793.1</v>
      </c>
      <c r="D30" s="44">
        <f>SUMPRODUCT((LEN(Transactions!$B$2:$B$111)&gt;0)*(Transactions!$J$2:$J$111="Group 4")*(Transactions!$I$2:$I$111="C"))</f>
        <v>1</v>
      </c>
      <c r="E30" s="21">
        <f>SUMPRODUCT((LEN(Transactions!$B$2:$B$111)&gt;0)*(Transactions!$J$2:$J$111="Group 4")*(Transactions!$I$2:$I$111="C")*Transactions!$F$2:$F$111)</f>
        <v>27793.1</v>
      </c>
      <c r="F30" s="17" t="str">
        <f t="shared" si="0"/>
        <v>OK</v>
      </c>
      <c r="G30" s="5" t="s">
        <v>715</v>
      </c>
    </row>
    <row r="31" spans="1:7" ht="29.25" customHeight="1" x14ac:dyDescent="0.25">
      <c r="A31" s="5" t="s">
        <v>716</v>
      </c>
      <c r="B31" s="44">
        <v>1</v>
      </c>
      <c r="C31" s="21">
        <v>11240</v>
      </c>
      <c r="D31" s="44">
        <f>SUMPRODUCT((LEN(Transactions!$B$2:$B$111)&gt;0)*(Transactions!$J$2:$J$111="Group 5"))</f>
        <v>1</v>
      </c>
      <c r="E31" s="21">
        <f>SUMPRODUCT((LEN(Transactions!$B$2:$B$111)&gt;0)*(Transactions!$J$2:$J$111="Group 5")*(Transactions!$F$2:$F$111+Transactions!$G$2:$G$111))</f>
        <v>11240</v>
      </c>
      <c r="F31" s="17" t="str">
        <f t="shared" si="0"/>
        <v>OK</v>
      </c>
      <c r="G31" s="5" t="s">
        <v>717</v>
      </c>
    </row>
    <row r="32" spans="1:7" ht="16.5" customHeight="1" x14ac:dyDescent="0.25">
      <c r="A32" s="5" t="s">
        <v>718</v>
      </c>
      <c r="B32" s="44">
        <v>1</v>
      </c>
      <c r="C32" s="21">
        <v>18650</v>
      </c>
      <c r="D32" s="44">
        <f>SUMPRODUCT((LEN(Transactions!$B$2:$B$111)&gt;0)*(Transactions!$J$2:$J$111="Group 6")*(Transactions!$I$2:$I$111="C"))</f>
        <v>1</v>
      </c>
      <c r="E32" s="21">
        <f>SUMPRODUCT((LEN(Transactions!$B$2:$B$111)&gt;0)*(Transactions!$J$2:$J$111="Group 6")*(Transactions!$I$2:$I$111="C")*Transactions!$F$2:$F$111)</f>
        <v>18650</v>
      </c>
      <c r="F32" s="17" t="str">
        <f t="shared" si="0"/>
        <v>OK</v>
      </c>
      <c r="G32" s="5" t="s">
        <v>719</v>
      </c>
    </row>
    <row r="33" spans="1:7" ht="16.5" customHeight="1" x14ac:dyDescent="0.25">
      <c r="A33" s="5" t="s">
        <v>720</v>
      </c>
      <c r="B33" s="44">
        <v>18</v>
      </c>
      <c r="C33" s="21">
        <v>96728.59</v>
      </c>
      <c r="D33" s="44">
        <f>SUMPRODUCT((LEN(Transactions!$B$2:$B$111)&gt;0)*(Transactions!$J$2:$J$111="Group 7"))</f>
        <v>18</v>
      </c>
      <c r="E33" s="21">
        <f>SUMPRODUCT((LEN(Transactions!$B$2:$B$111)&gt;0)*(Transactions!$J$2:$J$111="Group 7")*(Transactions!$F$2:$F$111+Transactions!$G$2:$G$111))</f>
        <v>96728.590000000011</v>
      </c>
      <c r="F33" s="17" t="str">
        <f t="shared" si="0"/>
        <v>OK</v>
      </c>
      <c r="G33" s="5" t="s">
        <v>721</v>
      </c>
    </row>
    <row r="34" spans="1:7" ht="16.5" customHeight="1" x14ac:dyDescent="0.25">
      <c r="A34" s="5" t="s">
        <v>722</v>
      </c>
      <c r="B34" s="44">
        <v>8</v>
      </c>
      <c r="C34" s="21">
        <v>9812.25</v>
      </c>
      <c r="D34" s="44">
        <f>SUMPRODUCT((LEN(Transactions!$B$2:$B$111)&gt;0)*(Transactions!$J$2:$J$111="Group 8"))</f>
        <v>8</v>
      </c>
      <c r="E34" s="21">
        <f>SUMPRODUCT((LEN(Transactions!$B$2:$B$111)&gt;0)*(Transactions!$J$2:$J$111="Group 8")*(Transactions!$F$2:$F$111+Transactions!$G$2:$G$111))</f>
        <v>9812.2500000000018</v>
      </c>
      <c r="F34" s="17" t="str">
        <f t="shared" si="0"/>
        <v>OK</v>
      </c>
      <c r="G34" s="5" t="s">
        <v>723</v>
      </c>
    </row>
    <row r="35" spans="1:7" ht="29.25" customHeight="1" x14ac:dyDescent="0.25">
      <c r="A35" s="5" t="s">
        <v>724</v>
      </c>
      <c r="B35" s="44">
        <v>25</v>
      </c>
      <c r="C35" s="21">
        <v>90883.54</v>
      </c>
      <c r="D35" s="44">
        <f>SUMPRODUCT((LEN(Transactions!$B$2:$B$111)&gt;0)*(Transactions!$J$2:$J$111="Group 9"))</f>
        <v>25</v>
      </c>
      <c r="E35" s="21">
        <f>SUMPRODUCT((LEN(Transactions!$B$2:$B$111)&gt;0)*(Transactions!$J$2:$J$111="Group 9")*(Transactions!$F$2:$F$111+Transactions!$G$2:$G$111))</f>
        <v>90883.54</v>
      </c>
      <c r="F35" s="17" t="str">
        <f t="shared" si="0"/>
        <v>OK</v>
      </c>
      <c r="G35" s="5" t="s">
        <v>725</v>
      </c>
    </row>
    <row r="36" spans="1:7" ht="29.25" customHeight="1" x14ac:dyDescent="0.25">
      <c r="A36" s="5" t="s">
        <v>726</v>
      </c>
      <c r="B36" s="44">
        <v>25</v>
      </c>
      <c r="C36" s="21">
        <v>169202.25</v>
      </c>
      <c r="D36" s="44">
        <f>SUMPRODUCT((LEN(Transactions!$B$2:$B$111)&gt;0)*(Transactions!$H$2:$H$111="Cash")*(Transactions!$I$2:$I$111="C"))</f>
        <v>25</v>
      </c>
      <c r="E36" s="21">
        <f>SUMPRODUCT((LEN(Transactions!$B$2:$B$111)&gt;0)*(Transactions!$H$2:$H$111="Cash")*(Transactions!$I$2:$I$111="C")*Transactions!$F$2:$F$111)</f>
        <v>169202.25</v>
      </c>
      <c r="F36" s="17" t="str">
        <f t="shared" si="0"/>
        <v>OK</v>
      </c>
      <c r="G36" s="5" t="s">
        <v>727</v>
      </c>
    </row>
    <row r="37" spans="1:7" ht="29.25" customHeight="1" x14ac:dyDescent="0.25">
      <c r="A37" s="5" t="s">
        <v>728</v>
      </c>
      <c r="B37" s="44">
        <v>4</v>
      </c>
      <c r="C37" s="21">
        <v>13000</v>
      </c>
      <c r="D37" s="44">
        <f>SUMPRODUCT((LEN(Transactions!$B$2:$B$111)&gt;0)*(Transactions!$H$2:$H$111="Internal Transfer")*(Transactions!$I$2:$I$111="D"))</f>
        <v>4</v>
      </c>
      <c r="E37" s="21">
        <f>SUMPRODUCT((LEN(Transactions!$B$2:$B$111)&gt;0)*(Transactions!$H$2:$H$111="Internal Transfer")*(Transactions!$I$2:$I$111="D")*Transactions!$G$2:$G$111)</f>
        <v>13000</v>
      </c>
      <c r="F37" s="17" t="str">
        <f t="shared" si="0"/>
        <v>OK</v>
      </c>
      <c r="G37" s="5" t="s">
        <v>729</v>
      </c>
    </row>
    <row r="39" spans="1:7" ht="18" customHeight="1" x14ac:dyDescent="0.25">
      <c r="A39" s="52" t="s">
        <v>730</v>
      </c>
      <c r="B39" s="52"/>
      <c r="C39" s="52"/>
      <c r="D39" s="52"/>
      <c r="E39" s="52"/>
      <c r="F39" s="52"/>
      <c r="G39" s="52"/>
    </row>
    <row r="40" spans="1:7" x14ac:dyDescent="0.25">
      <c r="A40" s="4" t="s">
        <v>731</v>
      </c>
      <c r="B40" s="44">
        <f>COUNTA('Event Details'!A4:A13)</f>
        <v>10</v>
      </c>
    </row>
    <row r="41" spans="1:7" x14ac:dyDescent="0.25">
      <c r="A41" s="4" t="s">
        <v>732</v>
      </c>
      <c r="B41" s="21">
        <f>SUMPRODUCT(ABS('Event Details'!D4:D13))</f>
        <v>139428.04999999999</v>
      </c>
    </row>
    <row r="42" spans="1:7" x14ac:dyDescent="0.25">
      <c r="A42" s="4" t="s">
        <v>733</v>
      </c>
      <c r="B42" s="1" t="s">
        <v>734</v>
      </c>
    </row>
    <row r="44" spans="1:7" ht="18" customHeight="1" x14ac:dyDescent="0.25">
      <c r="A44" s="52" t="s">
        <v>735</v>
      </c>
      <c r="B44" s="52"/>
      <c r="C44" s="52"/>
      <c r="D44" s="52"/>
      <c r="E44" s="52"/>
      <c r="F44" s="52"/>
      <c r="G44" s="52"/>
    </row>
    <row r="45" spans="1:7" ht="16.5" customHeight="1" x14ac:dyDescent="0.25">
      <c r="A45" s="49" t="s">
        <v>736</v>
      </c>
      <c r="B45" s="49"/>
      <c r="C45" s="49"/>
      <c r="D45" s="49"/>
      <c r="E45" s="49"/>
      <c r="F45" s="49"/>
      <c r="G45" s="49"/>
    </row>
    <row r="46" spans="1:7" ht="16.5" customHeight="1" x14ac:dyDescent="0.25">
      <c r="A46" s="49" t="s">
        <v>737</v>
      </c>
      <c r="B46" s="49"/>
      <c r="C46" s="49"/>
      <c r="D46" s="49"/>
      <c r="E46" s="49"/>
      <c r="F46" s="49"/>
      <c r="G46" s="49"/>
    </row>
    <row r="47" spans="1:7" ht="29.25" customHeight="1" x14ac:dyDescent="0.25">
      <c r="A47" s="49" t="s">
        <v>738</v>
      </c>
      <c r="B47" s="49"/>
      <c r="C47" s="49"/>
      <c r="D47" s="49"/>
      <c r="E47" s="49"/>
      <c r="F47" s="49"/>
      <c r="G47" s="49"/>
    </row>
    <row r="48" spans="1:7" ht="16.5" customHeight="1" x14ac:dyDescent="0.25">
      <c r="A48" s="49" t="s">
        <v>739</v>
      </c>
      <c r="B48" s="49"/>
      <c r="C48" s="49"/>
      <c r="D48" s="49"/>
      <c r="E48" s="49"/>
      <c r="F48" s="49"/>
      <c r="G48" s="49"/>
    </row>
    <row r="49" spans="1:7" ht="16.5" customHeight="1" x14ac:dyDescent="0.25">
      <c r="A49" s="49" t="s">
        <v>740</v>
      </c>
      <c r="B49" s="49"/>
      <c r="C49" s="49"/>
      <c r="D49" s="49"/>
      <c r="E49" s="49"/>
      <c r="F49" s="49"/>
      <c r="G49" s="49"/>
    </row>
    <row r="50" spans="1:7" ht="29.25" customHeight="1" x14ac:dyDescent="0.25">
      <c r="A50" s="49" t="s">
        <v>741</v>
      </c>
      <c r="B50" s="49"/>
      <c r="C50" s="49"/>
      <c r="D50" s="49"/>
      <c r="E50" s="49"/>
      <c r="F50" s="49"/>
      <c r="G50" s="49"/>
    </row>
    <row r="51" spans="1:7" ht="16.5" customHeight="1" x14ac:dyDescent="0.25">
      <c r="A51" s="49" t="s">
        <v>742</v>
      </c>
      <c r="B51" s="49"/>
      <c r="C51" s="49"/>
      <c r="D51" s="49"/>
      <c r="E51" s="49"/>
      <c r="F51" s="49"/>
      <c r="G51" s="49"/>
    </row>
    <row r="52" spans="1:7" ht="16.5" customHeight="1" x14ac:dyDescent="0.25">
      <c r="A52" s="49" t="s">
        <v>743</v>
      </c>
      <c r="B52" s="49"/>
      <c r="C52" s="49"/>
      <c r="D52" s="49"/>
      <c r="E52" s="49"/>
      <c r="F52" s="49"/>
      <c r="G52" s="49"/>
    </row>
    <row r="54" spans="1:7" ht="18" customHeight="1" x14ac:dyDescent="0.25">
      <c r="A54" s="52" t="s">
        <v>744</v>
      </c>
      <c r="B54" s="52"/>
      <c r="C54" s="52"/>
      <c r="D54" s="52"/>
      <c r="E54" s="52"/>
      <c r="F54" s="52"/>
      <c r="G54" s="52"/>
    </row>
    <row r="55" spans="1:7" ht="16.5" customHeight="1" x14ac:dyDescent="0.25">
      <c r="A55" s="49" t="s">
        <v>745</v>
      </c>
      <c r="B55" s="49"/>
      <c r="C55" s="49"/>
      <c r="D55" s="49"/>
      <c r="E55" s="49"/>
      <c r="F55" s="49"/>
      <c r="G55" s="49"/>
    </row>
    <row r="56" spans="1:7" ht="16.5" customHeight="1" x14ac:dyDescent="0.25">
      <c r="A56" s="49" t="s">
        <v>746</v>
      </c>
      <c r="B56" s="49"/>
      <c r="C56" s="49"/>
      <c r="D56" s="49"/>
      <c r="E56" s="49"/>
      <c r="F56" s="49"/>
      <c r="G56" s="49"/>
    </row>
    <row r="57" spans="1:7" ht="16.5" customHeight="1" x14ac:dyDescent="0.25">
      <c r="A57" s="49" t="s">
        <v>747</v>
      </c>
      <c r="B57" s="49"/>
      <c r="C57" s="49"/>
      <c r="D57" s="49"/>
      <c r="E57" s="49"/>
      <c r="F57" s="49"/>
      <c r="G57" s="49"/>
    </row>
    <row r="58" spans="1:7" ht="16.5" customHeight="1" x14ac:dyDescent="0.25">
      <c r="A58" s="49" t="s">
        <v>748</v>
      </c>
      <c r="B58" s="49"/>
      <c r="C58" s="49"/>
      <c r="D58" s="49"/>
      <c r="E58" s="49"/>
      <c r="F58" s="49"/>
      <c r="G58" s="49"/>
    </row>
    <row r="59" spans="1:7" ht="16.5" customHeight="1" x14ac:dyDescent="0.25">
      <c r="A59" s="49" t="s">
        <v>749</v>
      </c>
      <c r="B59" s="49"/>
      <c r="C59" s="49"/>
      <c r="D59" s="49"/>
      <c r="E59" s="49"/>
      <c r="F59" s="49"/>
      <c r="G59" s="49"/>
    </row>
    <row r="60" spans="1:7" ht="16.5" customHeight="1" x14ac:dyDescent="0.25">
      <c r="A60" s="49" t="s">
        <v>750</v>
      </c>
      <c r="B60" s="49"/>
      <c r="C60" s="49"/>
      <c r="D60" s="49"/>
      <c r="E60" s="49"/>
      <c r="F60" s="49"/>
      <c r="G60" s="49"/>
    </row>
    <row r="62" spans="1:7" ht="18" customHeight="1" x14ac:dyDescent="0.25">
      <c r="A62" s="52" t="s">
        <v>751</v>
      </c>
      <c r="B62" s="52"/>
      <c r="C62" s="52"/>
      <c r="D62" s="52"/>
      <c r="E62" s="52"/>
      <c r="F62" s="52"/>
      <c r="G62" s="52"/>
    </row>
    <row r="63" spans="1:7" ht="29.25" customHeight="1" x14ac:dyDescent="0.25">
      <c r="A63" s="49" t="s">
        <v>752</v>
      </c>
      <c r="B63" s="49"/>
      <c r="C63" s="49"/>
      <c r="D63" s="49"/>
      <c r="E63" s="49"/>
      <c r="F63" s="49"/>
      <c r="G63" s="49"/>
    </row>
    <row r="64" spans="1:7" ht="16.5" customHeight="1" x14ac:dyDescent="0.25">
      <c r="A64" s="49" t="s">
        <v>753</v>
      </c>
      <c r="B64" s="49"/>
      <c r="C64" s="49"/>
      <c r="D64" s="49"/>
      <c r="E64" s="49"/>
      <c r="F64" s="49"/>
      <c r="G64" s="49"/>
    </row>
    <row r="65" spans="1:7" ht="16.5" customHeight="1" x14ac:dyDescent="0.25">
      <c r="A65" s="49" t="s">
        <v>754</v>
      </c>
      <c r="B65" s="49"/>
      <c r="C65" s="49"/>
      <c r="D65" s="49"/>
      <c r="E65" s="49"/>
      <c r="F65" s="49"/>
      <c r="G65" s="49"/>
    </row>
    <row r="66" spans="1:7" ht="16.5" customHeight="1" x14ac:dyDescent="0.25">
      <c r="A66" s="49" t="s">
        <v>755</v>
      </c>
      <c r="B66" s="49"/>
      <c r="C66" s="49"/>
      <c r="D66" s="49"/>
      <c r="E66" s="49"/>
      <c r="F66" s="49"/>
      <c r="G66" s="49"/>
    </row>
    <row r="67" spans="1:7" ht="16.5" customHeight="1" x14ac:dyDescent="0.25">
      <c r="A67" s="49" t="s">
        <v>756</v>
      </c>
      <c r="B67" s="49"/>
      <c r="C67" s="49"/>
      <c r="D67" s="49"/>
      <c r="E67" s="49"/>
      <c r="F67" s="49"/>
      <c r="G67" s="49"/>
    </row>
    <row r="68" spans="1:7" ht="16.5" customHeight="1" x14ac:dyDescent="0.25">
      <c r="A68" s="49" t="s">
        <v>757</v>
      </c>
      <c r="B68" s="49"/>
      <c r="C68" s="49"/>
      <c r="D68" s="49"/>
      <c r="E68" s="49"/>
      <c r="F68" s="49"/>
      <c r="G68" s="49"/>
    </row>
    <row r="69" spans="1:7" ht="16.5" customHeight="1" x14ac:dyDescent="0.25">
      <c r="A69" s="49" t="s">
        <v>758</v>
      </c>
      <c r="B69" s="49"/>
      <c r="C69" s="49"/>
      <c r="D69" s="49"/>
      <c r="E69" s="49"/>
      <c r="F69" s="49"/>
      <c r="G69" s="49"/>
    </row>
    <row r="70" spans="1:7" ht="29.25" customHeight="1" x14ac:dyDescent="0.25">
      <c r="A70" s="49" t="s">
        <v>759</v>
      </c>
      <c r="B70" s="49"/>
      <c r="C70" s="49"/>
      <c r="D70" s="49"/>
      <c r="E70" s="49"/>
      <c r="F70" s="49"/>
      <c r="G70" s="49"/>
    </row>
    <row r="71" spans="1:7" ht="16.5" customHeight="1" x14ac:dyDescent="0.25">
      <c r="A71" s="49" t="s">
        <v>760</v>
      </c>
      <c r="B71" s="49"/>
      <c r="C71" s="49"/>
      <c r="D71" s="49"/>
      <c r="E71" s="49"/>
      <c r="F71" s="49"/>
      <c r="G71" s="49"/>
    </row>
    <row r="73" spans="1:7" ht="18" customHeight="1" x14ac:dyDescent="0.25">
      <c r="A73" s="52" t="s">
        <v>490</v>
      </c>
      <c r="B73" s="52"/>
      <c r="C73" s="52"/>
      <c r="D73" s="52"/>
      <c r="E73" s="52"/>
      <c r="F73" s="52"/>
      <c r="G73" s="52"/>
    </row>
    <row r="74" spans="1:7" x14ac:dyDescent="0.25">
      <c r="A74" s="7" t="s">
        <v>491</v>
      </c>
    </row>
    <row r="75" spans="1:7" ht="16.5" customHeight="1" x14ac:dyDescent="0.25">
      <c r="A75" s="3" t="s">
        <v>492</v>
      </c>
      <c r="B75" s="57" t="s">
        <v>493</v>
      </c>
      <c r="C75" s="57"/>
      <c r="D75" s="57"/>
      <c r="E75" s="57" t="s">
        <v>494</v>
      </c>
      <c r="F75" s="57"/>
      <c r="G75" s="57"/>
    </row>
    <row r="76" spans="1:7" ht="80.25" customHeight="1" x14ac:dyDescent="0.25">
      <c r="A76" s="2" t="s">
        <v>317</v>
      </c>
      <c r="B76" s="53" t="s">
        <v>318</v>
      </c>
      <c r="C76" s="53"/>
      <c r="D76" s="53"/>
      <c r="E76" s="53"/>
      <c r="F76" s="53"/>
      <c r="G76" s="53"/>
    </row>
    <row r="77" spans="1:7" ht="16.5" customHeight="1" x14ac:dyDescent="0.25">
      <c r="A77" s="2" t="s">
        <v>319</v>
      </c>
      <c r="B77" s="53" t="s">
        <v>151</v>
      </c>
      <c r="C77" s="53"/>
      <c r="D77" s="53"/>
      <c r="E77" s="53"/>
      <c r="F77" s="53"/>
      <c r="G77" s="53"/>
    </row>
    <row r="78" spans="1:7" ht="67.5" customHeight="1" x14ac:dyDescent="0.25">
      <c r="A78" s="2" t="s">
        <v>495</v>
      </c>
      <c r="B78" s="53" t="s">
        <v>321</v>
      </c>
      <c r="C78" s="53"/>
      <c r="D78" s="53"/>
      <c r="E78" s="53" t="s">
        <v>496</v>
      </c>
      <c r="F78" s="53"/>
      <c r="G78" s="53"/>
    </row>
    <row r="79" spans="1:7" ht="54.75" customHeight="1" x14ac:dyDescent="0.25">
      <c r="A79" s="2" t="s">
        <v>497</v>
      </c>
      <c r="B79" s="53" t="s">
        <v>324</v>
      </c>
      <c r="C79" s="53"/>
      <c r="D79" s="53"/>
      <c r="E79" s="53"/>
      <c r="F79" s="53"/>
      <c r="G79" s="53"/>
    </row>
    <row r="80" spans="1:7" ht="80.25" customHeight="1" x14ac:dyDescent="0.25">
      <c r="A80" s="2" t="s">
        <v>498</v>
      </c>
      <c r="B80" s="53" t="s">
        <v>499</v>
      </c>
      <c r="C80" s="53"/>
      <c r="D80" s="53"/>
      <c r="E80" s="53"/>
      <c r="F80" s="53"/>
      <c r="G80" s="53"/>
    </row>
    <row r="81" spans="1:7" ht="16.5" customHeight="1" x14ac:dyDescent="0.25">
      <c r="A81" s="2" t="s">
        <v>500</v>
      </c>
      <c r="B81" s="53" t="s">
        <v>501</v>
      </c>
      <c r="C81" s="53"/>
      <c r="D81" s="53"/>
      <c r="E81" s="53" t="s">
        <v>502</v>
      </c>
      <c r="F81" s="53"/>
      <c r="G81" s="53"/>
    </row>
    <row r="82" spans="1:7" ht="16.5" customHeight="1" x14ac:dyDescent="0.25">
      <c r="A82" s="2" t="s">
        <v>503</v>
      </c>
      <c r="B82" s="53" t="s">
        <v>504</v>
      </c>
      <c r="C82" s="53"/>
      <c r="D82" s="53"/>
      <c r="E82" s="53" t="s">
        <v>505</v>
      </c>
      <c r="F82" s="53"/>
      <c r="G82" s="53"/>
    </row>
    <row r="83" spans="1:7" ht="16.5" customHeight="1" x14ac:dyDescent="0.25">
      <c r="A83" s="2" t="s">
        <v>506</v>
      </c>
      <c r="B83" s="53" t="s">
        <v>507</v>
      </c>
      <c r="C83" s="53"/>
      <c r="D83" s="53"/>
      <c r="E83" s="53"/>
      <c r="F83" s="53"/>
      <c r="G83" s="53"/>
    </row>
    <row r="84" spans="1:7" ht="16.5" customHeight="1" x14ac:dyDescent="0.25">
      <c r="A84" s="2" t="s">
        <v>508</v>
      </c>
      <c r="B84" s="53" t="s">
        <v>509</v>
      </c>
      <c r="C84" s="53"/>
      <c r="D84" s="53"/>
      <c r="E84" s="53"/>
      <c r="F84" s="53"/>
      <c r="G84" s="53"/>
    </row>
    <row r="85" spans="1:7" ht="16.5" customHeight="1" x14ac:dyDescent="0.25">
      <c r="A85" s="2" t="s">
        <v>510</v>
      </c>
      <c r="B85" s="53" t="s">
        <v>342</v>
      </c>
      <c r="C85" s="53"/>
      <c r="D85" s="53"/>
      <c r="E85" s="53"/>
      <c r="F85" s="53"/>
      <c r="G85" s="53"/>
    </row>
    <row r="86" spans="1:7" ht="29.25" customHeight="1" x14ac:dyDescent="0.25">
      <c r="A86" s="2" t="s">
        <v>511</v>
      </c>
      <c r="B86" s="53" t="s">
        <v>512</v>
      </c>
      <c r="C86" s="53"/>
      <c r="D86" s="53"/>
      <c r="E86" s="53" t="s">
        <v>513</v>
      </c>
      <c r="F86" s="53"/>
      <c r="G86" s="53"/>
    </row>
    <row r="87" spans="1:7" ht="42" customHeight="1" x14ac:dyDescent="0.25">
      <c r="A87" s="2" t="s">
        <v>514</v>
      </c>
      <c r="B87" s="53" t="s">
        <v>372</v>
      </c>
      <c r="C87" s="53"/>
      <c r="D87" s="53"/>
      <c r="E87" s="53" t="s">
        <v>515</v>
      </c>
      <c r="F87" s="53"/>
      <c r="G87" s="53"/>
    </row>
    <row r="88" spans="1:7" ht="16.5" customHeight="1" x14ac:dyDescent="0.25">
      <c r="A88" s="2" t="s">
        <v>516</v>
      </c>
      <c r="B88" s="53" t="s">
        <v>393</v>
      </c>
      <c r="C88" s="53"/>
      <c r="D88" s="53"/>
      <c r="E88" s="53"/>
      <c r="F88" s="53"/>
      <c r="G88" s="53"/>
    </row>
    <row r="89" spans="1:7" ht="29.25" customHeight="1" x14ac:dyDescent="0.25">
      <c r="A89" s="2" t="s">
        <v>517</v>
      </c>
      <c r="B89" s="53" t="s">
        <v>518</v>
      </c>
      <c r="C89" s="53"/>
      <c r="D89" s="53"/>
      <c r="E89" s="53"/>
      <c r="F89" s="53"/>
      <c r="G89" s="53"/>
    </row>
  </sheetData>
  <mergeCells count="71">
    <mergeCell ref="A1:G1"/>
    <mergeCell ref="A2:G2"/>
    <mergeCell ref="B4:G4"/>
    <mergeCell ref="B5:G5"/>
    <mergeCell ref="B6:G6"/>
    <mergeCell ref="B7:G7"/>
    <mergeCell ref="B8:G8"/>
    <mergeCell ref="B9:G9"/>
    <mergeCell ref="B10:G10"/>
    <mergeCell ref="B11:G11"/>
    <mergeCell ref="B12:G12"/>
    <mergeCell ref="A14:G14"/>
    <mergeCell ref="A19:G19"/>
    <mergeCell ref="A39:G39"/>
    <mergeCell ref="A44:G44"/>
    <mergeCell ref="A45:G45"/>
    <mergeCell ref="A46:G46"/>
    <mergeCell ref="A47:G47"/>
    <mergeCell ref="A48:G48"/>
    <mergeCell ref="A49:G49"/>
    <mergeCell ref="A50:G50"/>
    <mergeCell ref="A51:G51"/>
    <mergeCell ref="A52:G52"/>
    <mergeCell ref="A54:G54"/>
    <mergeCell ref="A55:G55"/>
    <mergeCell ref="A56:G56"/>
    <mergeCell ref="A57:G57"/>
    <mergeCell ref="A58:G58"/>
    <mergeCell ref="A59:G59"/>
    <mergeCell ref="A60:G60"/>
    <mergeCell ref="A62:G62"/>
    <mergeCell ref="A63:G63"/>
    <mergeCell ref="A64:G64"/>
    <mergeCell ref="A65:G65"/>
    <mergeCell ref="A66:G66"/>
    <mergeCell ref="A67:G67"/>
    <mergeCell ref="A68:G68"/>
    <mergeCell ref="A69:G69"/>
    <mergeCell ref="A70:G70"/>
    <mergeCell ref="A71:G71"/>
    <mergeCell ref="A73:G73"/>
    <mergeCell ref="B75:D75"/>
    <mergeCell ref="E75:G75"/>
    <mergeCell ref="B76:D76"/>
    <mergeCell ref="E76:G76"/>
    <mergeCell ref="B77:D77"/>
    <mergeCell ref="E77:G77"/>
    <mergeCell ref="B78:D78"/>
    <mergeCell ref="E78:G78"/>
    <mergeCell ref="B79:D79"/>
    <mergeCell ref="E79:G79"/>
    <mergeCell ref="B80:D80"/>
    <mergeCell ref="E80:G80"/>
    <mergeCell ref="B81:D81"/>
    <mergeCell ref="E81:G81"/>
    <mergeCell ref="B82:D82"/>
    <mergeCell ref="E82:G82"/>
    <mergeCell ref="B83:D83"/>
    <mergeCell ref="E83:G83"/>
    <mergeCell ref="B84:D84"/>
    <mergeCell ref="E84:G84"/>
    <mergeCell ref="B85:D85"/>
    <mergeCell ref="E85:G85"/>
    <mergeCell ref="B89:D89"/>
    <mergeCell ref="E89:G89"/>
    <mergeCell ref="B86:D86"/>
    <mergeCell ref="E86:G86"/>
    <mergeCell ref="B87:D87"/>
    <mergeCell ref="E87:G87"/>
    <mergeCell ref="B88:D88"/>
    <mergeCell ref="E88:G88"/>
  </mergeCells>
  <pageMargins left="0.4" right="0.4" top="0.75" bottom="0.75" header="0.3" footer="0.3"/>
  <pageSetup fitToHeight="0" orientation="landscape" horizontalDpi="300" verticalDpi="300"/>
  <headerFooter>
    <oddHeader>&amp;CPractice Case A – Instructor Key – CONFIDENTIAL</oddHeader>
    <oddFooter>&amp;L&amp;A&amp;RPage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Investigation Guide</vt:lpstr>
      <vt:lpstr>Party &amp; Accounts Details</vt:lpstr>
      <vt:lpstr>Accounts</vt:lpstr>
      <vt:lpstr>Event Details</vt:lpstr>
      <vt:lpstr>Transactions</vt:lpstr>
      <vt:lpstr>Support_Docs</vt:lpstr>
      <vt:lpstr>Open_Source_Research</vt:lpstr>
      <vt:lpstr>Disposition &amp; Narrative</vt:lpstr>
      <vt:lpstr>SAR Structured Form</vt:lpstr>
      <vt:lpstr>Case Study Questions</vt:lpstr>
      <vt:lpstr>Instructor – Answer Key</vt:lpstr>
      <vt:lpstr>Instructor – Fact Checklist</vt:lpstr>
      <vt:lpstr>Instructor – Data Traps</vt:lpstr>
      <vt:lpstr>Instructor – Group Legend</vt:lpstr>
      <vt:lpstr>Instructor – Case Summary</vt:lpstr>
      <vt:lpstr>Accounts!Print_Titles</vt:lpstr>
      <vt:lpstr>'Case Study Questions'!Print_Titles</vt:lpstr>
      <vt:lpstr>'Event Details'!Print_Titles</vt:lpstr>
      <vt:lpstr>'Instructor – Answer Key'!Print_Titles</vt:lpstr>
      <vt:lpstr>'Instructor – Data Traps'!Print_Titles</vt:lpstr>
      <vt:lpstr>'Instructor – Fact Checklist'!Print_Titles</vt:lpstr>
      <vt:lpstr>'Instructor – Group Legend'!Print_Titles</vt:lpstr>
      <vt:lpstr>'SAR Structured Form'!Print_Titles</vt:lpstr>
      <vt:lpstr>Transactions!Print_Titles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Practice Case A</dc:title>
  <dc:subject>AML investigation practice case</dc:subject>
  <dc:creator>Training Team</dc:creator>
  <dc:description/>
  <cp:lastModifiedBy>Divyavani Gali</cp:lastModifiedBy>
  <cp:revision>0</cp:revision>
  <dcterms:created xsi:type="dcterms:W3CDTF">2026-10-07T21:42:53Z</dcterms:created>
  <dcterms:modified xsi:type="dcterms:W3CDTF">2026-10-09T07:30:33Z</dcterms:modified>
  <cp:category>Training</cp:category>
  <dc:language>en-US</dc:language>
</cp:coreProperties>
</file>