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vestigation Guide" sheetId="1" state="visible" r:id="rId3"/>
    <sheet name="Party &amp; Accounts Details" sheetId="2" state="visible" r:id="rId4"/>
    <sheet name="Accounts" sheetId="3" state="visible" r:id="rId5"/>
    <sheet name="Event Details" sheetId="4" state="visible" r:id="rId6"/>
    <sheet name="Transactions" sheetId="5" state="visible" r:id="rId7"/>
    <sheet name="Support_Docs" sheetId="6" state="visible" r:id="rId8"/>
    <sheet name="Open_Source_Research" sheetId="7" state="visible" r:id="rId9"/>
    <sheet name="Disposition &amp; Narrative" sheetId="8" state="visible" r:id="rId10"/>
    <sheet name="SAR Structured Form" sheetId="9" state="visible" r:id="rId11"/>
    <sheet name="Case Study Questions" sheetId="10" state="visible" r:id="rId12"/>
  </sheets>
  <definedNames>
    <definedName function="false" hidden="false" localSheetId="2" name="_xlnm.Print_Titles" vbProcedure="false">Accounts!$3:$3</definedName>
    <definedName function="false" hidden="false" localSheetId="9" name="_xlnm.Print_Titles" vbProcedure="false">'Case Study Questions'!$4:$4</definedName>
    <definedName function="false" hidden="false" localSheetId="3" name="_xlnm.Print_Titles" vbProcedure="false">'Event Details'!$3:$3</definedName>
    <definedName function="false" hidden="true" localSheetId="3" name="_xlnm._FilterDatabase" vbProcedure="false">'Event Details'!$A$3:$F$13</definedName>
    <definedName function="false" hidden="false" localSheetId="8" name="_xlnm.Print_Titles" vbProcedure="false">'SAR Structured Form'!$1:$1</definedName>
    <definedName function="false" hidden="false" localSheetId="4" name="_xlnm.Print_Titles" vbProcedure="false">Transactions!$A:$B,Transactions!$1:$1</definedName>
    <definedName function="false" hidden="true" localSheetId="4" name="_xlnm._FilterDatabase" vbProcedure="false">Transactions!$A$1:$AB$111</definedName>
    <definedName function="false" hidden="true" name="SAR_32_a" vbProcedure="false">'SAR Structured Form'!$A$30</definedName>
    <definedName function="false" hidden="true" name="SAR_32_b" vbProcedure="false">'SAR Structured Form'!$A$31</definedName>
    <definedName function="false" hidden="true" name="SAR_32_c" vbProcedure="false">'SAR Structured Form'!$A$32</definedName>
    <definedName function="false" hidden="true" name="SAR_32_d" vbProcedure="false">'SAR Structured Form'!$A$33</definedName>
    <definedName function="false" hidden="true" name="SAR_32_e" vbProcedure="false">'SAR Structured Form'!$C$30</definedName>
    <definedName function="false" hidden="true" name="SAR_32_f" vbProcedure="false">'SAR Structured Form'!$C$31</definedName>
    <definedName function="false" hidden="true" name="SAR_32_z" vbProcedure="false">'SAR Structured Form'!$C$32</definedName>
    <definedName function="false" hidden="true" name="SAR_36_a" vbProcedure="false">'SAR Structured Form'!$A$36</definedName>
    <definedName function="false" hidden="true" name="SAR_36_b" vbProcedure="false">'SAR Structured Form'!$A$37</definedName>
    <definedName function="false" hidden="true" name="SAR_36_c" vbProcedure="false">'SAR Structured Form'!$A$38</definedName>
    <definedName function="false" hidden="true" name="SAR_36_d" vbProcedure="false">'SAR Structured Form'!$A$39</definedName>
    <definedName function="false" hidden="true" name="SAR_36_e" vbProcedure="false">'SAR Structured Form'!$A$40</definedName>
    <definedName function="false" hidden="true" name="SAR_36_f" vbProcedure="false">'SAR Structured Form'!$A$41</definedName>
    <definedName function="false" hidden="true" name="SAR_36_g" vbProcedure="false">'SAR Structured Form'!$A$42</definedName>
    <definedName function="false" hidden="true" name="SAR_36_h" vbProcedure="false">'SAR Structured Form'!$C$36</definedName>
    <definedName function="false" hidden="true" name="SAR_36_i" vbProcedure="false">'SAR Structured Form'!$C$37</definedName>
    <definedName function="false" hidden="true" name="SAR_36_j" vbProcedure="false">'SAR Structured Form'!$C$38</definedName>
    <definedName function="false" hidden="true" name="SAR_36_k" vbProcedure="false">'SAR Structured Form'!$C$39</definedName>
    <definedName function="false" hidden="true" name="SAR_36_l" vbProcedure="false">'SAR Structured Form'!$C$40</definedName>
    <definedName function="false" hidden="true" name="SAR_36_m" vbProcedure="false">'SAR Structured Form'!$C$41</definedName>
    <definedName function="false" hidden="true" name="SAR_36_z" vbProcedure="false">'SAR Structured Form'!$C$42</definedName>
    <definedName function="false" hidden="true" name="SAR_38_a" vbProcedure="false">'SAR Structured Form'!$A$45</definedName>
    <definedName function="false" hidden="true" name="SAR_38_b" vbProcedure="false">'SAR Structured Form'!$A$46</definedName>
    <definedName function="false" hidden="true" name="SAR_38_c" vbProcedure="false">'SAR Structured Form'!$A$47</definedName>
    <definedName function="false" hidden="true" name="SAR_38_d" vbProcedure="false">'SAR Structured Form'!$A$48</definedName>
    <definedName function="false" hidden="true" name="SAR_38_e" vbProcedure="false">'SAR Structured Form'!$A$49</definedName>
    <definedName function="false" hidden="true" name="SAR_38_f" vbProcedure="false">'SAR Structured Form'!$A$50</definedName>
    <definedName function="false" hidden="true" name="SAR_38_g" vbProcedure="false">'SAR Structured Form'!$A$51</definedName>
    <definedName function="false" hidden="true" name="SAR_38_h" vbProcedure="false">'SAR Structured Form'!$A$52</definedName>
    <definedName function="false" hidden="true" name="SAR_38_i" vbProcedure="false">'SAR Structured Form'!$A$53</definedName>
    <definedName function="false" hidden="true" name="SAR_38_j" vbProcedure="false">'SAR Structured Form'!$A$54</definedName>
    <definedName function="false" hidden="true" name="SAR_38_k" vbProcedure="false">'SAR Structured Form'!$C$45</definedName>
    <definedName function="false" hidden="true" name="SAR_38_l" vbProcedure="false">'SAR Structured Form'!$C$46</definedName>
    <definedName function="false" hidden="true" name="SAR_38_m" vbProcedure="false">'SAR Structured Form'!$C$47</definedName>
    <definedName function="false" hidden="true" name="SAR_38_n" vbProcedure="false">'SAR Structured Form'!$C$48</definedName>
    <definedName function="false" hidden="true" name="SAR_38_o" vbProcedure="false">'SAR Structured Form'!$C$49</definedName>
    <definedName function="false" hidden="true" name="SAR_38_p" vbProcedure="false">'SAR Structured Form'!$C$50</definedName>
    <definedName function="false" hidden="true" name="SAR_38_q" vbProcedure="false">'SAR Structured Form'!$C$51</definedName>
    <definedName function="false" hidden="true" name="SAR_38_r" vbProcedure="false">'SAR Structured Form'!$C$52</definedName>
    <definedName function="false" hidden="true" name="SAR_38_s" vbProcedure="false">'SAR Structured Form'!$C$53</definedName>
    <definedName function="false" hidden="true" name="SAR_38_z" vbProcedure="false">'SAR Structured Form'!$C$54</definedName>
    <definedName function="false" hidden="true" name="SAR_45_a" vbProcedure="false">'SAR Structured Form'!$A$57</definedName>
    <definedName function="false" hidden="true" name="SAR_45_b" vbProcedure="false">'SAR Structured Form'!$A$58</definedName>
    <definedName function="false" hidden="true" name="SAR_45_c" vbProcedure="false">'SAR Structured Form'!$A$59</definedName>
    <definedName function="false" hidden="true" name="SAR_45_d" vbProcedure="false">'SAR Structured Form'!$A$60</definedName>
    <definedName function="false" hidden="true" name="SAR_45_e" vbProcedure="false">'SAR Structured Form'!$A$61</definedName>
    <definedName function="false" hidden="true" name="SAR_45_f" vbProcedure="false">'SAR Structured Form'!$A$62</definedName>
    <definedName function="false" hidden="true" name="SAR_45_g" vbProcedure="false">'SAR Structured Form'!$A$63</definedName>
    <definedName function="false" hidden="true" name="SAR_45_h" vbProcedure="false">'SAR Structured Form'!$A$64</definedName>
    <definedName function="false" hidden="true" name="SAR_45_i" vbProcedure="false">'SAR Structured Form'!$A$65</definedName>
    <definedName function="false" hidden="true" name="SAR_45_j" vbProcedure="false">'SAR Structured Form'!$A$66</definedName>
    <definedName function="false" hidden="true" name="SAR_45_k" vbProcedure="false">'SAR Structured Form'!$A$67</definedName>
    <definedName function="false" hidden="true" name="SAR_45_l" vbProcedure="false">'SAR Structured Form'!$C$57</definedName>
    <definedName function="false" hidden="true" name="SAR_45_m" vbProcedure="false">'SAR Structured Form'!$C$58</definedName>
    <definedName function="false" hidden="true" name="SAR_45_n" vbProcedure="false">'SAR Structured Form'!$C$59</definedName>
    <definedName function="false" hidden="true" name="SAR_45_o" vbProcedure="false">'SAR Structured Form'!$C$60</definedName>
    <definedName function="false" hidden="true" name="SAR_45_p" vbProcedure="false">'SAR Structured Form'!$C$61</definedName>
    <definedName function="false" hidden="true" name="SAR_45_q" vbProcedure="false">'SAR Structured Form'!$C$62</definedName>
    <definedName function="false" hidden="true" name="SAR_45_r" vbProcedure="false">'SAR Structured Form'!$C$63</definedName>
    <definedName function="false" hidden="true" name="SAR_45_s" vbProcedure="false">'SAR Structured Form'!$C$64</definedName>
    <definedName function="false" hidden="true" name="SAR_45_t" vbProcedure="false">'SAR Structured Form'!$C$65</definedName>
    <definedName function="false" hidden="true" name="SAR_45_z" vbProcedure="false">'SAR Structured Form'!$C$66</definedName>
    <definedName function="false" hidden="true" name="SAR_46_a" vbProcedure="false">'SAR Structured Form'!$A$70</definedName>
    <definedName function="false" hidden="true" name="SAR_46_b" vbProcedure="false">'SAR Structured Form'!$A$71</definedName>
    <definedName function="false" hidden="true" name="SAR_46_c" vbProcedure="false">'SAR Structured Form'!$A$72</definedName>
    <definedName function="false" hidden="true" name="SAR_46_d" vbProcedure="false">'SAR Structured Form'!$A$73</definedName>
    <definedName function="false" hidden="true" name="SAR_46_e" vbProcedure="false">'SAR Structured Form'!$A$74</definedName>
    <definedName function="false" hidden="true" name="SAR_46_f" vbProcedure="false">'SAR Structured Form'!$C$70</definedName>
    <definedName function="false" hidden="true" name="SAR_46_g" vbProcedure="false">'SAR Structured Form'!$C$71</definedName>
    <definedName function="false" hidden="true" name="SAR_46_h" vbProcedure="false">'SAR Structured Form'!$C$72</definedName>
    <definedName function="false" hidden="true" name="SAR_46_i" vbProcedure="false">'SAR Structured Form'!$C$73</definedName>
    <definedName function="false" hidden="true" name="SAR_46_z" vbProcedure="false">'SAR Structured Form'!$C$74</definedName>
    <definedName function="false" hidden="true" name="SAR_ACCOUNTS" vbProcedure="false">'SAR Structured Form'!$D$10</definedName>
    <definedName function="false" hidden="true" name="SAR_BRANCH_HEADER" vbProcedure="false">'SAR Structured Form'!$B$13</definedName>
    <definedName function="false" hidden="true" name="SAR_EVENTS" vbProcedure="false">'SAR Structured Form'!$D$7</definedName>
    <definedName function="false" hidden="true" name="SAR_F29" vbProcedure="false">'SAR Structured Form'!$D$24</definedName>
    <definedName function="false" hidden="true" name="SAR_F30_FROM" vbProcedure="false">'SAR Structured Form'!$D$25</definedName>
    <definedName function="false" hidden="true" name="SAR_F30_TO" vbProcedure="false">'SAR Structured Form'!$D$26</definedName>
    <definedName function="false" hidden="true" name="SAR_F31" vbProcedure="false">'SAR Structured Form'!$D$27</definedName>
    <definedName function="false" hidden="true" name="SAR_RFI" vbProcedure="false">'SAR Structured Form'!$D$8</definedName>
    <definedName function="false" hidden="true" name="SAR_SUSPECTS" vbProcedure="false">'SAR Structured Form'!$D$9</definedName>
    <definedName function="false" hidden="false" localSheetId="4" name="_xlnm.Print_Titles" vbProcedure="false">Transactions!$1:$1,Transactions!$A:$B</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Opening balance for account 5523018846120: $21,486.37 (from the case file). Each later row adds that row's credit and subtracts its debit.</t>
        </r>
      </text>
    </comment>
    <comment ref="D87" authorId="0">
      <text>
        <r>
          <rPr>
            <sz val="10"/>
            <rFont val="Arial"/>
            <family val="2"/>
          </rPr>
          <t xml:space="preserve">Opening balance for account 5523018851447: $6,214.58 (from the case file). Each later row adds that row's credit and subtracts its debit.</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29" authorId="0">
      <text>
        <r>
          <rPr>
            <sz val="10"/>
            <rFont val="Arial"/>
            <family val="2"/>
          </rPr>
          <t xml:space="preserve">Item 32 - Structuring: mark only when the evidence shows transactions were split, altered or cancelled to stay under a reporting or recordkeeping threshold. Mark every letter that applies.</t>
        </r>
      </text>
    </comment>
    <comment ref="A35" authorId="0">
      <text>
        <r>
          <rPr>
            <sz val="10"/>
            <rFont val="Arial"/>
            <family val="2"/>
          </rPr>
          <t xml:space="preserve">Item 36 - Money laundering: mark each characteristic the activity actually shows (for example an unexplained source of funds, suspicious wires, or activity out of pattern for the customer).</t>
        </r>
      </text>
    </comment>
    <comment ref="A44" authorId="0">
      <text>
        <r>
          <rPr>
            <sz val="10"/>
            <rFont val="Arial"/>
            <family val="2"/>
          </rPr>
          <t xml:space="preserve">Item 38 - Other suspicious activities: types not covered above. Choose only what the facts in your narrative support.</t>
        </r>
      </text>
    </comment>
    <comment ref="A56" authorId="0">
      <text>
        <r>
          <rPr>
            <sz val="10"/>
            <rFont val="Arial"/>
            <family val="2"/>
          </rPr>
          <t xml:space="preserve">Item 45 - Product type: the bank product(s) the money moved through. A checking or savings account is a Deposit account.</t>
        </r>
      </text>
    </comment>
    <comment ref="A69" authorId="0">
      <text>
        <r>
          <rPr>
            <sz val="10"/>
            <rFont val="Arial"/>
            <family val="2"/>
          </rPr>
          <t xml:space="preserve">Item 46 - Instrument / payment mechanism: how the money moved - cash (U.S. Currency), wires (Funds transfer), checks, money orders and so on. Mark every instrument that carried the suspicious funds.</t>
        </r>
      </text>
    </comment>
    <comment ref="B24" authorId="0">
      <text>
        <r>
          <rPr>
            <sz val="10"/>
            <rFont val="Arial"/>
            <family val="2"/>
          </rPr>
          <t xml:space="preserve">Field 29 – Amount involved: total of the suspicious transactions you are reporting, both the suspicious deposits and the suspicious withdrawals or wires. Exclude transfers between the subject's own accounts, returned or reversed items, fees, and anything you concluded is legitimate. Whole dollars, rounded UP.</t>
        </r>
      </text>
    </comment>
    <comment ref="B27" authorId="0">
      <text>
        <r>
          <rPr>
            <sz val="10"/>
            <rFont val="Arial"/>
            <family val="2"/>
          </rPr>
          <t xml:space="preserve">Field 31 - Cumulative amount: only for a continuing-activity report. It is the running total of this report plus the earlier related reports. Leave blank on an initial report.</t>
        </r>
      </text>
    </comment>
  </commentList>
</comments>
</file>

<file path=xl/sharedStrings.xml><?xml version="1.0" encoding="utf-8"?>
<sst xmlns="http://schemas.openxmlformats.org/spreadsheetml/2006/main" count="1924" uniqueCount="438">
  <si>
    <t xml:space="preserve">Practice Case A – Investigation Guide</t>
  </si>
  <si>
    <t xml:space="preserve">Work through the tabs in the order listed below, base every conclusion on the evidence in this workbook, and record your work where each step tells you to.</t>
  </si>
  <si>
    <t xml:space="preserve">INVESTIGATION OBJECTIVE</t>
  </si>
  <si>
    <t xml:space="preserve">Review the alerted activity and decide whether it is consistent with what the bank knows about the customer (the KYC profile). Trace the source and the use of the funds - where the money came from and where it went - and quantify what you find. Document a clear, well-supported disposition in 'Disposition &amp; Narrative'. Complete the 'SAR Structured Form' only if your disposition is to file a SAR; if you decide not to file, leave that tab blank.</t>
  </si>
  <si>
    <t xml:space="preserve">STEP</t>
  </si>
  <si>
    <t xml:space="preserve">TAB</t>
  </si>
  <si>
    <t xml:space="preserve">REVIEW FOCUS</t>
  </si>
  <si>
    <t xml:space="preserve">ACTION / EXPECTED OUTPUT</t>
  </si>
  <si>
    <t xml:space="preserve">NOTE</t>
  </si>
  <si>
    <t xml:space="preserve">Party &amp; Accounts Details</t>
  </si>
  <si>
    <t xml:space="preserve">Who the customer is: identity, occupation or business type, expected activity, stated source of funds, the accounts held and any related cases.</t>
  </si>
  <si>
    <t xml:space="preserve">Summarise the KYC profile. Note the expected activity you will measure the alerted activity against.</t>
  </si>
  <si>
    <t xml:space="preserve">Accounts</t>
  </si>
  <si>
    <t xml:space="preserve">Each account's type, number, owner(s), status, dates and how many alerted events it carries.</t>
  </si>
  <si>
    <t xml:space="preserve">Confirm which accounts are in scope and record the account numbers exactly as shown.</t>
  </si>
  <si>
    <t xml:space="preserve">Event Details</t>
  </si>
  <si>
    <t xml:space="preserve">The alerted events: monitoring rule, date, account, amount and direction (debits are shown as negative amounts).</t>
  </si>
  <si>
    <t xml:space="preserve">List the alerts and find each one on the 'Transactions' tab before you form a view.</t>
  </si>
  <si>
    <t xml:space="preserve">Transactions</t>
  </si>
  <si>
    <t xml:space="preserve">All activity on all accounts for the review period: inflows, outflows, counterparties, locations, timing and running balances.</t>
  </si>
  <si>
    <t xml:space="preserve">Filter and sort to trace where the money came from and where it went. Use the Group column to tag related rows, and quantify the total of every pattern you rely on.</t>
  </si>
  <si>
    <t xml:space="preserve">Use the filters on row 1</t>
  </si>
  <si>
    <t xml:space="preserve">Support_Docs</t>
  </si>
  <si>
    <t xml:space="preserve">Supporting documents.</t>
  </si>
  <si>
    <t xml:space="preserve">No action needed for this practice case.</t>
  </si>
  <si>
    <t xml:space="preserve">Not Required for this case study</t>
  </si>
  <si>
    <t xml:space="preserve">Open_Source_Research</t>
  </si>
  <si>
    <t xml:space="preserve">Open-source (internet / media) research.</t>
  </si>
  <si>
    <t xml:space="preserve">Disposition &amp; Narrative</t>
  </si>
  <si>
    <t xml:space="preserve">Your written conclusion.</t>
  </si>
  <si>
    <t xml:space="preserve">Enter your complete narrative in cell A1 of 'Disposition &amp; Narrative' only. Cover who, what, when, where, why the activity is or is not suspicious, the key amounts, accounts and counterparties, the flow of funds, and your final disposition (SAR / No SAR).</t>
  </si>
  <si>
    <t xml:space="preserve">Cell A1 only</t>
  </si>
  <si>
    <t xml:space="preserve">SAR Structured Form</t>
  </si>
  <si>
    <t xml:space="preserve">FinCEN-style SAR data fields.</t>
  </si>
  <si>
    <t xml:space="preserve">If you file, record the filing details here. Mark options by choosing X in the shaded box to the left of each option; type text answers in the shaded boxes.</t>
  </si>
  <si>
    <t xml:space="preserve">Complete only if your disposition is to file a SAR</t>
  </si>
  <si>
    <t xml:space="preserve">Case Study Questions</t>
  </si>
  <si>
    <t xml:space="preserve">Questions that test how well your findings reconcile to the evidence.</t>
  </si>
  <si>
    <t xml:space="preserve">Select one answer per question by entering X in column A.</t>
  </si>
  <si>
    <t xml:space="preserve">Complete after steps 7–8</t>
  </si>
  <si>
    <t xml:space="preserve">FINAL QUALITY CHECK</t>
  </si>
  <si>
    <t xml:space="preserve">Before you submit: (1) reconcile every alerted event on 'Event Details' to its matching row on 'Transactions'; (2) confirm you have considered all relevant inflows and outflows - not only the alerted items - and that every total you quote adds up; (3) make sure your narrative is in cell A1 of 'Disposition &amp; Narrative' and nowhere else; (4) complete the 'SAR Structured Form' only if your disposition supports filing, otherwise leave it blank.</t>
  </si>
  <si>
    <t xml:space="preserve">Customer Name</t>
  </si>
  <si>
    <t xml:space="preserve">Northgate Mobile Repair LLC</t>
  </si>
  <si>
    <t xml:space="preserve">CUSTOMER INFORMATION</t>
  </si>
  <si>
    <t xml:space="preserve">BANK RELATIONSHIP INFORMATION</t>
  </si>
  <si>
    <t xml:space="preserve">Title / Address</t>
  </si>
  <si>
    <t xml:space="preserve">4127 Kessler Commons Blvd, Suite C</t>
  </si>
  <si>
    <t xml:space="preserve">Customer Since</t>
  </si>
  <si>
    <t xml:space="preserve">Columbus, OH 43229</t>
  </si>
  <si>
    <t xml:space="preserve">Party ID</t>
  </si>
  <si>
    <t xml:space="preserve">United States</t>
  </si>
  <si>
    <t xml:space="preserve">TIN/SSN</t>
  </si>
  <si>
    <t xml:space="preserve">XX-XXX7316</t>
  </si>
  <si>
    <t xml:space="preserve">CONTACT INFORMATION</t>
  </si>
  <si>
    <t xml:space="preserve">Date Established</t>
  </si>
  <si>
    <t xml:space="preserve">Phone</t>
  </si>
  <si>
    <t xml:space="preserve">(614) 555-0147</t>
  </si>
  <si>
    <t xml:space="preserve">Business Type / NAICS Description</t>
  </si>
  <si>
    <t xml:space="preserve">Cell-phone repair and accessories retail (NAICS 811210 - Electronic and Precision Equipment Repair and Maintenance)</t>
  </si>
  <si>
    <t xml:space="preserve">E-mail</t>
  </si>
  <si>
    <t xml:space="preserve">northgate.repair@example.com</t>
  </si>
  <si>
    <t xml:space="preserve">Owner / Authorized Signer</t>
  </si>
  <si>
    <t xml:space="preserve">Desmond J. Bennett - Managing Member, 100% owner, authorized signer</t>
  </si>
  <si>
    <t xml:space="preserve">Doing Business As</t>
  </si>
  <si>
    <t xml:space="preserve">Northgate Phone Fix</t>
  </si>
  <si>
    <t xml:space="preserve">Owner Residential Address</t>
  </si>
  <si>
    <t xml:space="preserve">7720 Saddle Creek Ct, Dublin, OH 43017</t>
  </si>
  <si>
    <t xml:space="preserve">Related Personal Account</t>
  </si>
  <si>
    <t xml:space="preserve">Personal checking 5523018851447 - Desmond J. Bennett, customer since 2017-08-10</t>
  </si>
  <si>
    <t xml:space="preserve">Authorized Depositors (on file)</t>
  </si>
  <si>
    <t xml:space="preserve">Desmond J. Bennett (owner); Luis A. Ortega (store manager)</t>
  </si>
  <si>
    <t xml:space="preserve">Expected Monthly Activity (2025 KYC refresh)</t>
  </si>
  <si>
    <t xml:space="preserve">Card settlements $20,000-$28,000; cash deposits $2,000-$4,000 (night depository); ACH payroll, rent and parts-supplier payments; no international wire activity expected</t>
  </si>
  <si>
    <t xml:space="preserve">Source of Funds (onboarding)</t>
  </si>
  <si>
    <t xml:space="preserve">Retail cell-phone repair services and accessory sales, paid by card and cash</t>
  </si>
  <si>
    <t xml:space="preserve">Primary Supplier (onboarding)</t>
  </si>
  <si>
    <t xml:space="preserve">MobileSource Parts Distribution Inc. - domestic parts distributor, paid by ACH</t>
  </si>
  <si>
    <t xml:space="preserve">Annual Sales (2025 KYC refresh)</t>
  </si>
  <si>
    <t xml:space="preserve">$310,000</t>
  </si>
  <si>
    <t xml:space="preserve">RM Contact Note (2026-08-20)</t>
  </si>
  <si>
    <t xml:space="preserve">During a routine KYC refresh call, the owner attributed higher cash deposits to increased accessory sales and said 'some customers prefer to pay cash'. He described Golden Kestrel General Trading FZE as an 'inventory supplier' and Stonebridge Crest Holdings LLC as 'my holding company'. No sales records, invoices or agreements were provided as of case open.</t>
  </si>
  <si>
    <t xml:space="preserve">ACCOUNTS</t>
  </si>
  <si>
    <t xml:space="preserve">Type</t>
  </si>
  <si>
    <t xml:space="preserve">Status</t>
  </si>
  <si>
    <t xml:space="preserve">Open Date</t>
  </si>
  <si>
    <t xml:space="preserve">Close Date</t>
  </si>
  <si>
    <t xml:space="preserve">DDA – 5523018846120</t>
  </si>
  <si>
    <t xml:space="preserve">Business</t>
  </si>
  <si>
    <t xml:space="preserve">Open</t>
  </si>
  <si>
    <t xml:space="preserve">DDA – 5523018851447</t>
  </si>
  <si>
    <t xml:space="preserve">Personal</t>
  </si>
  <si>
    <t xml:space="preserve">Related Cases</t>
  </si>
  <si>
    <t xml:space="preserve">None</t>
  </si>
  <si>
    <t xml:space="preserve">Account</t>
  </si>
  <si>
    <t xml:space="preserve">Account Type</t>
  </si>
  <si>
    <t xml:space="preserve">Account Number</t>
  </si>
  <si>
    <t xml:space="preserve">Account Owners</t>
  </si>
  <si>
    <t xml:space="preserve"># of Alerted Events</t>
  </si>
  <si>
    <t xml:space="preserve">Closed Date</t>
  </si>
  <si>
    <t xml:space="preserve">DDA</t>
  </si>
  <si>
    <t xml:space="preserve">5523018846120</t>
  </si>
  <si>
    <t xml:space="preserve">Northgate Mobile Repair LLC (authorized signer: Desmond J. Bennett)</t>
  </si>
  <si>
    <t xml:space="preserve">5523018851447</t>
  </si>
  <si>
    <t xml:space="preserve">Desmond J. Bennett</t>
  </si>
  <si>
    <t xml:space="preserve">Case Open Date</t>
  </si>
  <si>
    <t xml:space="preserve">Review Period</t>
  </si>
  <si>
    <t xml:space="preserve">05/01/2026 – 08/31/2026</t>
  </si>
  <si>
    <t xml:space="preserve">Event</t>
  </si>
  <si>
    <t xml:space="preserve">Date</t>
  </si>
  <si>
    <t xml:space="preserve">Amount</t>
  </si>
  <si>
    <t xml:space="preserve">C/D</t>
  </si>
  <si>
    <t xml:space="preserve">Structuring - Cash</t>
  </si>
  <si>
    <t xml:space="preserve">C</t>
  </si>
  <si>
    <t xml:space="preserve">Cash</t>
  </si>
  <si>
    <t xml:space="preserve">Multi-Location Cash</t>
  </si>
  <si>
    <t xml:space="preserve">International Wire - Cash Velocity</t>
  </si>
  <si>
    <t xml:space="preserve">D</t>
  </si>
  <si>
    <t xml:space="preserve">Wire</t>
  </si>
  <si>
    <t xml:space="preserve">Cash Spike vs. Profile</t>
  </si>
  <si>
    <t xml:space="preserve">High Value Wire - Foreign</t>
  </si>
  <si>
    <t xml:space="preserve">Structuring - Cash (Multi-Account)</t>
  </si>
  <si>
    <t xml:space="preserve">Rapid Movement of Funds - Wire</t>
  </si>
  <si>
    <t xml:space="preserve">Name</t>
  </si>
  <si>
    <t xml:space="preserve">P/B</t>
  </si>
  <si>
    <t xml:space="preserve">Daily Balance</t>
  </si>
  <si>
    <t xml:space="preserve">Credit</t>
  </si>
  <si>
    <t xml:space="preserve">Debit</t>
  </si>
  <si>
    <t xml:space="preserve">Group</t>
  </si>
  <si>
    <t xml:space="preserve">Description</t>
  </si>
  <si>
    <t xml:space="preserve">Debit Card No.</t>
  </si>
  <si>
    <t xml:space="preserve">Check No</t>
  </si>
  <si>
    <t xml:space="preserve">City</t>
  </si>
  <si>
    <t xml:space="preserve">State</t>
  </si>
  <si>
    <t xml:space="preserve">Zip</t>
  </si>
  <si>
    <t xml:space="preserve">Branch Ref</t>
  </si>
  <si>
    <t xml:space="preserve">Teller Ref</t>
  </si>
  <si>
    <t xml:space="preserve">Terminal ID</t>
  </si>
  <si>
    <t xml:space="preserve">Local Time</t>
  </si>
  <si>
    <t xml:space="preserve">Post Date</t>
  </si>
  <si>
    <t xml:space="preserve">Sender Name</t>
  </si>
  <si>
    <t xml:space="preserve">Sender Bank</t>
  </si>
  <si>
    <t xml:space="preserve">Sender Account Number</t>
  </si>
  <si>
    <t xml:space="preserve">Recipient Name</t>
  </si>
  <si>
    <t xml:space="preserve">Recipient Bank</t>
  </si>
  <si>
    <t xml:space="preserve">Recipient Account</t>
  </si>
  <si>
    <t xml:space="preserve">Transaction Note</t>
  </si>
  <si>
    <t xml:space="preserve">B</t>
  </si>
  <si>
    <t xml:space="preserve">ACH</t>
  </si>
  <si>
    <t xml:space="preserve">Untagged</t>
  </si>
  <si>
    <t xml:space="preserve">ACH debit - Kessler Commons Properties LLC - RENT 05/2026</t>
  </si>
  <si>
    <t xml:space="preserve">Harborview National Bank, N.A.</t>
  </si>
  <si>
    <t xml:space="preserve">Kessler Commons Properties LLC</t>
  </si>
  <si>
    <t xml:space="preserve">Tidewell Commerce Trust</t>
  </si>
  <si>
    <t xml:space="preserve">6620193377</t>
  </si>
  <si>
    <t xml:space="preserve">Card Settlement</t>
  </si>
  <si>
    <t xml:space="preserve">Merchant card settlement - Cardline Merchant Services - batch 0504</t>
  </si>
  <si>
    <t xml:space="preserve">Cardline Merchant Services</t>
  </si>
  <si>
    <t xml:space="preserve">8800412290</t>
  </si>
  <si>
    <t xml:space="preserve">Teller cash deposit</t>
  </si>
  <si>
    <t xml:space="preserve">Columbus</t>
  </si>
  <si>
    <t xml:space="preserve">OH</t>
  </si>
  <si>
    <t xml:space="preserve">43229</t>
  </si>
  <si>
    <t xml:space="preserve">HNB-B12 Northland</t>
  </si>
  <si>
    <t xml:space="preserve">T-OH-127</t>
  </si>
  <si>
    <t xml:space="preserve">Cash in over $10,000 - CTR filed; conductor Desmond J. Bennett (owner), ID verified</t>
  </si>
  <si>
    <t xml:space="preserve">Night depository cash deposit - store receipts</t>
  </si>
  <si>
    <t xml:space="preserve">T-OH-NDP</t>
  </si>
  <si>
    <t xml:space="preserve">Night drop bag prepared by Luis A. Ortega (store manager)</t>
  </si>
  <si>
    <t xml:space="preserve">ACH debit - PayBridge Payroll Services - PAYROLL</t>
  </si>
  <si>
    <t xml:space="preserve">PayBridge Payroll Services</t>
  </si>
  <si>
    <t xml:space="preserve">4471100825</t>
  </si>
  <si>
    <t xml:space="preserve">Merchant card settlement - Cardline Merchant Services - batch 0511</t>
  </si>
  <si>
    <t xml:space="preserve">ACH debit - MobileSource Parts Distribution Inc. - INV MS-40228</t>
  </si>
  <si>
    <t xml:space="preserve">MobileSource Parts Distribution Inc.</t>
  </si>
  <si>
    <t xml:space="preserve">Bramblecrest Bank &amp; Trust</t>
  </si>
  <si>
    <t xml:space="preserve">2209187764</t>
  </si>
  <si>
    <t xml:space="preserve">Check</t>
  </si>
  <si>
    <t xml:space="preserve">Check #1186 paid - Kessler Commons Properties LLC</t>
  </si>
  <si>
    <t xml:space="preserve">1186</t>
  </si>
  <si>
    <t xml:space="preserve">Memo: 2025 CAM reconciliation</t>
  </si>
  <si>
    <t xml:space="preserve">Internal Transfer</t>
  </si>
  <si>
    <t xml:space="preserve">Online transfer to personal checking ...1447 - owner draw</t>
  </si>
  <si>
    <t xml:space="preserve">Online Banking</t>
  </si>
  <si>
    <t xml:space="preserve">Merchant card settlement - Cardline Merchant Services - batch 0518</t>
  </si>
  <si>
    <t xml:space="preserve">ACH debit - Olentangy Electric &amp; Gas - COMMERCIAL UTILITY</t>
  </si>
  <si>
    <t xml:space="preserve">Olentangy Electric &amp; Gas</t>
  </si>
  <si>
    <t xml:space="preserve">3390022184</t>
  </si>
  <si>
    <t xml:space="preserve">Depositor: Desmond J. Bennett (owner); in-person teller deposit</t>
  </si>
  <si>
    <t xml:space="preserve">Northgate Mobil Repair LLC</t>
  </si>
  <si>
    <t xml:space="preserve">Westerville</t>
  </si>
  <si>
    <t xml:space="preserve">43081</t>
  </si>
  <si>
    <t xml:space="preserve">HNB-B27 Westerville</t>
  </si>
  <si>
    <t xml:space="preserve">T-OH-274</t>
  </si>
  <si>
    <t xml:space="preserve">Luis A. Ortega</t>
  </si>
  <si>
    <t xml:space="preserve">Depositor: Luis A. Ortega (store manager, authorized depositor); in-person teller deposit</t>
  </si>
  <si>
    <t xml:space="preserve">Merchant card settlement - Cardline Merchant Services - batch 0526</t>
  </si>
  <si>
    <t xml:space="preserve">Outgoing international wire (USD) - Golden Kestrel General Trading FZE</t>
  </si>
  <si>
    <t xml:space="preserve">Golden Kestrel General Trading FZE</t>
  </si>
  <si>
    <t xml:space="preserve">Dunecrest Commercial Bank PJSC, Dubai, UAE</t>
  </si>
  <si>
    <t xml:space="preserve">AE07 0450 **** **** 1862</t>
  </si>
  <si>
    <t xml:space="preserve">Currency USD; OBI: INVENTORY; Bene address: Warehouse 14, Free Zone South, Dubai, UAE; Bene country AE - HNB country-risk rating: Medium (not FATF-listed); OFAC screen: no match; New beneficiary added via online banking 05/26/2026</t>
  </si>
  <si>
    <t xml:space="preserve">ACH debit - MobileSource Parts Distribution Inc. - INV MS-40256</t>
  </si>
  <si>
    <t xml:space="preserve">Fee</t>
  </si>
  <si>
    <t xml:space="preserve">Account analysis fee - 05/2026 (maintenance, cash handling, wire services)</t>
  </si>
  <si>
    <t xml:space="preserve">Maintenance $32.00; cash handling $48.54 ($1.50 per $1,000 of $32,359.12 cash deposited); 1 international wire(s) at $45.00; 0 domestic wire(s) at $30.00</t>
  </si>
  <si>
    <t xml:space="preserve">Merchant card settlement - Cardline Merchant Services - batch 0601</t>
  </si>
  <si>
    <t xml:space="preserve">ACH debit - Kessler Commons Properties LLC - RENT 06/2026</t>
  </si>
  <si>
    <t xml:space="preserve">Merchant card settlement - Cardline Merchant Services - batch 0608</t>
  </si>
  <si>
    <t xml:space="preserve">Depositor: Desmond J. Bennett (owner); in-person teller deposit; aggregated with same-day deposit at Westerville - CTR filed for business day 06/08/2026, total $18,400.00</t>
  </si>
  <si>
    <t xml:space="preserve">Depositor: Luis A. Ortega (store manager, authorized depositor); in-person teller deposit; aggregated with same-day deposit at Northland - CTR filed for business day 06/08/2026, total $18,400.00</t>
  </si>
  <si>
    <t xml:space="preserve">ACH debit - MobileSource Parts Distribution Inc. - INV MS-40279</t>
  </si>
  <si>
    <t xml:space="preserve">Worthington</t>
  </si>
  <si>
    <t xml:space="preserve">43085</t>
  </si>
  <si>
    <t xml:space="preserve">HNB-B33 Worthington</t>
  </si>
  <si>
    <t xml:space="preserve">T-OH-335</t>
  </si>
  <si>
    <t xml:space="preserve">Outgoing domestic wire (USD) - Stonebridge Crest Holdings LLC</t>
  </si>
  <si>
    <t xml:space="preserve">Stonebridge Crest Holdings LLC</t>
  </si>
  <si>
    <t xml:space="preserve">Lakemont Federal Bank</t>
  </si>
  <si>
    <t xml:space="preserve">7310045528</t>
  </si>
  <si>
    <t xml:space="preserve">OBI: CONSULTING; Bene address: 7720 Saddle Creek Ct, Dublin, OH 43017</t>
  </si>
  <si>
    <t xml:space="preserve">Merchant card settlement - Cardline Merchant Services - batch 0615</t>
  </si>
  <si>
    <t xml:space="preserve">Currency USD; OBI: CONSULTING SERVICES; Bene address: Warehouse 14, Free Zone South, Dubai, UAE; Bene country AE - HNB country-risk rating: Medium (not FATF-listed); OFAC screen: no match</t>
  </si>
  <si>
    <t xml:space="preserve">Merchant card settlement - Cardline Merchant Services - batch 0622</t>
  </si>
  <si>
    <t xml:space="preserve">ACH credit - Buckeye Shield Mutual Insurance Co. - CLAIM CP-2026-044718</t>
  </si>
  <si>
    <t xml:space="preserve">Buckeye Shield Mutual Insurance Co.</t>
  </si>
  <si>
    <t xml:space="preserve">9014452260</t>
  </si>
  <si>
    <t xml:space="preserve">Commercial property claim CP-2026-044718 - water damage at store, loss date 06/03/2026</t>
  </si>
  <si>
    <t xml:space="preserve">ACH debit - MobileSource Parts Distribution Inc. - INV MS-40297</t>
  </si>
  <si>
    <t xml:space="preserve">Check #1187 paid - Ridgeway Build &amp; Restore LLC</t>
  </si>
  <si>
    <t xml:space="preserve">1187</t>
  </si>
  <si>
    <t xml:space="preserve">Ridgeway Build &amp; Restore LLC</t>
  </si>
  <si>
    <t xml:space="preserve">5580031946</t>
  </si>
  <si>
    <t xml:space="preserve">Memo: water damage repairs - claim CP-2026-044718</t>
  </si>
  <si>
    <t xml:space="preserve">Merchant card settlement - Cardline Merchant Services - batch 0629</t>
  </si>
  <si>
    <t xml:space="preserve">ACH debit - TechBench Repair Equipment Co. - INV TB-55821</t>
  </si>
  <si>
    <t xml:space="preserve">TechBench Repair Equipment Co.</t>
  </si>
  <si>
    <t xml:space="preserve">7702918845</t>
  </si>
  <si>
    <t xml:space="preserve">Replacement micro-soldering station and ultrasonic cleaner</t>
  </si>
  <si>
    <t xml:space="preserve">Account analysis fee - 06/2026 (maintenance, cash handling, wire services)</t>
  </si>
  <si>
    <t xml:space="preserve">Maintenance $32.00; cash handling $59.20 ($1.50 per $1,000 of $39,463.98 cash deposited); 1 international wire(s) at $45.00; 1 domestic wire(s) at $30.00</t>
  </si>
  <si>
    <t xml:space="preserve">ACH debit - Kessler Commons Properties LLC - RENT 07/2026</t>
  </si>
  <si>
    <t xml:space="preserve">Merchant card settlement - Cardline Merchant Services - batch 0706</t>
  </si>
  <si>
    <t xml:space="preserve">ACH debit - MobileSource Parts Distribution Inc. - INV MS-40325</t>
  </si>
  <si>
    <t xml:space="preserve">Outgoing international wire (USD) - Golden Kestral General Trading FZE</t>
  </si>
  <si>
    <t xml:space="preserve">Golden Kestral General Trading FZE</t>
  </si>
  <si>
    <t xml:space="preserve">Currency USD; OBI: INV 0709 GOODS; Bene address: Warehouse 14, Free Zone South, Dubai, UAE; Bene country AE - HNB country-risk rating: Medium (not FATF-listed); OFAC screen: no match</t>
  </si>
  <si>
    <t xml:space="preserve">Merchant card settlement - Cardline Merchant Services - batch 0713</t>
  </si>
  <si>
    <t xml:space="preserve">Incoming wire (USD) - RETURN of 07/09/2026 outgoing wire</t>
  </si>
  <si>
    <t xml:space="preserve">Returned by beneficiary bank: beneficiary name does not match account; returned amount is net of $42.50 correspondent charges</t>
  </si>
  <si>
    <t xml:space="preserve">Currency USD; OBI: INV 0709 GOODS; Bene address: Warehouse 14, Free Zone South, Dubai, UAE; Bene country AE - HNB country-risk rating: Medium (not FATF-listed); OFAC screen: no match; Re-send of 07/09/2026 wire with corrected beneficiary name</t>
  </si>
  <si>
    <t xml:space="preserve">Merchant card settlement - Cardline Merchant Services - batch 0720</t>
  </si>
  <si>
    <t xml:space="preserve">ACH debit - MobileSource Parts Distribution Inc. - INV MS-40352</t>
  </si>
  <si>
    <t xml:space="preserve">Merchant card settlement - Cardline Merchant Services - batch 0727</t>
  </si>
  <si>
    <t xml:space="preserve">Depositor: Desmond J. Bennett (owner); in-person teller deposit; same conductor, two accounts - CTR filed for business day 07/27/2026, total $18,900.00</t>
  </si>
  <si>
    <t xml:space="preserve">Account analysis fee - 07/2026 (maintenance, cash handling, wire services)</t>
  </si>
  <si>
    <t xml:space="preserve">Maintenance $32.00; cash handling $59.09 ($1.50 per $1,000 of $39,394.03 cash deposited); 2 international wire(s) at $45.00; 0 domestic wire(s) at $30.00</t>
  </si>
  <si>
    <t xml:space="preserve">Merchant card settlement - Cardline Merchant Services - batch 0803</t>
  </si>
  <si>
    <t xml:space="preserve">ACH debit - Kessler Commons Properties LLC - RENT 08/2026</t>
  </si>
  <si>
    <t xml:space="preserve">ACH debit - MobileSource Parts Distribution Inc. - INV MS-40369</t>
  </si>
  <si>
    <t xml:space="preserve">Merchant card settlement - Cardline Merchant Services - batch 0810</t>
  </si>
  <si>
    <t xml:space="preserve">Currency USD; OBI: CONSULTING Q3; Bene address: Warehouse 14, Free Zone South, Dubai, UAE; Bene country AE - HNB country-risk rating: Medium (not FATF-listed); OFAC screen: no match</t>
  </si>
  <si>
    <t xml:space="preserve">Merchant card settlement - Cardline Merchant Services - batch 0817</t>
  </si>
  <si>
    <t xml:space="preserve">OBI: MGMT FEE; Bene address: 7720 Saddle Creek Ct, Dublin, OH 43017</t>
  </si>
  <si>
    <t xml:space="preserve">ACH debit - MobileSource Parts Distribution Inc. - INV MS-40382</t>
  </si>
  <si>
    <t xml:space="preserve">Merchant card settlement - Cardline Merchant Services - batch 0824</t>
  </si>
  <si>
    <t xml:space="preserve">Merchant card settlement - Cardline Merchant Services - batch 0831</t>
  </si>
  <si>
    <t xml:space="preserve">Account analysis fee - 08/2026 (maintenance, cash handling, wire services)</t>
  </si>
  <si>
    <t xml:space="preserve">Maintenance $32.00; cash handling $45.65 ($1.50 per $1,000 of $30,435.12 cash deposited); 1 international wire(s) at $45.00; 1 domestic wire(s) at $30.00</t>
  </si>
  <si>
    <t xml:space="preserve">P</t>
  </si>
  <si>
    <t xml:space="preserve">ACH debit - Tallgrass Home Lending - MORTGAGE PMT</t>
  </si>
  <si>
    <t xml:space="preserve">Tallgrass Home Lending</t>
  </si>
  <si>
    <t xml:space="preserve">1188420057</t>
  </si>
  <si>
    <t xml:space="preserve">Debit Card</t>
  </si>
  <si>
    <t xml:space="preserve">Debit card purchase - Dublin Market Grocery</t>
  </si>
  <si>
    <t xml:space="preserve">XXXXXXXXXXXX7742</t>
  </si>
  <si>
    <t xml:space="preserve">Dublin</t>
  </si>
  <si>
    <t xml:space="preserve">43017</t>
  </si>
  <si>
    <t xml:space="preserve">POS-55120871</t>
  </si>
  <si>
    <t xml:space="preserve">Dublin Market Grocery</t>
  </si>
  <si>
    <t xml:space="preserve">Online transfer from business checking ...6120 - owner draw</t>
  </si>
  <si>
    <t xml:space="preserve">ACH debit - Olentangy Electric &amp; Gas - RESIDENTIAL</t>
  </si>
  <si>
    <t xml:space="preserve">ACH debit - Larkhaven Card Services - CREDIT CARD PMT</t>
  </si>
  <si>
    <t xml:space="preserve">Larkhaven Card Services</t>
  </si>
  <si>
    <t xml:space="preserve">5004417730</t>
  </si>
  <si>
    <t xml:space="preserve">ACH debit - Cobblestone Mutual Insurance - HOME/AUTO PREMIUM (QTRLY)</t>
  </si>
  <si>
    <t xml:space="preserve">Cobblestone Mutual Insurance</t>
  </si>
  <si>
    <t xml:space="preserve">6127705519</t>
  </si>
  <si>
    <t xml:space="preserve">Debit card purchase - Sawmill Fuel Stop</t>
  </si>
  <si>
    <t xml:space="preserve">POS-55134409</t>
  </si>
  <si>
    <t xml:space="preserve">Sawmill Fuel Stop</t>
  </si>
  <si>
    <t xml:space="preserve">HNB-B41 Dublin</t>
  </si>
  <si>
    <t xml:space="preserve">T-OH-511</t>
  </si>
  <si>
    <t xml:space="preserve">OBI: LOAN REPAYMENT; Bene address: 7720 Saddle Creek Ct, Dublin, OH 43017</t>
  </si>
  <si>
    <t xml:space="preserve">Outgoing domestic wire fee</t>
  </si>
  <si>
    <t xml:space="preserve">Debit card purchase - Avery Road Pharmacy</t>
  </si>
  <si>
    <t xml:space="preserve">43016</t>
  </si>
  <si>
    <t xml:space="preserve">POS-55167713</t>
  </si>
  <si>
    <t xml:space="preserve">Avery Road Pharmacy</t>
  </si>
  <si>
    <t xml:space="preserve">Insert any supporting documents (statements, ID, correspondence) on this tab. Not required for this practice case.</t>
  </si>
  <si>
    <t xml:space="preserve">Insert screenshots of your open-source research on this tab. Each screenshot must show the source link (URL). Not required for this practice case.</t>
  </si>
  <si>
    <t xml:space="preserve">Enter your complete narrative in cell A1 only.</t>
  </si>
  <si>
    <t xml:space="preserve">SAR STRUCTURED FORM</t>
  </si>
  <si>
    <t xml:space="preserve">Complete this form ONLY if your disposition is to file a SAR. If your disposition is No SAR, leave every field blank.</t>
  </si>
  <si>
    <t xml:space="preserve">How to complete: choose X from the drop-down in the shaded box to the LEFT of each option that applies; type text answers in the shaded boxes in column D.</t>
  </si>
  <si>
    <t xml:space="preserve">PART I – FILING INSTITUTION, SUBJECT AND ACCOUNT INFORMATION</t>
  </si>
  <si>
    <t xml:space="preserve">Events</t>
  </si>
  <si>
    <t xml:space="preserve">Report on Following RFI (filing institution)</t>
  </si>
  <si>
    <t xml:space="preserve">Suspect(s) (one per line)</t>
  </si>
  <si>
    <t xml:space="preserve">Report on the following Account(s) (one per line)</t>
  </si>
  <si>
    <t xml:space="preserve">BRANCH INFORMATION</t>
  </si>
  <si>
    <t xml:space="preserve">#</t>
  </si>
  <si>
    <t xml:space="preserve">Branch Name</t>
  </si>
  <si>
    <t xml:space="preserve">PART II – SUSPICIOUS ACTIVITY INFORMATION</t>
  </si>
  <si>
    <t xml:space="preserve">29  Amount Involved in this report $</t>
  </si>
  <si>
    <t xml:space="preserve">30  Date or date range – From</t>
  </si>
  <si>
    <t xml:space="preserve">30  Date or date range – To</t>
  </si>
  <si>
    <t xml:space="preserve">31  Cumulative amount (continuing activity only)</t>
  </si>
  <si>
    <t xml:space="preserve">32  Structuring</t>
  </si>
  <si>
    <t xml:space="preserve">a. Alters or cancels transaction to avoid BSA recordkeeping requirement</t>
  </si>
  <si>
    <t xml:space="preserve">e. Multiple transactions below CTR threshold</t>
  </si>
  <si>
    <t xml:space="preserve">b. Alters or cancels transaction to avoid CTR requirement</t>
  </si>
  <si>
    <t xml:space="preserve">f. Suspicious inquiry by customer regarding BSA reporting or recordkeeping requirements</t>
  </si>
  <si>
    <t xml:space="preserve">c. Customer cancels transaction to avoid BSA reporting and recordkeeping requirements</t>
  </si>
  <si>
    <t xml:space="preserve">z. Other (describe in the narrative)</t>
  </si>
  <si>
    <t xml:space="preserve">d. Multiple transactions below BSA recordkeeping threshold</t>
  </si>
  <si>
    <t xml:space="preserve">36  Money Laundering</t>
  </si>
  <si>
    <t xml:space="preserve">a. Exchange small bills for large bills or vice versa</t>
  </si>
  <si>
    <t xml:space="preserve">h. Suspicious receipt of government payments/benefits</t>
  </si>
  <si>
    <t xml:space="preserve">b. Funnel account</t>
  </si>
  <si>
    <t xml:space="preserve">i. Suspicious use of multiple accounts</t>
  </si>
  <si>
    <t xml:space="preserve">c. Suspicion concerning the physical condition of funds</t>
  </si>
  <si>
    <t xml:space="preserve">j. Suspicious use of noncash monetary instruments</t>
  </si>
  <si>
    <t xml:space="preserve">d. Suspicion concerning the source of funds</t>
  </si>
  <si>
    <t xml:space="preserve">k. Suspicious use of third-party transactors (straw-man)</t>
  </si>
  <si>
    <t xml:space="preserve">e. Suspicious designation of beneficiaries, assignees or joint owners</t>
  </si>
  <si>
    <t xml:space="preserve">l. Trade-based money laundering / Black Market Peso Exchange</t>
  </si>
  <si>
    <t xml:space="preserve">f. Suspicious EFT/wire transfers</t>
  </si>
  <si>
    <t xml:space="preserve">m. Transaction out of pattern for customer(s)</t>
  </si>
  <si>
    <t xml:space="preserve">g. Suspicious exchange of currencies</t>
  </si>
  <si>
    <t xml:space="preserve">38  Other Suspicious Activities</t>
  </si>
  <si>
    <t xml:space="preserve">a. Account takeover</t>
  </si>
  <si>
    <t xml:space="preserve">k. Misuse of position or self-dealing</t>
  </si>
  <si>
    <t xml:space="preserve">b. Bribery or gratuity</t>
  </si>
  <si>
    <t xml:space="preserve">l. Suspected public/private corruption (domestic)</t>
  </si>
  <si>
    <t xml:space="preserve">c. Counterfeit instruments</t>
  </si>
  <si>
    <t xml:space="preserve">m. Suspected public/private corruption (foreign)</t>
  </si>
  <si>
    <t xml:space="preserve">d. Elder financial exploitation</t>
  </si>
  <si>
    <t xml:space="preserve">n. Suspicious use of informal value transfer system</t>
  </si>
  <si>
    <t xml:space="preserve">e. Embezzlement / theft / disappearance of funds</t>
  </si>
  <si>
    <t xml:space="preserve">o. Suspicious use of multiple transaction locations</t>
  </si>
  <si>
    <t xml:space="preserve">f. Forgeries</t>
  </si>
  <si>
    <t xml:space="preserve">p. Transaction with no apparent economic, business or lawful purpose</t>
  </si>
  <si>
    <t xml:space="preserve">g. Human smuggling</t>
  </si>
  <si>
    <t xml:space="preserve">q. Transaction(s) involving foreign high-risk jurisdiction</t>
  </si>
  <si>
    <t xml:space="preserve">h. Human trafficking</t>
  </si>
  <si>
    <t xml:space="preserve">r. Two or more individuals working together</t>
  </si>
  <si>
    <t xml:space="preserve">i. Identity theft</t>
  </si>
  <si>
    <t xml:space="preserve">s. Unlicensed or unregistered MSB</t>
  </si>
  <si>
    <t xml:space="preserve">j. Little or no concern for product performance, penalties, fees or tax consequences</t>
  </si>
  <si>
    <t xml:space="preserve">45  Product type(s) involved</t>
  </si>
  <si>
    <t xml:space="preserve">a. Bonds/Notes</t>
  </si>
  <si>
    <t xml:space="preserve">l. Insurance/Annuity products</t>
  </si>
  <si>
    <t xml:space="preserve">b. Commercial mortgage</t>
  </si>
  <si>
    <t xml:space="preserve">m. Microcap securities</t>
  </si>
  <si>
    <t xml:space="preserve">c. Commercial paper</t>
  </si>
  <si>
    <t xml:space="preserve">n. Mutual fund</t>
  </si>
  <si>
    <t xml:space="preserve">d. Credit card</t>
  </si>
  <si>
    <t xml:space="preserve">o. Options on securities</t>
  </si>
  <si>
    <t xml:space="preserve">e. Debit card</t>
  </si>
  <si>
    <t xml:space="preserve">p. Prepaid access</t>
  </si>
  <si>
    <t xml:space="preserve">f. Deposit account</t>
  </si>
  <si>
    <t xml:space="preserve">q. Residential mortgage</t>
  </si>
  <si>
    <t xml:space="preserve">g. Forex transactions</t>
  </si>
  <si>
    <t xml:space="preserve">r. Security futures products</t>
  </si>
  <si>
    <t xml:space="preserve">h. Futures/Options on futures</t>
  </si>
  <si>
    <t xml:space="preserve">s. Stocks</t>
  </si>
  <si>
    <t xml:space="preserve">i. Hedge fund</t>
  </si>
  <si>
    <t xml:space="preserve">t. Swap, hybrid or other derivatives</t>
  </si>
  <si>
    <t xml:space="preserve">j. Home equity line of credit</t>
  </si>
  <si>
    <t xml:space="preserve">k. Home equity loan</t>
  </si>
  <si>
    <t xml:space="preserve">46  Instrument type(s) / payment mechanism(s) involved</t>
  </si>
  <si>
    <t xml:space="preserve">a. Bank/Cashier's check</t>
  </si>
  <si>
    <t xml:space="preserve">f. Money orders</t>
  </si>
  <si>
    <t xml:space="preserve">b. Foreign currency</t>
  </si>
  <si>
    <t xml:space="preserve">g. Personal/Business check</t>
  </si>
  <si>
    <t xml:space="preserve">c. Funds transfer</t>
  </si>
  <si>
    <t xml:space="preserve">h. Travelers checks</t>
  </si>
  <si>
    <t xml:space="preserve">d. Gaming instruments</t>
  </si>
  <si>
    <t xml:space="preserve">i. U.S. Currency</t>
  </si>
  <si>
    <t xml:space="preserve">e. Government payment</t>
  </si>
  <si>
    <t xml:space="preserve">END OF FORM</t>
  </si>
  <si>
    <t xml:space="preserve">CASE STUDY QUESTIONNAIRE</t>
  </si>
  <si>
    <t xml:space="preserve">Select one answer per question by entering X in column A (use the drop-down).</t>
  </si>
  <si>
    <t xml:space="preserve">SELECT</t>
  </si>
  <si>
    <t xml:space="preserve">OPTION</t>
  </si>
  <si>
    <t xml:space="preserve">ANSWER</t>
  </si>
  <si>
    <t xml:space="preserve">1. Counting each completed transaction once, add the teller cash deposits that were each under $10,000 to the completed wires to Golden Kestrel General Trading FZE and Stonebridge Crest Holdings LLC. What is the result?</t>
  </si>
  <si>
    <t xml:space="preserve">A</t>
  </si>
  <si>
    <t xml:space="preserve">$244,344.45</t>
  </si>
  <si>
    <t xml:space="preserve">$316,030.05</t>
  </si>
  <si>
    <t xml:space="preserve">$288,194.45</t>
  </si>
  <si>
    <t xml:space="preserve">$298,006.70</t>
  </si>
  <si>
    <t xml:space="preserve">2. An $18,650.00 ACH credit posted to the business account on 06/22/2026, about three weeks before the largest wire to Golden Kestrel. How should it be treated in the analysis?</t>
  </si>
  <si>
    <t xml:space="preserve">Include it: any single credit over $10,000 in the review period belongs in the unexplained total.</t>
  </si>
  <si>
    <t xml:space="preserve">Exclude it: a documented insurance claim (CP-2026-044718) spent on a repair contractor and equipment.</t>
  </si>
  <si>
    <t xml:space="preserve">Include it: it was the source of the 07/15/2026 wire of $27,835.60 to Golden Kestrel.</t>
  </si>
  <si>
    <t xml:space="preserve">Include only the $910.00 that was not spent on the repair contractor or the equipment.</t>
  </si>
  <si>
    <t xml:space="preserve">3. Which fact most strongly indicates that the cash deposits were structured to avoid currency transaction reporting, rather than reflecting busier trading?</t>
  </si>
  <si>
    <t xml:space="preserve">Cash deposits totaled $169,202.25 over the four months, far above the KYC expectation of $2,000-$4,000 per month.</t>
  </si>
  <si>
    <t xml:space="preserve">The store manager, as well as the owner, made several of the in-person teller cash deposits at the branches.</t>
  </si>
  <si>
    <t xml:space="preserve">The larger deposits were made in person at a teller rather than through the business's night depository.</t>
  </si>
  <si>
    <t xml:space="preserve">After a CTR was filed on the 05/05 deposit, every later teller deposit was $8,400-$9,950, often split across branches.</t>
  </si>
  <si>
    <t xml:space="preserve">4. Card settlements are a mitigating factor. What does the transaction trail show about their link to the outgoing wires?</t>
  </si>
  <si>
    <t xml:space="preserve">No link: settlements stayed in the KYC range and were largely spent on rent, payroll, parts and utilities.</t>
  </si>
  <si>
    <t xml:space="preserve">They funded the wires: settlement amounts rose in the weeks before each wire, in line with accessory sales.</t>
  </si>
  <si>
    <t xml:space="preserve">They funded the Stonebridge Crest wires, while the cash deposits funded the Golden Kestrel wires.</t>
  </si>
  <si>
    <t xml:space="preserve">It cannot be determined, because weekly settlement batches cannot be matched to specific outgoing wires.</t>
  </si>
  <si>
    <t xml:space="preserve">5. Which branches were used to conduct the cash deposits and wires that are not explained by the business's legitimate income?</t>
  </si>
  <si>
    <t xml:space="preserve">Northland (Columbus), Westerville and Online Banking</t>
  </si>
  <si>
    <t xml:space="preserve">Northland (Columbus), Worthington and Dublin</t>
  </si>
  <si>
    <t xml:space="preserve">Northland (Columbus), Westerville, Worthington and Dublin</t>
  </si>
  <si>
    <t xml:space="preserve">Northland (Columbus), Westerville, Worthington, Dublin and Online Banking</t>
  </si>
  <si>
    <t xml:space="preserve">6. Which entries belong in SAR Fields 29 and 30 for this case?</t>
  </si>
  <si>
    <t xml:space="preserve">$316,031 | 05/19/2026 - 08/18/2026</t>
  </si>
  <si>
    <t xml:space="preserve">$288,195 | 06/08/2026 - 08/14/2026</t>
  </si>
  <si>
    <t xml:space="preserve">None - the disposition does not support filing, so the form stays blank</t>
  </si>
  <si>
    <t xml:space="preserve">$288,195 | 05/19/2026 - 08/18/2026</t>
  </si>
  <si>
    <t xml:space="preserve">7. If a SAR is filed, which Part II boxes best describe the outgoing wires to Golden Kestrel General Trading FZE?</t>
  </si>
  <si>
    <t xml:space="preserve">36 l Trade-based money laundering and 46 c Funds transfer</t>
  </si>
  <si>
    <t xml:space="preserve">36 f Suspicious EFT/wire transfers and 46 c Funds transfer</t>
  </si>
  <si>
    <t xml:space="preserve">36 b Funnel account and 46 c Funds transfer</t>
  </si>
  <si>
    <t xml:space="preserve">36 f Suspicious EFT/wire transfers, 46 c Funds transfer and 46 b Foreign currency</t>
  </si>
  <si>
    <t xml:space="preserve">8. Which disposition is best supported by the evidence in this workbook?</t>
  </si>
  <si>
    <t xml:space="preserve">SAR: documented card, night-drop and insurance income does not explain $148,150.00 in sub-threshold cash or $140,044.45 wired out within days.</t>
  </si>
  <si>
    <t xml:space="preserve">No SAR: the owner attributed the extra cash to accessory sales, named both wire beneficiaries as his supplier and holding company, and card income matched KYC.</t>
  </si>
  <si>
    <t xml:space="preserve">No SAR: CTRs were filed on 05/05, 06/08 and 07/27/2026, so the bank's currency reporting obligations for this cash have already been met.</t>
  </si>
  <si>
    <t xml:space="preserve">SAR: the wires show that Mr. Bennett laundered criminal proceeds through Golden Kestrel General Trading FZE in Dubai.</t>
  </si>
</sst>
</file>

<file path=xl/styles.xml><?xml version="1.0" encoding="utf-8"?>
<styleSheet xmlns="http://schemas.openxmlformats.org/spreadsheetml/2006/main">
  <numFmts count="9">
    <numFmt numFmtId="164" formatCode="General"/>
    <numFmt numFmtId="165" formatCode="mm/dd/yyyy"/>
    <numFmt numFmtId="166" formatCode="0"/>
    <numFmt numFmtId="167" formatCode="@"/>
    <numFmt numFmtId="168" formatCode="\$#,##0.00;[RED]&quot;-$&quot;#,##0.00;\$0.00"/>
    <numFmt numFmtId="169" formatCode="\$#,##0.00_);[RED]&quot;($&quot;#,##0.00\);\$0.00_)"/>
    <numFmt numFmtId="170" formatCode="\$#,##0.00_);&quot;($&quot;#,##0.00\);\-_)"/>
    <numFmt numFmtId="171" formatCode="hh:mm"/>
    <numFmt numFmtId="172" formatCode="\$#,##0_);&quot;($&quot;#,##0\)"/>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7F7F7F"/>
      <name val="Arial"/>
      <family val="0"/>
      <charset val="1"/>
    </font>
    <font>
      <b val="true"/>
      <sz val="11"/>
      <color rgb="FFFFFFFF"/>
      <name val="Arial"/>
      <family val="0"/>
      <charset val="1"/>
    </font>
    <font>
      <sz val="10"/>
      <color rgb="FF1A1A1A"/>
      <name val="Arial"/>
      <family val="0"/>
      <charset val="1"/>
    </font>
    <font>
      <b val="true"/>
      <sz val="10"/>
      <color rgb="FFFFFFFF"/>
      <name val="Arial"/>
      <family val="0"/>
      <charset val="1"/>
    </font>
    <font>
      <b val="true"/>
      <sz val="10"/>
      <color rgb="FF1A1A1A"/>
      <name val="Arial"/>
      <family val="0"/>
      <charset val="1"/>
    </font>
    <font>
      <i val="true"/>
      <sz val="10"/>
      <color rgb="FF1A1A1A"/>
      <name val="Arial"/>
      <family val="0"/>
      <charset val="1"/>
    </font>
    <font>
      <i val="true"/>
      <sz val="10"/>
      <color rgb="FF8B1E2D"/>
      <name val="Arial"/>
      <family val="0"/>
      <charset val="1"/>
    </font>
    <font>
      <b val="true"/>
      <sz val="12"/>
      <color rgb="FF1A1A1A"/>
      <name val="Arial"/>
      <family val="0"/>
      <charset val="1"/>
    </font>
    <font>
      <sz val="10"/>
      <name val="Arial"/>
      <family val="2"/>
    </font>
    <font>
      <i val="true"/>
      <sz val="10"/>
      <color rgb="FFA6A6A6"/>
      <name val="Arial"/>
      <family val="0"/>
      <charset val="1"/>
    </font>
    <font>
      <b val="true"/>
      <sz val="10"/>
      <color rgb="FF8B1E2D"/>
      <name val="Arial"/>
      <family val="0"/>
      <charset val="1"/>
    </font>
    <font>
      <sz val="10"/>
      <color rgb="FF7F7F7F"/>
      <name val="Arial"/>
      <family val="0"/>
      <charset val="1"/>
    </font>
  </fonts>
  <fills count="7">
    <fill>
      <patternFill patternType="none"/>
    </fill>
    <fill>
      <patternFill patternType="gray125"/>
    </fill>
    <fill>
      <patternFill patternType="solid">
        <fgColor rgb="FF1F2A44"/>
        <bgColor rgb="FF1A1A1A"/>
      </patternFill>
    </fill>
    <fill>
      <patternFill patternType="solid">
        <fgColor rgb="FFDCE3ED"/>
        <bgColor rgb="FFF4F6F9"/>
      </patternFill>
    </fill>
    <fill>
      <patternFill patternType="solid">
        <fgColor rgb="FFF4F6F9"/>
        <bgColor rgb="FFFFFFFF"/>
      </patternFill>
    </fill>
    <fill>
      <patternFill patternType="solid">
        <fgColor rgb="FFFFF7D6"/>
        <bgColor rgb="FFF4F6F9"/>
      </patternFill>
    </fill>
    <fill>
      <patternFill patternType="solid">
        <fgColor rgb="FF3B5378"/>
        <bgColor rgb="FF666699"/>
      </patternFill>
    </fill>
  </fills>
  <borders count="2">
    <border diagonalUp="false" diagonalDown="false">
      <left/>
      <right/>
      <top/>
      <bottom/>
      <diagonal/>
    </border>
    <border diagonalUp="false" diagonalDown="false">
      <left style="thin">
        <color rgb="FFB4BDCB"/>
      </left>
      <right style="thin">
        <color rgb="FFB4BDCB"/>
      </right>
      <top style="thin">
        <color rgb="FFB4BDCB"/>
      </top>
      <bottom style="thin">
        <color rgb="FFB4BDC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left" vertical="top" textRotation="0" wrapText="false" indent="0" shrinkToFit="false"/>
      <protection locked="true" hidden="false"/>
    </xf>
    <xf numFmtId="166" fontId="7" fillId="0" borderId="1"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5" fontId="9"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7" fontId="7"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9" fontId="7" fillId="4" borderId="1" xfId="0" applyFont="true" applyBorder="true" applyAlignment="true" applyProtection="false">
      <alignment horizontal="general" vertical="top" textRotation="0" wrapText="false" indent="0" shrinkToFit="false"/>
      <protection locked="true" hidden="false"/>
    </xf>
    <xf numFmtId="165" fontId="7" fillId="4" borderId="1" xfId="0" applyFont="true" applyBorder="true" applyAlignment="true" applyProtection="false">
      <alignment horizontal="center" vertical="top" textRotation="0" wrapText="false" indent="0" shrinkToFit="false"/>
      <protection locked="true" hidden="false"/>
    </xf>
    <xf numFmtId="170" fontId="7"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71" fontId="7" fillId="4"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8" fillId="6" borderId="0" xfId="0" applyFont="true" applyBorder="false" applyAlignment="true" applyProtection="false">
      <alignment horizontal="general" vertical="center" textRotation="0" wrapText="false" indent="0" shrinkToFit="false"/>
      <protection locked="true" hidden="false"/>
    </xf>
    <xf numFmtId="164" fontId="16" fillId="0"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72" fontId="7" fillId="5" borderId="1" xfId="0" applyFont="true" applyBorder="true" applyAlignment="true" applyProtection="false">
      <alignment horizontal="left" vertical="top" textRotation="0" wrapText="false" indent="0" shrinkToFit="false"/>
      <protection locked="true" hidden="false"/>
    </xf>
    <xf numFmtId="165" fontId="7" fillId="5" borderId="1" xfId="0" applyFont="true" applyBorder="true" applyAlignment="true" applyProtection="false">
      <alignment horizontal="left" vertical="top"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2A44"/>
          <bgColor rgb="FF000000"/>
        </patternFill>
      </fill>
    </dxf>
    <dxf>
      <fill>
        <patternFill patternType="solid">
          <bgColor rgb="FF000000"/>
        </patternFill>
      </fill>
    </dxf>
    <dxf>
      <fill>
        <patternFill patternType="solid">
          <fgColor rgb="FF1A1A1A"/>
          <bgColor rgb="FF000000"/>
        </patternFill>
      </fill>
    </dxf>
    <dxf>
      <fill>
        <patternFill patternType="solid">
          <fgColor rgb="FFFFFFFF"/>
          <bgColor rgb="FF000000"/>
        </patternFill>
      </fill>
    </dxf>
    <dxf>
      <fill>
        <patternFill patternType="solid">
          <fgColor rgb="FFFF0000"/>
          <bgColor rgb="FF000000"/>
        </patternFill>
      </fill>
    </dxf>
    <dxf>
      <fill>
        <patternFill patternType="solid">
          <fgColor rgb="FFF4F6F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DCB"/>
      <rgbColor rgb="FF7F7F7F"/>
      <rgbColor rgb="FF9999FF"/>
      <rgbColor rgb="FF993366"/>
      <rgbColor rgb="FFFFF7D6"/>
      <rgbColor rgb="FFF4F6F9"/>
      <rgbColor rgb="FF660066"/>
      <rgbColor rgb="FFFF8080"/>
      <rgbColor rgb="FF0066CC"/>
      <rgbColor rgb="FFDCE3E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1A1A1A"/>
      <rgbColor rgb="FF8B1E2D"/>
      <rgbColor rgb="FF993366"/>
      <rgbColor rgb="FF3B5378"/>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true"/>
  </sheetPr>
  <dimension ref="A1:E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46"/>
    <col collapsed="false" customWidth="true" hidden="false" outlineLevel="0" max="4" min="4" style="0" width="60"/>
    <col collapsed="false" customWidth="true" hidden="false" outlineLevel="0" max="5" min="5" style="0" width="30"/>
  </cols>
  <sheetData>
    <row r="1" customFormat="false" ht="25.5" hidden="false" customHeight="true" outlineLevel="0" collapsed="false">
      <c r="A1" s="1" t="s">
        <v>0</v>
      </c>
      <c r="B1" s="1"/>
      <c r="C1" s="1"/>
      <c r="D1" s="1"/>
      <c r="E1" s="1"/>
    </row>
    <row r="2" customFormat="false" ht="15" hidden="false" customHeight="false" outlineLevel="0" collapsed="false">
      <c r="A2" s="2" t="s">
        <v>1</v>
      </c>
      <c r="B2" s="2"/>
      <c r="C2" s="2"/>
      <c r="D2" s="2"/>
      <c r="E2" s="2"/>
    </row>
    <row r="4" customFormat="false" ht="18" hidden="false" customHeight="true" outlineLevel="0" collapsed="false">
      <c r="A4" s="3" t="s">
        <v>2</v>
      </c>
      <c r="B4" s="3"/>
      <c r="C4" s="3"/>
      <c r="D4" s="3"/>
      <c r="E4" s="3"/>
    </row>
    <row r="5" customFormat="false" ht="42" hidden="false" customHeight="true" outlineLevel="0" collapsed="false">
      <c r="A5" s="4" t="s">
        <v>3</v>
      </c>
      <c r="B5" s="4"/>
      <c r="C5" s="4"/>
      <c r="D5" s="4"/>
      <c r="E5" s="4"/>
    </row>
    <row r="7" customFormat="false" ht="19.5" hidden="false" customHeight="true" outlineLevel="0" collapsed="false">
      <c r="A7" s="5" t="s">
        <v>4</v>
      </c>
      <c r="B7" s="5" t="s">
        <v>5</v>
      </c>
      <c r="C7" s="5" t="s">
        <v>6</v>
      </c>
      <c r="D7" s="5" t="s">
        <v>7</v>
      </c>
      <c r="E7" s="5" t="s">
        <v>8</v>
      </c>
    </row>
    <row r="8" customFormat="false" ht="44.25" hidden="false" customHeight="true" outlineLevel="0" collapsed="false">
      <c r="A8" s="6" t="n">
        <v>1</v>
      </c>
      <c r="B8" s="7" t="s">
        <v>9</v>
      </c>
      <c r="C8" s="8" t="s">
        <v>10</v>
      </c>
      <c r="D8" s="8" t="s">
        <v>11</v>
      </c>
      <c r="E8" s="8"/>
    </row>
    <row r="9" customFormat="false" ht="31.5" hidden="false" customHeight="true" outlineLevel="0" collapsed="false">
      <c r="A9" s="6" t="n">
        <v>2</v>
      </c>
      <c r="B9" s="7" t="s">
        <v>12</v>
      </c>
      <c r="C9" s="8" t="s">
        <v>13</v>
      </c>
      <c r="D9" s="8" t="s">
        <v>14</v>
      </c>
      <c r="E9" s="8"/>
    </row>
    <row r="10" customFormat="false" ht="44.25" hidden="false" customHeight="true" outlineLevel="0" collapsed="false">
      <c r="A10" s="6" t="n">
        <v>3</v>
      </c>
      <c r="B10" s="7" t="s">
        <v>15</v>
      </c>
      <c r="C10" s="8" t="s">
        <v>16</v>
      </c>
      <c r="D10" s="8" t="s">
        <v>17</v>
      </c>
      <c r="E10" s="8"/>
    </row>
    <row r="11" customFormat="false" ht="44.25" hidden="false" customHeight="true" outlineLevel="0" collapsed="false">
      <c r="A11" s="6" t="n">
        <v>4</v>
      </c>
      <c r="B11" s="7" t="s">
        <v>18</v>
      </c>
      <c r="C11" s="8" t="s">
        <v>19</v>
      </c>
      <c r="D11" s="8" t="s">
        <v>20</v>
      </c>
      <c r="E11" s="9" t="s">
        <v>21</v>
      </c>
    </row>
    <row r="12" customFormat="false" ht="18.75" hidden="false" customHeight="true" outlineLevel="0" collapsed="false">
      <c r="A12" s="6" t="n">
        <v>5</v>
      </c>
      <c r="B12" s="7" t="s">
        <v>22</v>
      </c>
      <c r="C12" s="8" t="s">
        <v>23</v>
      </c>
      <c r="D12" s="8" t="s">
        <v>24</v>
      </c>
      <c r="E12" s="10" t="s">
        <v>25</v>
      </c>
    </row>
    <row r="13" customFormat="false" ht="18.75" hidden="false" customHeight="true" outlineLevel="0" collapsed="false">
      <c r="A13" s="6" t="n">
        <v>6</v>
      </c>
      <c r="B13" s="7" t="s">
        <v>26</v>
      </c>
      <c r="C13" s="8" t="s">
        <v>27</v>
      </c>
      <c r="D13" s="8" t="s">
        <v>24</v>
      </c>
      <c r="E13" s="10" t="s">
        <v>25</v>
      </c>
    </row>
    <row r="14" customFormat="false" ht="57" hidden="false" customHeight="true" outlineLevel="0" collapsed="false">
      <c r="A14" s="6" t="n">
        <v>7</v>
      </c>
      <c r="B14" s="7" t="s">
        <v>28</v>
      </c>
      <c r="C14" s="8" t="s">
        <v>29</v>
      </c>
      <c r="D14" s="8" t="s">
        <v>30</v>
      </c>
      <c r="E14" s="9" t="s">
        <v>31</v>
      </c>
    </row>
    <row r="15" customFormat="false" ht="44.25" hidden="false" customHeight="true" outlineLevel="0" collapsed="false">
      <c r="A15" s="6" t="n">
        <v>8</v>
      </c>
      <c r="B15" s="7" t="s">
        <v>32</v>
      </c>
      <c r="C15" s="8" t="s">
        <v>33</v>
      </c>
      <c r="D15" s="8" t="s">
        <v>34</v>
      </c>
      <c r="E15" s="9" t="s">
        <v>35</v>
      </c>
    </row>
    <row r="16" customFormat="false" ht="31.5" hidden="false" customHeight="true" outlineLevel="0" collapsed="false">
      <c r="A16" s="6" t="n">
        <v>9</v>
      </c>
      <c r="B16" s="7" t="s">
        <v>36</v>
      </c>
      <c r="C16" s="8" t="s">
        <v>37</v>
      </c>
      <c r="D16" s="8" t="s">
        <v>38</v>
      </c>
      <c r="E16" s="9" t="s">
        <v>39</v>
      </c>
    </row>
    <row r="18" customFormat="false" ht="18" hidden="false" customHeight="true" outlineLevel="0" collapsed="false">
      <c r="A18" s="3" t="s">
        <v>40</v>
      </c>
      <c r="B18" s="3"/>
      <c r="C18" s="3"/>
      <c r="D18" s="3"/>
      <c r="E18" s="3"/>
    </row>
    <row r="19" customFormat="false" ht="42" hidden="false" customHeight="true" outlineLevel="0" collapsed="false">
      <c r="A19" s="4" t="s">
        <v>41</v>
      </c>
      <c r="B19" s="4"/>
      <c r="C19" s="4"/>
      <c r="D19" s="4"/>
      <c r="E19" s="4"/>
    </row>
  </sheetData>
  <mergeCells count="6">
    <mergeCell ref="A1:E1"/>
    <mergeCell ref="A2:E2"/>
    <mergeCell ref="A4:E4"/>
    <mergeCell ref="A5:E5"/>
    <mergeCell ref="A18:E18"/>
    <mergeCell ref="A19:E19"/>
  </mergeCells>
  <printOptions headings="false" gridLines="false" gridLinesSet="true" horizontalCentered="false" verticalCentered="false"/>
  <pageMargins left="0.4" right="0.4" top="0.75" bottom="0.75" header="0.3" footer="0.3"/>
  <pageSetup paperSize="1" scale="100" fitToWidth="1" fitToHeight="0" pageOrder="downThenOver" orientation="landscape" blackAndWhite="false" draft="false" cellComments="none" horizontalDpi="300" verticalDpi="300" copies="1"/>
  <headerFooter differentFirst="false" differentOddEven="false">
    <oddHeader>&amp;CPractice Case A – Trainee Workbook</oddHeader>
    <oddFooter>&amp;L&amp;A&amp;RPage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true"/>
  </sheetPr>
  <dimension ref="A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6"/>
    <col collapsed="false" customWidth="true" hidden="false" outlineLevel="0" max="3" min="3" style="0" width="24"/>
    <col collapsed="false" customWidth="true" hidden="false" outlineLevel="0" max="4" min="4" style="0" width="34"/>
    <col collapsed="false" customWidth="true" hidden="false" outlineLevel="0" max="5" min="5" style="0" width="14"/>
  </cols>
  <sheetData>
    <row r="1" customFormat="false" ht="19.5" hidden="false" customHeight="true" outlineLevel="0" collapsed="false">
      <c r="A1" s="11" t="s">
        <v>42</v>
      </c>
      <c r="B1" s="12" t="s">
        <v>43</v>
      </c>
    </row>
    <row r="3" customFormat="false" ht="18" hidden="false" customHeight="true" outlineLevel="0" collapsed="false">
      <c r="A3" s="3" t="s">
        <v>44</v>
      </c>
      <c r="B3" s="3"/>
      <c r="C3" s="3" t="s">
        <v>45</v>
      </c>
      <c r="D3" s="3"/>
    </row>
    <row r="4" customFormat="false" ht="15" hidden="false" customHeight="false" outlineLevel="0" collapsed="false">
      <c r="A4" s="11" t="s">
        <v>46</v>
      </c>
      <c r="B4" s="8" t="s">
        <v>47</v>
      </c>
      <c r="C4" s="11" t="s">
        <v>48</v>
      </c>
      <c r="D4" s="13" t="n">
        <v>43557</v>
      </c>
    </row>
    <row r="5" customFormat="false" ht="15" hidden="false" customHeight="false" outlineLevel="0" collapsed="false">
      <c r="A5" s="11"/>
      <c r="B5" s="8" t="s">
        <v>49</v>
      </c>
      <c r="C5" s="11" t="s">
        <v>50</v>
      </c>
      <c r="D5" s="14" t="n">
        <v>8830215547</v>
      </c>
    </row>
    <row r="6" customFormat="false" ht="15" hidden="false" customHeight="false" outlineLevel="0" collapsed="false">
      <c r="A6" s="11"/>
      <c r="B6" s="8" t="s">
        <v>51</v>
      </c>
    </row>
    <row r="7" customFormat="false" ht="16.5" hidden="false" customHeight="true" outlineLevel="0" collapsed="false">
      <c r="A7" s="11" t="s">
        <v>52</v>
      </c>
      <c r="B7" s="8" t="s">
        <v>53</v>
      </c>
      <c r="C7" s="3" t="s">
        <v>54</v>
      </c>
      <c r="D7" s="3"/>
    </row>
    <row r="8" customFormat="false" ht="16.5" hidden="false" customHeight="true" outlineLevel="0" collapsed="false">
      <c r="A8" s="11" t="s">
        <v>55</v>
      </c>
      <c r="B8" s="13" t="n">
        <v>43538</v>
      </c>
      <c r="C8" s="11" t="s">
        <v>56</v>
      </c>
      <c r="D8" s="15" t="s">
        <v>57</v>
      </c>
    </row>
    <row r="9" customFormat="false" ht="42" hidden="false" customHeight="true" outlineLevel="0" collapsed="false">
      <c r="A9" s="11" t="s">
        <v>58</v>
      </c>
      <c r="B9" s="8" t="s">
        <v>59</v>
      </c>
      <c r="C9" s="11" t="s">
        <v>60</v>
      </c>
      <c r="D9" s="15" t="s">
        <v>61</v>
      </c>
    </row>
    <row r="10" customFormat="false" ht="29.25" hidden="false" customHeight="true" outlineLevel="0" collapsed="false">
      <c r="A10" s="11" t="s">
        <v>62</v>
      </c>
      <c r="B10" s="8" t="s">
        <v>63</v>
      </c>
    </row>
    <row r="11" customFormat="false" ht="16.5" hidden="false" customHeight="true" outlineLevel="0" collapsed="false">
      <c r="A11" s="11" t="s">
        <v>64</v>
      </c>
      <c r="B11" s="8" t="s">
        <v>65</v>
      </c>
    </row>
    <row r="12" customFormat="false" ht="16.5" hidden="false" customHeight="true" outlineLevel="0" collapsed="false">
      <c r="A12" s="11" t="s">
        <v>66</v>
      </c>
      <c r="B12" s="8" t="s">
        <v>67</v>
      </c>
    </row>
    <row r="13" customFormat="false" ht="29.25" hidden="false" customHeight="true" outlineLevel="0" collapsed="false">
      <c r="A13" s="11" t="s">
        <v>68</v>
      </c>
      <c r="B13" s="8" t="s">
        <v>69</v>
      </c>
    </row>
    <row r="14" customFormat="false" ht="29.25" hidden="false" customHeight="true" outlineLevel="0" collapsed="false">
      <c r="A14" s="11" t="s">
        <v>70</v>
      </c>
      <c r="B14" s="8" t="s">
        <v>71</v>
      </c>
    </row>
    <row r="15" customFormat="false" ht="54.75" hidden="false" customHeight="true" outlineLevel="0" collapsed="false">
      <c r="A15" s="11" t="s">
        <v>72</v>
      </c>
      <c r="B15" s="8" t="s">
        <v>73</v>
      </c>
    </row>
    <row r="16" customFormat="false" ht="29.25" hidden="false" customHeight="true" outlineLevel="0" collapsed="false">
      <c r="A16" s="11" t="s">
        <v>74</v>
      </c>
      <c r="B16" s="8" t="s">
        <v>75</v>
      </c>
    </row>
    <row r="17" customFormat="false" ht="29.25" hidden="false" customHeight="true" outlineLevel="0" collapsed="false">
      <c r="A17" s="11" t="s">
        <v>76</v>
      </c>
      <c r="B17" s="8" t="s">
        <v>77</v>
      </c>
    </row>
    <row r="18" customFormat="false" ht="16.5" hidden="false" customHeight="true" outlineLevel="0" collapsed="false">
      <c r="A18" s="11" t="s">
        <v>78</v>
      </c>
      <c r="B18" s="8" t="s">
        <v>79</v>
      </c>
    </row>
    <row r="19" customFormat="false" ht="93" hidden="false" customHeight="true" outlineLevel="0" collapsed="false">
      <c r="A19" s="11" t="s">
        <v>80</v>
      </c>
      <c r="B19" s="8" t="s">
        <v>81</v>
      </c>
    </row>
    <row r="21" customFormat="false" ht="18" hidden="false" customHeight="true" outlineLevel="0" collapsed="false">
      <c r="A21" s="3" t="s">
        <v>82</v>
      </c>
      <c r="B21" s="3"/>
      <c r="C21" s="3"/>
      <c r="D21" s="3"/>
      <c r="E21" s="3"/>
    </row>
    <row r="22" customFormat="false" ht="15" hidden="false" customHeight="false" outlineLevel="0" collapsed="false">
      <c r="A22" s="5" t="s">
        <v>12</v>
      </c>
      <c r="B22" s="5" t="s">
        <v>83</v>
      </c>
      <c r="C22" s="5" t="s">
        <v>84</v>
      </c>
      <c r="D22" s="5" t="s">
        <v>85</v>
      </c>
      <c r="E22" s="5" t="s">
        <v>86</v>
      </c>
    </row>
    <row r="23" customFormat="false" ht="15" hidden="false" customHeight="false" outlineLevel="0" collapsed="false">
      <c r="A23" s="15" t="s">
        <v>87</v>
      </c>
      <c r="B23" s="15" t="s">
        <v>88</v>
      </c>
      <c r="C23" s="15" t="s">
        <v>89</v>
      </c>
      <c r="D23" s="16" t="n">
        <v>43557</v>
      </c>
      <c r="E23" s="16"/>
    </row>
    <row r="24" customFormat="false" ht="15" hidden="false" customHeight="false" outlineLevel="0" collapsed="false">
      <c r="A24" s="15" t="s">
        <v>90</v>
      </c>
      <c r="B24" s="15" t="s">
        <v>91</v>
      </c>
      <c r="C24" s="15" t="s">
        <v>89</v>
      </c>
      <c r="D24" s="16" t="n">
        <v>42957</v>
      </c>
      <c r="E24" s="16"/>
    </row>
    <row r="26" customFormat="false" ht="16.5" hidden="false" customHeight="true" outlineLevel="0" collapsed="false">
      <c r="A26" s="11" t="s">
        <v>92</v>
      </c>
      <c r="B26" s="8" t="s">
        <v>93</v>
      </c>
      <c r="C26" s="8"/>
      <c r="D26" s="8"/>
      <c r="E26" s="8"/>
    </row>
  </sheetData>
  <mergeCells count="5">
    <mergeCell ref="A3:B3"/>
    <mergeCell ref="C3:D3"/>
    <mergeCell ref="C7:D7"/>
    <mergeCell ref="A21:E21"/>
    <mergeCell ref="B26:E26"/>
  </mergeCells>
  <printOptions headings="false" gridLines="false" gridLinesSet="true" horizontalCentered="false" verticalCentered="false"/>
  <pageMargins left="0.4" right="0.4" top="0.75" bottom="0.75" header="0.3" footer="0.3"/>
  <pageSetup paperSize="1" scale="100" fitToWidth="1" fitToHeight="0" pageOrder="downThenOver" orientation="landscape" blackAndWhite="false" draft="false" cellComments="none" horizontalDpi="300" verticalDpi="300" copies="1"/>
  <headerFooter differentFirst="false" differentOddEven="false">
    <oddHeader>&amp;CPractice Case A – Trainee Workbook</oddHeader>
    <oddFooter>&amp;L&amp;A&amp;RPage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tru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8"/>
    <col collapsed="false" customWidth="true" hidden="false" outlineLevel="0" max="4" min="4" style="0" width="30"/>
    <col collapsed="false" customWidth="true" hidden="false" outlineLevel="0" max="5" min="5" style="0" width="12"/>
    <col collapsed="false" customWidth="true" hidden="false" outlineLevel="0" max="6" min="6" style="0" width="10"/>
    <col collapsed="false" customWidth="true" hidden="false" outlineLevel="0" max="8" min="7" style="0" width="12"/>
  </cols>
  <sheetData>
    <row r="1" customFormat="false" ht="19.5" hidden="false" customHeight="true" outlineLevel="0" collapsed="false">
      <c r="A1" s="11" t="s">
        <v>42</v>
      </c>
      <c r="B1" s="11"/>
      <c r="C1" s="12" t="s">
        <v>43</v>
      </c>
    </row>
    <row r="3" customFormat="false" ht="27.75" hidden="false" customHeight="true" outlineLevel="0" collapsed="false">
      <c r="A3" s="5" t="s">
        <v>94</v>
      </c>
      <c r="B3" s="5" t="s">
        <v>95</v>
      </c>
      <c r="C3" s="5" t="s">
        <v>96</v>
      </c>
      <c r="D3" s="5" t="s">
        <v>97</v>
      </c>
      <c r="E3" s="5" t="s">
        <v>98</v>
      </c>
      <c r="F3" s="5" t="s">
        <v>84</v>
      </c>
      <c r="G3" s="5" t="s">
        <v>85</v>
      </c>
      <c r="H3" s="5" t="s">
        <v>99</v>
      </c>
    </row>
    <row r="4" customFormat="false" ht="35.05" hidden="false" customHeight="false" outlineLevel="0" collapsed="false">
      <c r="A4" s="15" t="s">
        <v>100</v>
      </c>
      <c r="B4" s="15" t="s">
        <v>88</v>
      </c>
      <c r="C4" s="17" t="s">
        <v>101</v>
      </c>
      <c r="D4" s="8" t="s">
        <v>102</v>
      </c>
      <c r="E4" s="18" t="n">
        <v>9</v>
      </c>
      <c r="F4" s="18" t="s">
        <v>89</v>
      </c>
      <c r="G4" s="16" t="n">
        <v>43557</v>
      </c>
      <c r="H4" s="16"/>
    </row>
    <row r="5" customFormat="false" ht="15" hidden="false" customHeight="false" outlineLevel="0" collapsed="false">
      <c r="A5" s="15" t="s">
        <v>100</v>
      </c>
      <c r="B5" s="15" t="s">
        <v>91</v>
      </c>
      <c r="C5" s="17" t="s">
        <v>103</v>
      </c>
      <c r="D5" s="8" t="s">
        <v>104</v>
      </c>
      <c r="E5" s="18" t="n">
        <v>1</v>
      </c>
      <c r="F5" s="18" t="s">
        <v>89</v>
      </c>
      <c r="G5" s="16" t="n">
        <v>42957</v>
      </c>
      <c r="H5" s="16"/>
    </row>
  </sheetData>
  <mergeCells count="1">
    <mergeCell ref="A1:B1"/>
  </mergeCells>
  <printOptions headings="false" gridLines="false" gridLinesSet="true" horizontalCentered="false" verticalCentered="false"/>
  <pageMargins left="0.4" right="0.4" top="0.75" bottom="0.75" header="0.3" footer="0.3"/>
  <pageSetup paperSize="1" scale="100" fitToWidth="1" fitToHeight="0" pageOrder="downThenOver" orientation="landscape" blackAndWhite="false" draft="false" cellComments="none" horizontalDpi="300" verticalDpi="300" copies="1"/>
  <headerFooter differentFirst="false" differentOddEven="false">
    <oddHeader>&amp;CPractice Case A – Trainee Workbook</oddHeader>
    <oddFooter>&amp;L&amp;A&amp;RPage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tru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8"/>
    <col collapsed="false" customWidth="true" hidden="false" outlineLevel="0" max="4" min="4" style="0" width="16"/>
    <col collapsed="false" customWidth="true" hidden="false" outlineLevel="0" max="5" min="5" style="0" width="7"/>
    <col collapsed="false" customWidth="true" hidden="false" outlineLevel="0" max="6" min="6" style="0" width="18"/>
  </cols>
  <sheetData>
    <row r="1" customFormat="false" ht="15" hidden="false" customHeight="false" outlineLevel="0" collapsed="false">
      <c r="A1" s="11" t="s">
        <v>105</v>
      </c>
      <c r="B1" s="19" t="n">
        <v>46281</v>
      </c>
    </row>
    <row r="2" customFormat="false" ht="15" hidden="false" customHeight="false" outlineLevel="0" collapsed="false">
      <c r="A2" s="11" t="s">
        <v>106</v>
      </c>
      <c r="B2" s="20" t="s">
        <v>107</v>
      </c>
      <c r="C2" s="20"/>
    </row>
    <row r="3" customFormat="false" ht="15" hidden="false" customHeight="false" outlineLevel="0" collapsed="false">
      <c r="A3" s="5" t="s">
        <v>108</v>
      </c>
      <c r="B3" s="5" t="s">
        <v>109</v>
      </c>
      <c r="C3" s="5" t="s">
        <v>94</v>
      </c>
      <c r="D3" s="5" t="s">
        <v>110</v>
      </c>
      <c r="E3" s="5" t="s">
        <v>111</v>
      </c>
      <c r="F3" s="5" t="s">
        <v>83</v>
      </c>
    </row>
    <row r="4" customFormat="false" ht="15" hidden="false" customHeight="false" outlineLevel="0" collapsed="false">
      <c r="A4" s="15" t="s">
        <v>112</v>
      </c>
      <c r="B4" s="16" t="n">
        <v>46181</v>
      </c>
      <c r="C4" s="17" t="s">
        <v>101</v>
      </c>
      <c r="D4" s="21" t="n">
        <v>9800</v>
      </c>
      <c r="E4" s="18" t="s">
        <v>113</v>
      </c>
      <c r="F4" s="15" t="s">
        <v>114</v>
      </c>
    </row>
    <row r="5" customFormat="false" ht="15" hidden="false" customHeight="false" outlineLevel="0" collapsed="false">
      <c r="A5" s="15" t="s">
        <v>115</v>
      </c>
      <c r="B5" s="16" t="n">
        <v>46181</v>
      </c>
      <c r="C5" s="17" t="s">
        <v>101</v>
      </c>
      <c r="D5" s="21" t="n">
        <v>8600</v>
      </c>
      <c r="E5" s="18" t="s">
        <v>113</v>
      </c>
      <c r="F5" s="15" t="s">
        <v>114</v>
      </c>
    </row>
    <row r="6" customFormat="false" ht="15" hidden="false" customHeight="false" outlineLevel="0" collapsed="false">
      <c r="A6" s="15" t="s">
        <v>116</v>
      </c>
      <c r="B6" s="16" t="n">
        <v>46188</v>
      </c>
      <c r="C6" s="17" t="s">
        <v>101</v>
      </c>
      <c r="D6" s="21" t="n">
        <v>-19782.15</v>
      </c>
      <c r="E6" s="18" t="s">
        <v>117</v>
      </c>
      <c r="F6" s="15" t="s">
        <v>118</v>
      </c>
    </row>
    <row r="7" customFormat="false" ht="15" hidden="false" customHeight="false" outlineLevel="0" collapsed="false">
      <c r="A7" s="15" t="s">
        <v>119</v>
      </c>
      <c r="B7" s="16" t="n">
        <v>46204</v>
      </c>
      <c r="C7" s="17" t="s">
        <v>101</v>
      </c>
      <c r="D7" s="21" t="n">
        <v>8850</v>
      </c>
      <c r="E7" s="18" t="s">
        <v>113</v>
      </c>
      <c r="F7" s="15" t="s">
        <v>114</v>
      </c>
    </row>
    <row r="8" customFormat="false" ht="15" hidden="false" customHeight="false" outlineLevel="0" collapsed="false">
      <c r="A8" s="15" t="s">
        <v>112</v>
      </c>
      <c r="B8" s="16" t="n">
        <v>46209</v>
      </c>
      <c r="C8" s="17" t="s">
        <v>101</v>
      </c>
      <c r="D8" s="21" t="n">
        <v>9950</v>
      </c>
      <c r="E8" s="18" t="s">
        <v>113</v>
      </c>
      <c r="F8" s="15" t="s">
        <v>114</v>
      </c>
    </row>
    <row r="9" customFormat="false" ht="15" hidden="false" customHeight="false" outlineLevel="0" collapsed="false">
      <c r="A9" s="15" t="s">
        <v>120</v>
      </c>
      <c r="B9" s="16" t="n">
        <v>46218</v>
      </c>
      <c r="C9" s="17" t="s">
        <v>101</v>
      </c>
      <c r="D9" s="21" t="n">
        <v>-27835.6</v>
      </c>
      <c r="E9" s="18" t="s">
        <v>117</v>
      </c>
      <c r="F9" s="15" t="s">
        <v>118</v>
      </c>
    </row>
    <row r="10" customFormat="false" ht="15" hidden="false" customHeight="false" outlineLevel="0" collapsed="false">
      <c r="A10" s="15" t="s">
        <v>112</v>
      </c>
      <c r="B10" s="16" t="n">
        <v>46230</v>
      </c>
      <c r="C10" s="17" t="s">
        <v>101</v>
      </c>
      <c r="D10" s="21" t="n">
        <v>9700</v>
      </c>
      <c r="E10" s="18" t="s">
        <v>113</v>
      </c>
      <c r="F10" s="15" t="s">
        <v>114</v>
      </c>
    </row>
    <row r="11" customFormat="false" ht="15" hidden="false" customHeight="false" outlineLevel="0" collapsed="false">
      <c r="A11" s="15" t="s">
        <v>121</v>
      </c>
      <c r="B11" s="16" t="n">
        <v>46230</v>
      </c>
      <c r="C11" s="17" t="s">
        <v>103</v>
      </c>
      <c r="D11" s="21" t="n">
        <v>9200</v>
      </c>
      <c r="E11" s="18" t="s">
        <v>113</v>
      </c>
      <c r="F11" s="15" t="s">
        <v>114</v>
      </c>
    </row>
    <row r="12" customFormat="false" ht="15" hidden="false" customHeight="false" outlineLevel="0" collapsed="false">
      <c r="A12" s="15" t="s">
        <v>112</v>
      </c>
      <c r="B12" s="16" t="n">
        <v>46245</v>
      </c>
      <c r="C12" s="17" t="s">
        <v>101</v>
      </c>
      <c r="D12" s="21" t="n">
        <v>9300</v>
      </c>
      <c r="E12" s="18" t="s">
        <v>113</v>
      </c>
      <c r="F12" s="15" t="s">
        <v>114</v>
      </c>
    </row>
    <row r="13" customFormat="false" ht="15" hidden="false" customHeight="false" outlineLevel="0" collapsed="false">
      <c r="A13" s="15" t="s">
        <v>122</v>
      </c>
      <c r="B13" s="16" t="n">
        <v>46248</v>
      </c>
      <c r="C13" s="17" t="s">
        <v>101</v>
      </c>
      <c r="D13" s="21" t="n">
        <v>-26410.3</v>
      </c>
      <c r="E13" s="18" t="s">
        <v>117</v>
      </c>
      <c r="F13" s="15" t="s">
        <v>118</v>
      </c>
    </row>
  </sheetData>
  <autoFilter ref="A3:F13"/>
  <mergeCells count="1">
    <mergeCell ref="B2:C2"/>
  </mergeCells>
  <printOptions headings="false" gridLines="false" gridLinesSet="true" horizontalCentered="false" verticalCentered="false"/>
  <pageMargins left="0.4" right="0.4" top="0.75" bottom="0.75" header="0.3" footer="0.3"/>
  <pageSetup paperSize="1" scale="100" fitToWidth="1" fitToHeight="0" pageOrder="downThenOver" orientation="landscape" blackAndWhite="false" draft="false" cellComments="none" horizontalDpi="300" verticalDpi="300" copies="1"/>
  <headerFooter differentFirst="false" differentOddEven="false">
    <oddHeader>&amp;CPractice Case A – Trainee Workbook</oddHeader>
    <oddFooter>&amp;L&amp;A&amp;RPage &amp;P of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true"/>
  </sheetPr>
  <dimension ref="A1:AB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6"/>
    <col collapsed="false" customWidth="true" hidden="false" outlineLevel="0" max="4" min="4" style="0" width="16"/>
    <col collapsed="false" customWidth="true" hidden="false" outlineLevel="0" max="5" min="5" style="0" width="12"/>
    <col collapsed="false" customWidth="true" hidden="false" outlineLevel="0" max="7" min="6" style="0" width="14"/>
    <col collapsed="false" customWidth="true" hidden="false" outlineLevel="0" max="8" min="8" style="0" width="16"/>
    <col collapsed="false" customWidth="true" hidden="false" outlineLevel="0" max="9" min="9" style="0" width="6"/>
    <col collapsed="false" customWidth="true" hidden="false" outlineLevel="0" max="10" min="10" style="0" width="11"/>
    <col collapsed="false" customWidth="true" hidden="false" outlineLevel="0" max="11" min="11" style="0" width="38"/>
    <col collapsed="false" customWidth="true" hidden="false" outlineLevel="0" max="12" min="12" style="0" width="20"/>
    <col collapsed="false" customWidth="true" hidden="false" outlineLevel="0" max="13" min="13" style="0" width="10"/>
    <col collapsed="false" customWidth="true" hidden="false" outlineLevel="0" max="14" min="14" style="0" width="15"/>
    <col collapsed="false" customWidth="true" hidden="false" outlineLevel="0" max="15" min="15" style="0" width="7"/>
    <col collapsed="false" customWidth="true" hidden="false" outlineLevel="0" max="16" min="16" style="0" width="8"/>
    <col collapsed="false" customWidth="true" hidden="false" outlineLevel="0" max="17" min="17" style="0" width="14"/>
    <col collapsed="false" customWidth="true" hidden="false" outlineLevel="0" max="18" min="18" style="0" width="11"/>
    <col collapsed="false" customWidth="true" hidden="false" outlineLevel="0" max="19" min="19" style="0" width="13"/>
    <col collapsed="false" customWidth="true" hidden="false" outlineLevel="0" max="20" min="20" style="0" width="11"/>
    <col collapsed="false" customWidth="true" hidden="false" outlineLevel="0" max="21" min="21" style="0" width="12"/>
    <col collapsed="false" customWidth="true" hidden="false" outlineLevel="0" max="23" min="22" style="0" width="24"/>
    <col collapsed="false" customWidth="true" hidden="false" outlineLevel="0" max="24" min="24" style="0" width="20"/>
    <col collapsed="false" customWidth="true" hidden="false" outlineLevel="0" max="26" min="25" style="0" width="24"/>
    <col collapsed="false" customWidth="true" hidden="false" outlineLevel="0" max="27" min="27" style="0" width="20"/>
    <col collapsed="false" customWidth="true" hidden="false" outlineLevel="0" max="28" min="28" style="0" width="34"/>
  </cols>
  <sheetData>
    <row r="1" customFormat="false" ht="30" hidden="false" customHeight="true" outlineLevel="0" collapsed="false">
      <c r="A1" s="5" t="s">
        <v>123</v>
      </c>
      <c r="B1" s="5" t="s">
        <v>94</v>
      </c>
      <c r="C1" s="5" t="s">
        <v>124</v>
      </c>
      <c r="D1" s="5" t="s">
        <v>125</v>
      </c>
      <c r="E1" s="5" t="s">
        <v>109</v>
      </c>
      <c r="F1" s="5" t="s">
        <v>126</v>
      </c>
      <c r="G1" s="5" t="s">
        <v>127</v>
      </c>
      <c r="H1" s="5" t="s">
        <v>83</v>
      </c>
      <c r="I1" s="5" t="s">
        <v>111</v>
      </c>
      <c r="J1" s="5" t="s">
        <v>128</v>
      </c>
      <c r="K1" s="5" t="s">
        <v>129</v>
      </c>
      <c r="L1" s="5" t="s">
        <v>130</v>
      </c>
      <c r="M1" s="5" t="s">
        <v>131</v>
      </c>
      <c r="N1" s="5" t="s">
        <v>132</v>
      </c>
      <c r="O1" s="5" t="s">
        <v>133</v>
      </c>
      <c r="P1" s="5" t="s">
        <v>134</v>
      </c>
      <c r="Q1" s="5" t="s">
        <v>135</v>
      </c>
      <c r="R1" s="5" t="s">
        <v>136</v>
      </c>
      <c r="S1" s="5" t="s">
        <v>137</v>
      </c>
      <c r="T1" s="5" t="s">
        <v>138</v>
      </c>
      <c r="U1" s="5" t="s">
        <v>139</v>
      </c>
      <c r="V1" s="5" t="s">
        <v>140</v>
      </c>
      <c r="W1" s="5" t="s">
        <v>141</v>
      </c>
      <c r="X1" s="5" t="s">
        <v>142</v>
      </c>
      <c r="Y1" s="5" t="s">
        <v>143</v>
      </c>
      <c r="Z1" s="5" t="s">
        <v>144</v>
      </c>
      <c r="AA1" s="5" t="s">
        <v>145</v>
      </c>
      <c r="AB1" s="5" t="s">
        <v>146</v>
      </c>
    </row>
    <row r="2" customFormat="false" ht="23.85" hidden="false" customHeight="false" outlineLevel="0" collapsed="false">
      <c r="A2" s="15" t="s">
        <v>43</v>
      </c>
      <c r="B2" s="17" t="s">
        <v>101</v>
      </c>
      <c r="C2" s="18" t="s">
        <v>147</v>
      </c>
      <c r="D2" s="22" t="n">
        <f aca="false">21486.37+F2-G2</f>
        <v>16636.37</v>
      </c>
      <c r="E2" s="16" t="n">
        <v>46143</v>
      </c>
      <c r="F2" s="23" t="n">
        <v>0</v>
      </c>
      <c r="G2" s="23" t="n">
        <v>4850</v>
      </c>
      <c r="H2" s="15" t="s">
        <v>148</v>
      </c>
      <c r="I2" s="18" t="s">
        <v>117</v>
      </c>
      <c r="J2" s="18" t="s">
        <v>149</v>
      </c>
      <c r="K2" s="8" t="s">
        <v>150</v>
      </c>
      <c r="L2" s="17"/>
      <c r="M2" s="17"/>
      <c r="N2" s="15"/>
      <c r="O2" s="18"/>
      <c r="P2" s="17"/>
      <c r="Q2" s="15"/>
      <c r="R2" s="15"/>
      <c r="S2" s="15"/>
      <c r="T2" s="24" t="n">
        <v>0.229166666666667</v>
      </c>
      <c r="U2" s="16" t="n">
        <v>46143</v>
      </c>
      <c r="V2" s="15" t="s">
        <v>43</v>
      </c>
      <c r="W2" s="15" t="s">
        <v>151</v>
      </c>
      <c r="X2" s="17" t="s">
        <v>101</v>
      </c>
      <c r="Y2" s="15" t="s">
        <v>152</v>
      </c>
      <c r="Z2" s="15" t="s">
        <v>153</v>
      </c>
      <c r="AA2" s="17" t="s">
        <v>154</v>
      </c>
      <c r="AB2" s="8"/>
    </row>
    <row r="3" customFormat="false" ht="23.85" hidden="false" customHeight="false" outlineLevel="0" collapsed="false">
      <c r="A3" s="25" t="s">
        <v>43</v>
      </c>
      <c r="B3" s="26" t="s">
        <v>101</v>
      </c>
      <c r="C3" s="27" t="s">
        <v>147</v>
      </c>
      <c r="D3" s="28" t="n">
        <f aca="false">D2+F3-G3</f>
        <v>22050.74</v>
      </c>
      <c r="E3" s="29" t="n">
        <v>46146</v>
      </c>
      <c r="F3" s="30" t="n">
        <v>5414.37</v>
      </c>
      <c r="G3" s="30" t="n">
        <v>0</v>
      </c>
      <c r="H3" s="25" t="s">
        <v>155</v>
      </c>
      <c r="I3" s="27" t="s">
        <v>113</v>
      </c>
      <c r="J3" s="27" t="s">
        <v>149</v>
      </c>
      <c r="K3" s="31" t="s">
        <v>156</v>
      </c>
      <c r="L3" s="26"/>
      <c r="M3" s="26"/>
      <c r="N3" s="25"/>
      <c r="O3" s="27"/>
      <c r="P3" s="26"/>
      <c r="Q3" s="25"/>
      <c r="R3" s="25"/>
      <c r="S3" s="25"/>
      <c r="T3" s="32" t="n">
        <v>0.177083333333333</v>
      </c>
      <c r="U3" s="29" t="n">
        <v>46146</v>
      </c>
      <c r="V3" s="25" t="s">
        <v>157</v>
      </c>
      <c r="W3" s="25" t="s">
        <v>153</v>
      </c>
      <c r="X3" s="26" t="s">
        <v>158</v>
      </c>
      <c r="Y3" s="25" t="s">
        <v>43</v>
      </c>
      <c r="Z3" s="25" t="s">
        <v>151</v>
      </c>
      <c r="AA3" s="26" t="s">
        <v>101</v>
      </c>
      <c r="AB3" s="31"/>
    </row>
    <row r="4" customFormat="false" ht="35.05" hidden="false" customHeight="false" outlineLevel="0" collapsed="false">
      <c r="A4" s="15" t="s">
        <v>43</v>
      </c>
      <c r="B4" s="17" t="s">
        <v>101</v>
      </c>
      <c r="C4" s="18" t="s">
        <v>147</v>
      </c>
      <c r="D4" s="22" t="n">
        <f aca="false">D3+F4-G4</f>
        <v>33290.74</v>
      </c>
      <c r="E4" s="16" t="n">
        <v>46147</v>
      </c>
      <c r="F4" s="23" t="n">
        <v>11240</v>
      </c>
      <c r="G4" s="23" t="n">
        <v>0</v>
      </c>
      <c r="H4" s="15" t="s">
        <v>114</v>
      </c>
      <c r="I4" s="18" t="s">
        <v>113</v>
      </c>
      <c r="J4" s="18" t="s">
        <v>149</v>
      </c>
      <c r="K4" s="8" t="s">
        <v>159</v>
      </c>
      <c r="L4" s="17"/>
      <c r="M4" s="17"/>
      <c r="N4" s="15" t="s">
        <v>160</v>
      </c>
      <c r="O4" s="18" t="s">
        <v>161</v>
      </c>
      <c r="P4" s="17" t="s">
        <v>162</v>
      </c>
      <c r="Q4" s="15" t="s">
        <v>163</v>
      </c>
      <c r="R4" s="15" t="s">
        <v>164</v>
      </c>
      <c r="S4" s="15"/>
      <c r="T4" s="24" t="n">
        <v>0.45</v>
      </c>
      <c r="U4" s="16" t="n">
        <v>46147</v>
      </c>
      <c r="V4" s="15" t="s">
        <v>104</v>
      </c>
      <c r="W4" s="15"/>
      <c r="X4" s="17"/>
      <c r="Y4" s="15" t="s">
        <v>43</v>
      </c>
      <c r="Z4" s="15" t="s">
        <v>151</v>
      </c>
      <c r="AA4" s="17" t="s">
        <v>101</v>
      </c>
      <c r="AB4" s="8" t="s">
        <v>165</v>
      </c>
    </row>
    <row r="5" customFormat="false" ht="23.85" hidden="false" customHeight="false" outlineLevel="0" collapsed="false">
      <c r="A5" s="25" t="s">
        <v>43</v>
      </c>
      <c r="B5" s="26" t="s">
        <v>101</v>
      </c>
      <c r="C5" s="27" t="s">
        <v>147</v>
      </c>
      <c r="D5" s="28" t="n">
        <f aca="false">D4+F5-G5</f>
        <v>34555.42</v>
      </c>
      <c r="E5" s="29" t="n">
        <v>46149</v>
      </c>
      <c r="F5" s="30" t="n">
        <v>1264.68</v>
      </c>
      <c r="G5" s="30" t="n">
        <v>0</v>
      </c>
      <c r="H5" s="25" t="s">
        <v>114</v>
      </c>
      <c r="I5" s="27" t="s">
        <v>113</v>
      </c>
      <c r="J5" s="27" t="s">
        <v>149</v>
      </c>
      <c r="K5" s="31" t="s">
        <v>166</v>
      </c>
      <c r="L5" s="26"/>
      <c r="M5" s="26"/>
      <c r="N5" s="25" t="s">
        <v>160</v>
      </c>
      <c r="O5" s="27" t="s">
        <v>161</v>
      </c>
      <c r="P5" s="26" t="s">
        <v>162</v>
      </c>
      <c r="Q5" s="25" t="s">
        <v>163</v>
      </c>
      <c r="R5" s="25" t="s">
        <v>167</v>
      </c>
      <c r="S5" s="25"/>
      <c r="T5" s="32" t="n">
        <v>0.295138888888889</v>
      </c>
      <c r="U5" s="29" t="n">
        <v>46149</v>
      </c>
      <c r="V5" s="25" t="s">
        <v>43</v>
      </c>
      <c r="W5" s="25"/>
      <c r="X5" s="26"/>
      <c r="Y5" s="25" t="s">
        <v>43</v>
      </c>
      <c r="Z5" s="25" t="s">
        <v>151</v>
      </c>
      <c r="AA5" s="26" t="s">
        <v>101</v>
      </c>
      <c r="AB5" s="31" t="s">
        <v>168</v>
      </c>
    </row>
    <row r="6" customFormat="false" ht="23.85" hidden="false" customHeight="false" outlineLevel="0" collapsed="false">
      <c r="A6" s="15" t="s">
        <v>43</v>
      </c>
      <c r="B6" s="17" t="s">
        <v>101</v>
      </c>
      <c r="C6" s="18" t="s">
        <v>147</v>
      </c>
      <c r="D6" s="22" t="n">
        <f aca="false">D5+F6-G6</f>
        <v>29383.38</v>
      </c>
      <c r="E6" s="16" t="n">
        <v>46150</v>
      </c>
      <c r="F6" s="23" t="n">
        <v>0</v>
      </c>
      <c r="G6" s="23" t="n">
        <v>5172.04</v>
      </c>
      <c r="H6" s="15" t="s">
        <v>148</v>
      </c>
      <c r="I6" s="18" t="s">
        <v>117</v>
      </c>
      <c r="J6" s="18" t="s">
        <v>149</v>
      </c>
      <c r="K6" s="8" t="s">
        <v>169</v>
      </c>
      <c r="L6" s="17"/>
      <c r="M6" s="17"/>
      <c r="N6" s="15"/>
      <c r="O6" s="18"/>
      <c r="P6" s="17"/>
      <c r="Q6" s="15"/>
      <c r="R6" s="15"/>
      <c r="S6" s="15"/>
      <c r="T6" s="24" t="n">
        <v>0.229166666666667</v>
      </c>
      <c r="U6" s="16" t="n">
        <v>46150</v>
      </c>
      <c r="V6" s="15" t="s">
        <v>43</v>
      </c>
      <c r="W6" s="15" t="s">
        <v>151</v>
      </c>
      <c r="X6" s="17" t="s">
        <v>101</v>
      </c>
      <c r="Y6" s="15" t="s">
        <v>170</v>
      </c>
      <c r="Z6" s="15" t="s">
        <v>153</v>
      </c>
      <c r="AA6" s="17" t="s">
        <v>171</v>
      </c>
      <c r="AB6" s="8"/>
    </row>
    <row r="7" customFormat="false" ht="23.85" hidden="false" customHeight="false" outlineLevel="0" collapsed="false">
      <c r="A7" s="25" t="s">
        <v>43</v>
      </c>
      <c r="B7" s="26" t="s">
        <v>101</v>
      </c>
      <c r="C7" s="27" t="s">
        <v>147</v>
      </c>
      <c r="D7" s="28" t="n">
        <f aca="false">D6+F7-G7</f>
        <v>34808.77</v>
      </c>
      <c r="E7" s="29" t="n">
        <v>46153</v>
      </c>
      <c r="F7" s="30" t="n">
        <v>5425.39</v>
      </c>
      <c r="G7" s="30" t="n">
        <v>0</v>
      </c>
      <c r="H7" s="25" t="s">
        <v>155</v>
      </c>
      <c r="I7" s="27" t="s">
        <v>113</v>
      </c>
      <c r="J7" s="27" t="s">
        <v>149</v>
      </c>
      <c r="K7" s="31" t="s">
        <v>172</v>
      </c>
      <c r="L7" s="26"/>
      <c r="M7" s="26"/>
      <c r="N7" s="25"/>
      <c r="O7" s="27"/>
      <c r="P7" s="26"/>
      <c r="Q7" s="25"/>
      <c r="R7" s="25"/>
      <c r="S7" s="25"/>
      <c r="T7" s="32" t="n">
        <v>0.177083333333333</v>
      </c>
      <c r="U7" s="29" t="n">
        <v>46153</v>
      </c>
      <c r="V7" s="25" t="s">
        <v>157</v>
      </c>
      <c r="W7" s="25" t="s">
        <v>153</v>
      </c>
      <c r="X7" s="26" t="s">
        <v>158</v>
      </c>
      <c r="Y7" s="25" t="s">
        <v>43</v>
      </c>
      <c r="Z7" s="25" t="s">
        <v>151</v>
      </c>
      <c r="AA7" s="26" t="s">
        <v>101</v>
      </c>
      <c r="AB7" s="31"/>
    </row>
    <row r="8" customFormat="false" ht="23.85" hidden="false" customHeight="false" outlineLevel="0" collapsed="false">
      <c r="A8" s="15" t="s">
        <v>43</v>
      </c>
      <c r="B8" s="17" t="s">
        <v>101</v>
      </c>
      <c r="C8" s="18" t="s">
        <v>147</v>
      </c>
      <c r="D8" s="22" t="n">
        <f aca="false">D7+F8-G8</f>
        <v>31921.93</v>
      </c>
      <c r="E8" s="16" t="n">
        <v>46155</v>
      </c>
      <c r="F8" s="23" t="n">
        <v>0</v>
      </c>
      <c r="G8" s="23" t="n">
        <v>2886.84</v>
      </c>
      <c r="H8" s="15" t="s">
        <v>148</v>
      </c>
      <c r="I8" s="18" t="s">
        <v>117</v>
      </c>
      <c r="J8" s="18" t="s">
        <v>149</v>
      </c>
      <c r="K8" s="8" t="s">
        <v>173</v>
      </c>
      <c r="L8" s="17"/>
      <c r="M8" s="17"/>
      <c r="N8" s="15"/>
      <c r="O8" s="18"/>
      <c r="P8" s="17"/>
      <c r="Q8" s="15"/>
      <c r="R8" s="15"/>
      <c r="S8" s="15"/>
      <c r="T8" s="24" t="n">
        <v>0.229166666666667</v>
      </c>
      <c r="U8" s="16" t="n">
        <v>46155</v>
      </c>
      <c r="V8" s="15" t="s">
        <v>43</v>
      </c>
      <c r="W8" s="15" t="s">
        <v>151</v>
      </c>
      <c r="X8" s="17" t="s">
        <v>101</v>
      </c>
      <c r="Y8" s="15" t="s">
        <v>174</v>
      </c>
      <c r="Z8" s="15" t="s">
        <v>175</v>
      </c>
      <c r="AA8" s="17" t="s">
        <v>176</v>
      </c>
      <c r="AB8" s="8"/>
    </row>
    <row r="9" customFormat="false" ht="23.85" hidden="false" customHeight="false" outlineLevel="0" collapsed="false">
      <c r="A9" s="25" t="s">
        <v>43</v>
      </c>
      <c r="B9" s="26" t="s">
        <v>101</v>
      </c>
      <c r="C9" s="27" t="s">
        <v>147</v>
      </c>
      <c r="D9" s="28" t="n">
        <f aca="false">D8+F9-G9</f>
        <v>30706.93</v>
      </c>
      <c r="E9" s="29" t="n">
        <v>46156</v>
      </c>
      <c r="F9" s="30" t="n">
        <v>0</v>
      </c>
      <c r="G9" s="30" t="n">
        <v>1215</v>
      </c>
      <c r="H9" s="25" t="s">
        <v>177</v>
      </c>
      <c r="I9" s="27" t="s">
        <v>117</v>
      </c>
      <c r="J9" s="27" t="s">
        <v>149</v>
      </c>
      <c r="K9" s="31" t="s">
        <v>178</v>
      </c>
      <c r="L9" s="26"/>
      <c r="M9" s="26" t="s">
        <v>179</v>
      </c>
      <c r="N9" s="25"/>
      <c r="O9" s="27"/>
      <c r="P9" s="26"/>
      <c r="Q9" s="25"/>
      <c r="R9" s="25"/>
      <c r="S9" s="25"/>
      <c r="T9" s="32" t="n">
        <v>0.256944444444444</v>
      </c>
      <c r="U9" s="29" t="n">
        <v>46156</v>
      </c>
      <c r="V9" s="25" t="s">
        <v>43</v>
      </c>
      <c r="W9" s="25" t="s">
        <v>151</v>
      </c>
      <c r="X9" s="26" t="s">
        <v>101</v>
      </c>
      <c r="Y9" s="25" t="s">
        <v>152</v>
      </c>
      <c r="Z9" s="25" t="s">
        <v>153</v>
      </c>
      <c r="AA9" s="26" t="s">
        <v>154</v>
      </c>
      <c r="AB9" s="31" t="s">
        <v>180</v>
      </c>
    </row>
    <row r="10" customFormat="false" ht="23.85" hidden="false" customHeight="false" outlineLevel="0" collapsed="false">
      <c r="A10" s="15" t="s">
        <v>43</v>
      </c>
      <c r="B10" s="17" t="s">
        <v>101</v>
      </c>
      <c r="C10" s="18" t="s">
        <v>147</v>
      </c>
      <c r="D10" s="22" t="n">
        <f aca="false">D9+F10-G10</f>
        <v>27456.93</v>
      </c>
      <c r="E10" s="16" t="n">
        <v>46157</v>
      </c>
      <c r="F10" s="23" t="n">
        <v>0</v>
      </c>
      <c r="G10" s="23" t="n">
        <v>3250</v>
      </c>
      <c r="H10" s="15" t="s">
        <v>181</v>
      </c>
      <c r="I10" s="18" t="s">
        <v>117</v>
      </c>
      <c r="J10" s="18" t="s">
        <v>149</v>
      </c>
      <c r="K10" s="8" t="s">
        <v>182</v>
      </c>
      <c r="L10" s="17"/>
      <c r="M10" s="17"/>
      <c r="N10" s="15"/>
      <c r="O10" s="18"/>
      <c r="P10" s="17"/>
      <c r="Q10" s="15" t="s">
        <v>183</v>
      </c>
      <c r="R10" s="15"/>
      <c r="S10" s="15"/>
      <c r="T10" s="24" t="n">
        <v>0.341666666666667</v>
      </c>
      <c r="U10" s="16" t="n">
        <v>46157</v>
      </c>
      <c r="V10" s="15" t="s">
        <v>43</v>
      </c>
      <c r="W10" s="15" t="s">
        <v>151</v>
      </c>
      <c r="X10" s="17" t="s">
        <v>101</v>
      </c>
      <c r="Y10" s="15" t="s">
        <v>104</v>
      </c>
      <c r="Z10" s="15" t="s">
        <v>151</v>
      </c>
      <c r="AA10" s="17" t="s">
        <v>103</v>
      </c>
      <c r="AB10" s="8"/>
    </row>
    <row r="11" customFormat="false" ht="23.85" hidden="false" customHeight="false" outlineLevel="0" collapsed="false">
      <c r="A11" s="25" t="s">
        <v>43</v>
      </c>
      <c r="B11" s="26" t="s">
        <v>101</v>
      </c>
      <c r="C11" s="27" t="s">
        <v>147</v>
      </c>
      <c r="D11" s="28" t="n">
        <f aca="false">D10+F11-G11</f>
        <v>33025.06</v>
      </c>
      <c r="E11" s="29" t="n">
        <v>46160</v>
      </c>
      <c r="F11" s="30" t="n">
        <v>5568.13</v>
      </c>
      <c r="G11" s="30" t="n">
        <v>0</v>
      </c>
      <c r="H11" s="25" t="s">
        <v>155</v>
      </c>
      <c r="I11" s="27" t="s">
        <v>113</v>
      </c>
      <c r="J11" s="27" t="s">
        <v>149</v>
      </c>
      <c r="K11" s="31" t="s">
        <v>184</v>
      </c>
      <c r="L11" s="26"/>
      <c r="M11" s="26"/>
      <c r="N11" s="25"/>
      <c r="O11" s="27"/>
      <c r="P11" s="26"/>
      <c r="Q11" s="25"/>
      <c r="R11" s="25"/>
      <c r="S11" s="25"/>
      <c r="T11" s="32" t="n">
        <v>0.177083333333333</v>
      </c>
      <c r="U11" s="29" t="n">
        <v>46160</v>
      </c>
      <c r="V11" s="25" t="s">
        <v>157</v>
      </c>
      <c r="W11" s="25" t="s">
        <v>153</v>
      </c>
      <c r="X11" s="26" t="s">
        <v>158</v>
      </c>
      <c r="Y11" s="25" t="s">
        <v>43</v>
      </c>
      <c r="Z11" s="25" t="s">
        <v>151</v>
      </c>
      <c r="AA11" s="26" t="s">
        <v>101</v>
      </c>
      <c r="AB11" s="31"/>
    </row>
    <row r="12" customFormat="false" ht="23.85" hidden="false" customHeight="false" outlineLevel="0" collapsed="false">
      <c r="A12" s="15" t="s">
        <v>43</v>
      </c>
      <c r="B12" s="17" t="s">
        <v>101</v>
      </c>
      <c r="C12" s="18" t="s">
        <v>147</v>
      </c>
      <c r="D12" s="22" t="n">
        <f aca="false">D11+F12-G12</f>
        <v>32446.2</v>
      </c>
      <c r="E12" s="16" t="n">
        <v>46160</v>
      </c>
      <c r="F12" s="23" t="n">
        <v>0</v>
      </c>
      <c r="G12" s="23" t="n">
        <v>578.86</v>
      </c>
      <c r="H12" s="15" t="s">
        <v>148</v>
      </c>
      <c r="I12" s="18" t="s">
        <v>117</v>
      </c>
      <c r="J12" s="18" t="s">
        <v>149</v>
      </c>
      <c r="K12" s="8" t="s">
        <v>185</v>
      </c>
      <c r="L12" s="17"/>
      <c r="M12" s="17"/>
      <c r="N12" s="15"/>
      <c r="O12" s="18"/>
      <c r="P12" s="17"/>
      <c r="Q12" s="15"/>
      <c r="R12" s="15"/>
      <c r="S12" s="15"/>
      <c r="T12" s="24" t="n">
        <v>0.229166666666667</v>
      </c>
      <c r="U12" s="16" t="n">
        <v>46160</v>
      </c>
      <c r="V12" s="15" t="s">
        <v>43</v>
      </c>
      <c r="W12" s="15" t="s">
        <v>151</v>
      </c>
      <c r="X12" s="17" t="s">
        <v>101</v>
      </c>
      <c r="Y12" s="15" t="s">
        <v>186</v>
      </c>
      <c r="Z12" s="15" t="s">
        <v>153</v>
      </c>
      <c r="AA12" s="17" t="s">
        <v>187</v>
      </c>
      <c r="AB12" s="8"/>
    </row>
    <row r="13" customFormat="false" ht="23.85" hidden="false" customHeight="false" outlineLevel="0" collapsed="false">
      <c r="A13" s="25" t="s">
        <v>43</v>
      </c>
      <c r="B13" s="26" t="s">
        <v>101</v>
      </c>
      <c r="C13" s="27" t="s">
        <v>147</v>
      </c>
      <c r="D13" s="28" t="n">
        <f aca="false">D12+F13-G13</f>
        <v>41846.2</v>
      </c>
      <c r="E13" s="29" t="n">
        <v>46161</v>
      </c>
      <c r="F13" s="30" t="n">
        <v>9400</v>
      </c>
      <c r="G13" s="30" t="n">
        <v>0</v>
      </c>
      <c r="H13" s="25" t="s">
        <v>114</v>
      </c>
      <c r="I13" s="27" t="s">
        <v>113</v>
      </c>
      <c r="J13" s="27" t="s">
        <v>149</v>
      </c>
      <c r="K13" s="31" t="s">
        <v>159</v>
      </c>
      <c r="L13" s="26"/>
      <c r="M13" s="26"/>
      <c r="N13" s="25" t="s">
        <v>160</v>
      </c>
      <c r="O13" s="27" t="s">
        <v>161</v>
      </c>
      <c r="P13" s="26" t="s">
        <v>162</v>
      </c>
      <c r="Q13" s="25" t="s">
        <v>163</v>
      </c>
      <c r="R13" s="25" t="s">
        <v>164</v>
      </c>
      <c r="S13" s="25"/>
      <c r="T13" s="32" t="n">
        <v>0.431944444444445</v>
      </c>
      <c r="U13" s="29" t="n">
        <v>46161</v>
      </c>
      <c r="V13" s="25" t="s">
        <v>104</v>
      </c>
      <c r="W13" s="25"/>
      <c r="X13" s="26"/>
      <c r="Y13" s="25" t="s">
        <v>43</v>
      </c>
      <c r="Z13" s="25" t="s">
        <v>151</v>
      </c>
      <c r="AA13" s="26" t="s">
        <v>101</v>
      </c>
      <c r="AB13" s="31" t="s">
        <v>188</v>
      </c>
    </row>
    <row r="14" customFormat="false" ht="35.05" hidden="false" customHeight="false" outlineLevel="0" collapsed="false">
      <c r="A14" s="15" t="s">
        <v>189</v>
      </c>
      <c r="B14" s="17" t="s">
        <v>101</v>
      </c>
      <c r="C14" s="18" t="s">
        <v>147</v>
      </c>
      <c r="D14" s="22" t="n">
        <f aca="false">D13+F14-G14</f>
        <v>51096.2</v>
      </c>
      <c r="E14" s="16" t="n">
        <v>46162</v>
      </c>
      <c r="F14" s="23" t="n">
        <v>9250</v>
      </c>
      <c r="G14" s="23" t="n">
        <v>0</v>
      </c>
      <c r="H14" s="15" t="s">
        <v>114</v>
      </c>
      <c r="I14" s="18" t="s">
        <v>113</v>
      </c>
      <c r="J14" s="18" t="s">
        <v>149</v>
      </c>
      <c r="K14" s="8" t="s">
        <v>159</v>
      </c>
      <c r="L14" s="17"/>
      <c r="M14" s="17"/>
      <c r="N14" s="15" t="s">
        <v>190</v>
      </c>
      <c r="O14" s="18" t="s">
        <v>161</v>
      </c>
      <c r="P14" s="17" t="s">
        <v>191</v>
      </c>
      <c r="Q14" s="15" t="s">
        <v>192</v>
      </c>
      <c r="R14" s="15" t="s">
        <v>193</v>
      </c>
      <c r="S14" s="15"/>
      <c r="T14" s="24" t="n">
        <v>0.490972222222222</v>
      </c>
      <c r="U14" s="16" t="n">
        <v>46162</v>
      </c>
      <c r="V14" s="15" t="s">
        <v>194</v>
      </c>
      <c r="W14" s="15"/>
      <c r="X14" s="17"/>
      <c r="Y14" s="15" t="s">
        <v>43</v>
      </c>
      <c r="Z14" s="15" t="s">
        <v>151</v>
      </c>
      <c r="AA14" s="17" t="s">
        <v>101</v>
      </c>
      <c r="AB14" s="8" t="s">
        <v>195</v>
      </c>
    </row>
    <row r="15" customFormat="false" ht="23.85" hidden="false" customHeight="false" outlineLevel="0" collapsed="false">
      <c r="A15" s="25" t="s">
        <v>43</v>
      </c>
      <c r="B15" s="26" t="s">
        <v>101</v>
      </c>
      <c r="C15" s="27" t="s">
        <v>147</v>
      </c>
      <c r="D15" s="28" t="n">
        <f aca="false">D14+F15-G15</f>
        <v>45837.73</v>
      </c>
      <c r="E15" s="29" t="n">
        <v>46164</v>
      </c>
      <c r="F15" s="30" t="n">
        <v>0</v>
      </c>
      <c r="G15" s="30" t="n">
        <v>5258.47</v>
      </c>
      <c r="H15" s="25" t="s">
        <v>148</v>
      </c>
      <c r="I15" s="27" t="s">
        <v>117</v>
      </c>
      <c r="J15" s="27" t="s">
        <v>149</v>
      </c>
      <c r="K15" s="31" t="s">
        <v>169</v>
      </c>
      <c r="L15" s="26"/>
      <c r="M15" s="26"/>
      <c r="N15" s="25"/>
      <c r="O15" s="27"/>
      <c r="P15" s="26"/>
      <c r="Q15" s="25"/>
      <c r="R15" s="25"/>
      <c r="S15" s="25"/>
      <c r="T15" s="32" t="n">
        <v>0.229166666666667</v>
      </c>
      <c r="U15" s="29" t="n">
        <v>46164</v>
      </c>
      <c r="V15" s="25" t="s">
        <v>43</v>
      </c>
      <c r="W15" s="25" t="s">
        <v>151</v>
      </c>
      <c r="X15" s="26" t="s">
        <v>101</v>
      </c>
      <c r="Y15" s="25" t="s">
        <v>170</v>
      </c>
      <c r="Z15" s="25" t="s">
        <v>153</v>
      </c>
      <c r="AA15" s="26" t="s">
        <v>171</v>
      </c>
      <c r="AB15" s="31"/>
    </row>
    <row r="16" customFormat="false" ht="23.85" hidden="false" customHeight="false" outlineLevel="0" collapsed="false">
      <c r="A16" s="15" t="s">
        <v>43</v>
      </c>
      <c r="B16" s="17" t="s">
        <v>101</v>
      </c>
      <c r="C16" s="18" t="s">
        <v>147</v>
      </c>
      <c r="D16" s="22" t="n">
        <f aca="false">D15+F16-G16</f>
        <v>51366.31</v>
      </c>
      <c r="E16" s="16" t="n">
        <v>46168</v>
      </c>
      <c r="F16" s="23" t="n">
        <v>5528.58</v>
      </c>
      <c r="G16" s="23" t="n">
        <v>0</v>
      </c>
      <c r="H16" s="15" t="s">
        <v>155</v>
      </c>
      <c r="I16" s="18" t="s">
        <v>113</v>
      </c>
      <c r="J16" s="18" t="s">
        <v>149</v>
      </c>
      <c r="K16" s="8" t="s">
        <v>196</v>
      </c>
      <c r="L16" s="17"/>
      <c r="M16" s="17"/>
      <c r="N16" s="15"/>
      <c r="O16" s="18"/>
      <c r="P16" s="17"/>
      <c r="Q16" s="15"/>
      <c r="R16" s="15"/>
      <c r="S16" s="15"/>
      <c r="T16" s="24" t="n">
        <v>0.177083333333333</v>
      </c>
      <c r="U16" s="16" t="n">
        <v>46168</v>
      </c>
      <c r="V16" s="15" t="s">
        <v>157</v>
      </c>
      <c r="W16" s="15" t="s">
        <v>153</v>
      </c>
      <c r="X16" s="17" t="s">
        <v>158</v>
      </c>
      <c r="Y16" s="15" t="s">
        <v>43</v>
      </c>
      <c r="Z16" s="15" t="s">
        <v>151</v>
      </c>
      <c r="AA16" s="17" t="s">
        <v>101</v>
      </c>
      <c r="AB16" s="8"/>
    </row>
    <row r="17" customFormat="false" ht="79.85" hidden="false" customHeight="false" outlineLevel="0" collapsed="false">
      <c r="A17" s="25" t="s">
        <v>43</v>
      </c>
      <c r="B17" s="26" t="s">
        <v>101</v>
      </c>
      <c r="C17" s="27" t="s">
        <v>147</v>
      </c>
      <c r="D17" s="28" t="n">
        <f aca="false">D16+F17-G17</f>
        <v>26849.91</v>
      </c>
      <c r="E17" s="29" t="n">
        <v>46168</v>
      </c>
      <c r="F17" s="30" t="n">
        <v>0</v>
      </c>
      <c r="G17" s="30" t="n">
        <v>24516.4</v>
      </c>
      <c r="H17" s="25" t="s">
        <v>118</v>
      </c>
      <c r="I17" s="27" t="s">
        <v>117</v>
      </c>
      <c r="J17" s="27" t="s">
        <v>149</v>
      </c>
      <c r="K17" s="31" t="s">
        <v>197</v>
      </c>
      <c r="L17" s="26"/>
      <c r="M17" s="26"/>
      <c r="N17" s="25"/>
      <c r="O17" s="27"/>
      <c r="P17" s="26"/>
      <c r="Q17" s="25" t="s">
        <v>183</v>
      </c>
      <c r="R17" s="25"/>
      <c r="S17" s="25"/>
      <c r="T17" s="32" t="n">
        <v>0.420138888888889</v>
      </c>
      <c r="U17" s="29" t="n">
        <v>46168</v>
      </c>
      <c r="V17" s="25" t="s">
        <v>43</v>
      </c>
      <c r="W17" s="25" t="s">
        <v>151</v>
      </c>
      <c r="X17" s="26" t="s">
        <v>101</v>
      </c>
      <c r="Y17" s="25" t="s">
        <v>198</v>
      </c>
      <c r="Z17" s="25" t="s">
        <v>199</v>
      </c>
      <c r="AA17" s="26" t="s">
        <v>200</v>
      </c>
      <c r="AB17" s="31" t="s">
        <v>201</v>
      </c>
    </row>
    <row r="18" customFormat="false" ht="23.85" hidden="false" customHeight="false" outlineLevel="0" collapsed="false">
      <c r="A18" s="15" t="s">
        <v>43</v>
      </c>
      <c r="B18" s="17" t="s">
        <v>101</v>
      </c>
      <c r="C18" s="18" t="s">
        <v>147</v>
      </c>
      <c r="D18" s="22" t="n">
        <f aca="false">D17+F18-G18</f>
        <v>23560.79</v>
      </c>
      <c r="E18" s="16" t="n">
        <v>46169</v>
      </c>
      <c r="F18" s="23" t="n">
        <v>0</v>
      </c>
      <c r="G18" s="23" t="n">
        <v>3289.12</v>
      </c>
      <c r="H18" s="15" t="s">
        <v>148</v>
      </c>
      <c r="I18" s="18" t="s">
        <v>117</v>
      </c>
      <c r="J18" s="18" t="s">
        <v>149</v>
      </c>
      <c r="K18" s="8" t="s">
        <v>202</v>
      </c>
      <c r="L18" s="17"/>
      <c r="M18" s="17"/>
      <c r="N18" s="15"/>
      <c r="O18" s="18"/>
      <c r="P18" s="17"/>
      <c r="Q18" s="15"/>
      <c r="R18" s="15"/>
      <c r="S18" s="15"/>
      <c r="T18" s="24" t="n">
        <v>0.229166666666667</v>
      </c>
      <c r="U18" s="16" t="n">
        <v>46169</v>
      </c>
      <c r="V18" s="15" t="s">
        <v>43</v>
      </c>
      <c r="W18" s="15" t="s">
        <v>151</v>
      </c>
      <c r="X18" s="17" t="s">
        <v>101</v>
      </c>
      <c r="Y18" s="15" t="s">
        <v>174</v>
      </c>
      <c r="Z18" s="15" t="s">
        <v>175</v>
      </c>
      <c r="AA18" s="17" t="s">
        <v>176</v>
      </c>
      <c r="AB18" s="8"/>
    </row>
    <row r="19" customFormat="false" ht="23.85" hidden="false" customHeight="false" outlineLevel="0" collapsed="false">
      <c r="A19" s="25" t="s">
        <v>43</v>
      </c>
      <c r="B19" s="26" t="s">
        <v>101</v>
      </c>
      <c r="C19" s="27" t="s">
        <v>147</v>
      </c>
      <c r="D19" s="28" t="n">
        <f aca="false">D18+F19-G19</f>
        <v>24765.23</v>
      </c>
      <c r="E19" s="29" t="n">
        <v>46170</v>
      </c>
      <c r="F19" s="30" t="n">
        <v>1204.44</v>
      </c>
      <c r="G19" s="30" t="n">
        <v>0</v>
      </c>
      <c r="H19" s="25" t="s">
        <v>114</v>
      </c>
      <c r="I19" s="27" t="s">
        <v>113</v>
      </c>
      <c r="J19" s="27" t="s">
        <v>149</v>
      </c>
      <c r="K19" s="31" t="s">
        <v>166</v>
      </c>
      <c r="L19" s="26"/>
      <c r="M19" s="26"/>
      <c r="N19" s="25" t="s">
        <v>160</v>
      </c>
      <c r="O19" s="27" t="s">
        <v>161</v>
      </c>
      <c r="P19" s="26" t="s">
        <v>162</v>
      </c>
      <c r="Q19" s="25" t="s">
        <v>163</v>
      </c>
      <c r="R19" s="25" t="s">
        <v>167</v>
      </c>
      <c r="S19" s="25"/>
      <c r="T19" s="32" t="n">
        <v>0.295138888888889</v>
      </c>
      <c r="U19" s="29" t="n">
        <v>46170</v>
      </c>
      <c r="V19" s="25" t="s">
        <v>43</v>
      </c>
      <c r="W19" s="25"/>
      <c r="X19" s="26"/>
      <c r="Y19" s="25" t="s">
        <v>43</v>
      </c>
      <c r="Z19" s="25" t="s">
        <v>151</v>
      </c>
      <c r="AA19" s="26" t="s">
        <v>101</v>
      </c>
      <c r="AB19" s="31" t="s">
        <v>168</v>
      </c>
    </row>
    <row r="20" customFormat="false" ht="46.25" hidden="false" customHeight="false" outlineLevel="0" collapsed="false">
      <c r="A20" s="15" t="s">
        <v>43</v>
      </c>
      <c r="B20" s="17" t="s">
        <v>101</v>
      </c>
      <c r="C20" s="18" t="s">
        <v>147</v>
      </c>
      <c r="D20" s="22" t="n">
        <f aca="false">D19+F20-G20</f>
        <v>24639.69</v>
      </c>
      <c r="E20" s="16" t="n">
        <v>46171</v>
      </c>
      <c r="F20" s="23" t="n">
        <v>0</v>
      </c>
      <c r="G20" s="23" t="n">
        <v>125.54</v>
      </c>
      <c r="H20" s="15" t="s">
        <v>203</v>
      </c>
      <c r="I20" s="18" t="s">
        <v>117</v>
      </c>
      <c r="J20" s="18" t="s">
        <v>149</v>
      </c>
      <c r="K20" s="8" t="s">
        <v>204</v>
      </c>
      <c r="L20" s="17"/>
      <c r="M20" s="17"/>
      <c r="N20" s="15"/>
      <c r="O20" s="18"/>
      <c r="P20" s="17"/>
      <c r="Q20" s="15"/>
      <c r="R20" s="15"/>
      <c r="S20" s="15"/>
      <c r="T20" s="24" t="n">
        <v>0.979166666666667</v>
      </c>
      <c r="U20" s="16" t="n">
        <v>46171</v>
      </c>
      <c r="V20" s="15"/>
      <c r="W20" s="15"/>
      <c r="X20" s="17"/>
      <c r="Y20" s="15"/>
      <c r="Z20" s="15"/>
      <c r="AA20" s="17"/>
      <c r="AB20" s="8" t="s">
        <v>205</v>
      </c>
    </row>
    <row r="21" customFormat="false" ht="23.85" hidden="false" customHeight="false" outlineLevel="0" collapsed="false">
      <c r="A21" s="25" t="s">
        <v>43</v>
      </c>
      <c r="B21" s="26" t="s">
        <v>101</v>
      </c>
      <c r="C21" s="27" t="s">
        <v>147</v>
      </c>
      <c r="D21" s="28" t="n">
        <f aca="false">D20+F21-G21</f>
        <v>29749.39</v>
      </c>
      <c r="E21" s="29" t="n">
        <v>46174</v>
      </c>
      <c r="F21" s="30" t="n">
        <v>5109.7</v>
      </c>
      <c r="G21" s="30" t="n">
        <v>0</v>
      </c>
      <c r="H21" s="25" t="s">
        <v>155</v>
      </c>
      <c r="I21" s="27" t="s">
        <v>113</v>
      </c>
      <c r="J21" s="27" t="s">
        <v>149</v>
      </c>
      <c r="K21" s="31" t="s">
        <v>206</v>
      </c>
      <c r="L21" s="26"/>
      <c r="M21" s="26"/>
      <c r="N21" s="25"/>
      <c r="O21" s="27"/>
      <c r="P21" s="26"/>
      <c r="Q21" s="25"/>
      <c r="R21" s="25"/>
      <c r="S21" s="25"/>
      <c r="T21" s="32" t="n">
        <v>0.177083333333333</v>
      </c>
      <c r="U21" s="29" t="n">
        <v>46174</v>
      </c>
      <c r="V21" s="25" t="s">
        <v>157</v>
      </c>
      <c r="W21" s="25" t="s">
        <v>153</v>
      </c>
      <c r="X21" s="26" t="s">
        <v>158</v>
      </c>
      <c r="Y21" s="25" t="s">
        <v>43</v>
      </c>
      <c r="Z21" s="25" t="s">
        <v>151</v>
      </c>
      <c r="AA21" s="26" t="s">
        <v>101</v>
      </c>
      <c r="AB21" s="31"/>
    </row>
    <row r="22" customFormat="false" ht="23.85" hidden="false" customHeight="false" outlineLevel="0" collapsed="false">
      <c r="A22" s="15" t="s">
        <v>43</v>
      </c>
      <c r="B22" s="17" t="s">
        <v>101</v>
      </c>
      <c r="C22" s="18" t="s">
        <v>147</v>
      </c>
      <c r="D22" s="22" t="n">
        <f aca="false">D21+F22-G22</f>
        <v>24899.39</v>
      </c>
      <c r="E22" s="16" t="n">
        <v>46174</v>
      </c>
      <c r="F22" s="23" t="n">
        <v>0</v>
      </c>
      <c r="G22" s="23" t="n">
        <v>4850</v>
      </c>
      <c r="H22" s="15" t="s">
        <v>148</v>
      </c>
      <c r="I22" s="18" t="s">
        <v>117</v>
      </c>
      <c r="J22" s="18" t="s">
        <v>149</v>
      </c>
      <c r="K22" s="8" t="s">
        <v>207</v>
      </c>
      <c r="L22" s="17"/>
      <c r="M22" s="17"/>
      <c r="N22" s="15"/>
      <c r="O22" s="18"/>
      <c r="P22" s="17"/>
      <c r="Q22" s="15"/>
      <c r="R22" s="15"/>
      <c r="S22" s="15"/>
      <c r="T22" s="24" t="n">
        <v>0.229166666666667</v>
      </c>
      <c r="U22" s="16" t="n">
        <v>46174</v>
      </c>
      <c r="V22" s="15" t="s">
        <v>43</v>
      </c>
      <c r="W22" s="15" t="s">
        <v>151</v>
      </c>
      <c r="X22" s="17" t="s">
        <v>101</v>
      </c>
      <c r="Y22" s="15" t="s">
        <v>152</v>
      </c>
      <c r="Z22" s="15" t="s">
        <v>153</v>
      </c>
      <c r="AA22" s="17" t="s">
        <v>154</v>
      </c>
      <c r="AB22" s="8"/>
    </row>
    <row r="23" customFormat="false" ht="23.85" hidden="false" customHeight="false" outlineLevel="0" collapsed="false">
      <c r="A23" s="25" t="s">
        <v>43</v>
      </c>
      <c r="B23" s="26" t="s">
        <v>101</v>
      </c>
      <c r="C23" s="27" t="s">
        <v>147</v>
      </c>
      <c r="D23" s="28" t="n">
        <f aca="false">D22+F23-G23</f>
        <v>19807.73</v>
      </c>
      <c r="E23" s="29" t="n">
        <v>46178</v>
      </c>
      <c r="F23" s="30" t="n">
        <v>0</v>
      </c>
      <c r="G23" s="30" t="n">
        <v>5091.66</v>
      </c>
      <c r="H23" s="25" t="s">
        <v>148</v>
      </c>
      <c r="I23" s="27" t="s">
        <v>117</v>
      </c>
      <c r="J23" s="27" t="s">
        <v>149</v>
      </c>
      <c r="K23" s="31" t="s">
        <v>169</v>
      </c>
      <c r="L23" s="26"/>
      <c r="M23" s="26"/>
      <c r="N23" s="25"/>
      <c r="O23" s="27"/>
      <c r="P23" s="26"/>
      <c r="Q23" s="25"/>
      <c r="R23" s="25"/>
      <c r="S23" s="25"/>
      <c r="T23" s="32" t="n">
        <v>0.229166666666667</v>
      </c>
      <c r="U23" s="29" t="n">
        <v>46178</v>
      </c>
      <c r="V23" s="25" t="s">
        <v>43</v>
      </c>
      <c r="W23" s="25" t="s">
        <v>151</v>
      </c>
      <c r="X23" s="26" t="s">
        <v>101</v>
      </c>
      <c r="Y23" s="25" t="s">
        <v>170</v>
      </c>
      <c r="Z23" s="25" t="s">
        <v>153</v>
      </c>
      <c r="AA23" s="26" t="s">
        <v>171</v>
      </c>
      <c r="AB23" s="31"/>
    </row>
    <row r="24" customFormat="false" ht="23.85" hidden="false" customHeight="false" outlineLevel="0" collapsed="false">
      <c r="A24" s="15" t="s">
        <v>43</v>
      </c>
      <c r="B24" s="17" t="s">
        <v>101</v>
      </c>
      <c r="C24" s="18" t="s">
        <v>147</v>
      </c>
      <c r="D24" s="22" t="n">
        <f aca="false">D23+F24-G24</f>
        <v>25135.18</v>
      </c>
      <c r="E24" s="16" t="n">
        <v>46181</v>
      </c>
      <c r="F24" s="23" t="n">
        <v>5327.45</v>
      </c>
      <c r="G24" s="23" t="n">
        <v>0</v>
      </c>
      <c r="H24" s="15" t="s">
        <v>155</v>
      </c>
      <c r="I24" s="18" t="s">
        <v>113</v>
      </c>
      <c r="J24" s="18" t="s">
        <v>149</v>
      </c>
      <c r="K24" s="8" t="s">
        <v>208</v>
      </c>
      <c r="L24" s="17"/>
      <c r="M24" s="17"/>
      <c r="N24" s="15"/>
      <c r="O24" s="18"/>
      <c r="P24" s="17"/>
      <c r="Q24" s="15"/>
      <c r="R24" s="15"/>
      <c r="S24" s="15"/>
      <c r="T24" s="24" t="n">
        <v>0.177083333333333</v>
      </c>
      <c r="U24" s="16" t="n">
        <v>46181</v>
      </c>
      <c r="V24" s="15" t="s">
        <v>157</v>
      </c>
      <c r="W24" s="15" t="s">
        <v>153</v>
      </c>
      <c r="X24" s="17" t="s">
        <v>158</v>
      </c>
      <c r="Y24" s="15" t="s">
        <v>43</v>
      </c>
      <c r="Z24" s="15" t="s">
        <v>151</v>
      </c>
      <c r="AA24" s="17" t="s">
        <v>101</v>
      </c>
      <c r="AB24" s="8"/>
    </row>
    <row r="25" customFormat="false" ht="57.45" hidden="false" customHeight="false" outlineLevel="0" collapsed="false">
      <c r="A25" s="25" t="s">
        <v>43</v>
      </c>
      <c r="B25" s="26" t="s">
        <v>101</v>
      </c>
      <c r="C25" s="27" t="s">
        <v>147</v>
      </c>
      <c r="D25" s="28" t="n">
        <f aca="false">D24+F25-G25</f>
        <v>34935.18</v>
      </c>
      <c r="E25" s="29" t="n">
        <v>46181</v>
      </c>
      <c r="F25" s="30" t="n">
        <v>9800</v>
      </c>
      <c r="G25" s="30" t="n">
        <v>0</v>
      </c>
      <c r="H25" s="25" t="s">
        <v>114</v>
      </c>
      <c r="I25" s="27" t="s">
        <v>113</v>
      </c>
      <c r="J25" s="27" t="s">
        <v>149</v>
      </c>
      <c r="K25" s="31" t="s">
        <v>159</v>
      </c>
      <c r="L25" s="26"/>
      <c r="M25" s="26"/>
      <c r="N25" s="25" t="s">
        <v>160</v>
      </c>
      <c r="O25" s="27" t="s">
        <v>161</v>
      </c>
      <c r="P25" s="26" t="s">
        <v>162</v>
      </c>
      <c r="Q25" s="25" t="s">
        <v>163</v>
      </c>
      <c r="R25" s="25" t="s">
        <v>164</v>
      </c>
      <c r="S25" s="25"/>
      <c r="T25" s="32" t="n">
        <v>0.403472222222222</v>
      </c>
      <c r="U25" s="29" t="n">
        <v>46181</v>
      </c>
      <c r="V25" s="25" t="s">
        <v>104</v>
      </c>
      <c r="W25" s="25"/>
      <c r="X25" s="26"/>
      <c r="Y25" s="25" t="s">
        <v>43</v>
      </c>
      <c r="Z25" s="25" t="s">
        <v>151</v>
      </c>
      <c r="AA25" s="26" t="s">
        <v>101</v>
      </c>
      <c r="AB25" s="31" t="s">
        <v>209</v>
      </c>
    </row>
    <row r="26" customFormat="false" ht="68.65" hidden="false" customHeight="false" outlineLevel="0" collapsed="false">
      <c r="A26" s="15" t="s">
        <v>189</v>
      </c>
      <c r="B26" s="17" t="s">
        <v>101</v>
      </c>
      <c r="C26" s="18" t="s">
        <v>147</v>
      </c>
      <c r="D26" s="22" t="n">
        <f aca="false">D25+F26-G26</f>
        <v>43535.18</v>
      </c>
      <c r="E26" s="16" t="n">
        <v>46181</v>
      </c>
      <c r="F26" s="23" t="n">
        <v>8600</v>
      </c>
      <c r="G26" s="23" t="n">
        <v>0</v>
      </c>
      <c r="H26" s="15" t="s">
        <v>114</v>
      </c>
      <c r="I26" s="18" t="s">
        <v>113</v>
      </c>
      <c r="J26" s="18" t="s">
        <v>149</v>
      </c>
      <c r="K26" s="8" t="s">
        <v>159</v>
      </c>
      <c r="L26" s="17"/>
      <c r="M26" s="17"/>
      <c r="N26" s="15" t="s">
        <v>190</v>
      </c>
      <c r="O26" s="18" t="s">
        <v>161</v>
      </c>
      <c r="P26" s="17" t="s">
        <v>191</v>
      </c>
      <c r="Q26" s="15" t="s">
        <v>192</v>
      </c>
      <c r="R26" s="15" t="s">
        <v>193</v>
      </c>
      <c r="S26" s="15"/>
      <c r="T26" s="24" t="n">
        <v>0.476388888888889</v>
      </c>
      <c r="U26" s="16" t="n">
        <v>46181</v>
      </c>
      <c r="V26" s="15" t="s">
        <v>194</v>
      </c>
      <c r="W26" s="15"/>
      <c r="X26" s="17"/>
      <c r="Y26" s="15" t="s">
        <v>43</v>
      </c>
      <c r="Z26" s="15" t="s">
        <v>151</v>
      </c>
      <c r="AA26" s="17" t="s">
        <v>101</v>
      </c>
      <c r="AB26" s="8" t="s">
        <v>210</v>
      </c>
    </row>
    <row r="27" customFormat="false" ht="23.85" hidden="false" customHeight="false" outlineLevel="0" collapsed="false">
      <c r="A27" s="25" t="s">
        <v>43</v>
      </c>
      <c r="B27" s="26" t="s">
        <v>101</v>
      </c>
      <c r="C27" s="27" t="s">
        <v>147</v>
      </c>
      <c r="D27" s="28" t="n">
        <f aca="false">D26+F27-G27</f>
        <v>40562.12</v>
      </c>
      <c r="E27" s="29" t="n">
        <v>46183</v>
      </c>
      <c r="F27" s="30" t="n">
        <v>0</v>
      </c>
      <c r="G27" s="30" t="n">
        <v>2973.06</v>
      </c>
      <c r="H27" s="25" t="s">
        <v>148</v>
      </c>
      <c r="I27" s="27" t="s">
        <v>117</v>
      </c>
      <c r="J27" s="27" t="s">
        <v>149</v>
      </c>
      <c r="K27" s="31" t="s">
        <v>211</v>
      </c>
      <c r="L27" s="26"/>
      <c r="M27" s="26"/>
      <c r="N27" s="25"/>
      <c r="O27" s="27"/>
      <c r="P27" s="26"/>
      <c r="Q27" s="25"/>
      <c r="R27" s="25"/>
      <c r="S27" s="25"/>
      <c r="T27" s="32" t="n">
        <v>0.229166666666667</v>
      </c>
      <c r="U27" s="29" t="n">
        <v>46183</v>
      </c>
      <c r="V27" s="25" t="s">
        <v>43</v>
      </c>
      <c r="W27" s="25" t="s">
        <v>151</v>
      </c>
      <c r="X27" s="26" t="s">
        <v>101</v>
      </c>
      <c r="Y27" s="25" t="s">
        <v>174</v>
      </c>
      <c r="Z27" s="25" t="s">
        <v>175</v>
      </c>
      <c r="AA27" s="26" t="s">
        <v>176</v>
      </c>
      <c r="AB27" s="31"/>
    </row>
    <row r="28" customFormat="false" ht="23.85" hidden="false" customHeight="false" outlineLevel="0" collapsed="false">
      <c r="A28" s="15" t="s">
        <v>43</v>
      </c>
      <c r="B28" s="17" t="s">
        <v>101</v>
      </c>
      <c r="C28" s="18" t="s">
        <v>147</v>
      </c>
      <c r="D28" s="22" t="n">
        <f aca="false">D27+F28-G28</f>
        <v>49712.12</v>
      </c>
      <c r="E28" s="16" t="n">
        <v>46183</v>
      </c>
      <c r="F28" s="23" t="n">
        <v>9150</v>
      </c>
      <c r="G28" s="23" t="n">
        <v>0</v>
      </c>
      <c r="H28" s="15" t="s">
        <v>114</v>
      </c>
      <c r="I28" s="18" t="s">
        <v>113</v>
      </c>
      <c r="J28" s="18" t="s">
        <v>149</v>
      </c>
      <c r="K28" s="8" t="s">
        <v>159</v>
      </c>
      <c r="L28" s="17"/>
      <c r="M28" s="17"/>
      <c r="N28" s="15" t="s">
        <v>212</v>
      </c>
      <c r="O28" s="18" t="s">
        <v>161</v>
      </c>
      <c r="P28" s="17" t="s">
        <v>213</v>
      </c>
      <c r="Q28" s="15" t="s">
        <v>214</v>
      </c>
      <c r="R28" s="15" t="s">
        <v>215</v>
      </c>
      <c r="S28" s="15"/>
      <c r="T28" s="24" t="n">
        <v>0.633333333333333</v>
      </c>
      <c r="U28" s="16" t="n">
        <v>46183</v>
      </c>
      <c r="V28" s="15" t="s">
        <v>104</v>
      </c>
      <c r="W28" s="15"/>
      <c r="X28" s="17"/>
      <c r="Y28" s="15" t="s">
        <v>43</v>
      </c>
      <c r="Z28" s="15" t="s">
        <v>151</v>
      </c>
      <c r="AA28" s="17" t="s">
        <v>101</v>
      </c>
      <c r="AB28" s="8" t="s">
        <v>188</v>
      </c>
    </row>
    <row r="29" customFormat="false" ht="23.85" hidden="false" customHeight="false" outlineLevel="0" collapsed="false">
      <c r="A29" s="25" t="s">
        <v>43</v>
      </c>
      <c r="B29" s="26" t="s">
        <v>101</v>
      </c>
      <c r="C29" s="27" t="s">
        <v>147</v>
      </c>
      <c r="D29" s="28" t="n">
        <f aca="false">D28+F29-G29</f>
        <v>50783.51</v>
      </c>
      <c r="E29" s="29" t="n">
        <v>46184</v>
      </c>
      <c r="F29" s="30" t="n">
        <v>1071.39</v>
      </c>
      <c r="G29" s="30" t="n">
        <v>0</v>
      </c>
      <c r="H29" s="25" t="s">
        <v>114</v>
      </c>
      <c r="I29" s="27" t="s">
        <v>113</v>
      </c>
      <c r="J29" s="27" t="s">
        <v>149</v>
      </c>
      <c r="K29" s="31" t="s">
        <v>166</v>
      </c>
      <c r="L29" s="26"/>
      <c r="M29" s="26"/>
      <c r="N29" s="25" t="s">
        <v>160</v>
      </c>
      <c r="O29" s="27" t="s">
        <v>161</v>
      </c>
      <c r="P29" s="26" t="s">
        <v>162</v>
      </c>
      <c r="Q29" s="25" t="s">
        <v>163</v>
      </c>
      <c r="R29" s="25" t="s">
        <v>167</v>
      </c>
      <c r="S29" s="25"/>
      <c r="T29" s="32" t="n">
        <v>0.295138888888889</v>
      </c>
      <c r="U29" s="29" t="n">
        <v>46184</v>
      </c>
      <c r="V29" s="25" t="s">
        <v>43</v>
      </c>
      <c r="W29" s="25"/>
      <c r="X29" s="26"/>
      <c r="Y29" s="25" t="s">
        <v>43</v>
      </c>
      <c r="Z29" s="25" t="s">
        <v>151</v>
      </c>
      <c r="AA29" s="26" t="s">
        <v>101</v>
      </c>
      <c r="AB29" s="31" t="s">
        <v>168</v>
      </c>
    </row>
    <row r="30" customFormat="false" ht="23.85" hidden="false" customHeight="false" outlineLevel="0" collapsed="false">
      <c r="A30" s="15" t="s">
        <v>43</v>
      </c>
      <c r="B30" s="17" t="s">
        <v>101</v>
      </c>
      <c r="C30" s="18" t="s">
        <v>147</v>
      </c>
      <c r="D30" s="22" t="n">
        <f aca="false">D29+F30-G30</f>
        <v>35783.51</v>
      </c>
      <c r="E30" s="16" t="n">
        <v>46185</v>
      </c>
      <c r="F30" s="23" t="n">
        <v>0</v>
      </c>
      <c r="G30" s="23" t="n">
        <v>15000</v>
      </c>
      <c r="H30" s="15" t="s">
        <v>118</v>
      </c>
      <c r="I30" s="18" t="s">
        <v>117</v>
      </c>
      <c r="J30" s="18" t="s">
        <v>149</v>
      </c>
      <c r="K30" s="8" t="s">
        <v>216</v>
      </c>
      <c r="L30" s="17"/>
      <c r="M30" s="17"/>
      <c r="N30" s="15"/>
      <c r="O30" s="18"/>
      <c r="P30" s="17"/>
      <c r="Q30" s="15" t="s">
        <v>183</v>
      </c>
      <c r="R30" s="15"/>
      <c r="S30" s="15"/>
      <c r="T30" s="24" t="n">
        <v>0.464583333333333</v>
      </c>
      <c r="U30" s="16" t="n">
        <v>46185</v>
      </c>
      <c r="V30" s="15" t="s">
        <v>43</v>
      </c>
      <c r="W30" s="15" t="s">
        <v>151</v>
      </c>
      <c r="X30" s="17" t="s">
        <v>101</v>
      </c>
      <c r="Y30" s="15" t="s">
        <v>217</v>
      </c>
      <c r="Z30" s="15" t="s">
        <v>218</v>
      </c>
      <c r="AA30" s="17" t="s">
        <v>219</v>
      </c>
      <c r="AB30" s="8" t="s">
        <v>220</v>
      </c>
    </row>
    <row r="31" customFormat="false" ht="23.85" hidden="false" customHeight="false" outlineLevel="0" collapsed="false">
      <c r="A31" s="25" t="s">
        <v>43</v>
      </c>
      <c r="B31" s="26" t="s">
        <v>101</v>
      </c>
      <c r="C31" s="27" t="s">
        <v>147</v>
      </c>
      <c r="D31" s="28" t="n">
        <f aca="false">D30+F31-G31</f>
        <v>41309.98</v>
      </c>
      <c r="E31" s="29" t="n">
        <v>46188</v>
      </c>
      <c r="F31" s="30" t="n">
        <v>5526.47</v>
      </c>
      <c r="G31" s="30" t="n">
        <v>0</v>
      </c>
      <c r="H31" s="25" t="s">
        <v>155</v>
      </c>
      <c r="I31" s="27" t="s">
        <v>113</v>
      </c>
      <c r="J31" s="27" t="s">
        <v>149</v>
      </c>
      <c r="K31" s="31" t="s">
        <v>221</v>
      </c>
      <c r="L31" s="26"/>
      <c r="M31" s="26"/>
      <c r="N31" s="25"/>
      <c r="O31" s="27"/>
      <c r="P31" s="26"/>
      <c r="Q31" s="25"/>
      <c r="R31" s="25"/>
      <c r="S31" s="25"/>
      <c r="T31" s="32" t="n">
        <v>0.177083333333333</v>
      </c>
      <c r="U31" s="29" t="n">
        <v>46188</v>
      </c>
      <c r="V31" s="25" t="s">
        <v>157</v>
      </c>
      <c r="W31" s="25" t="s">
        <v>153</v>
      </c>
      <c r="X31" s="26" t="s">
        <v>158</v>
      </c>
      <c r="Y31" s="25" t="s">
        <v>43</v>
      </c>
      <c r="Z31" s="25" t="s">
        <v>151</v>
      </c>
      <c r="AA31" s="26" t="s">
        <v>101</v>
      </c>
      <c r="AB31" s="31"/>
    </row>
    <row r="32" customFormat="false" ht="23.85" hidden="false" customHeight="false" outlineLevel="0" collapsed="false">
      <c r="A32" s="15" t="s">
        <v>43</v>
      </c>
      <c r="B32" s="17" t="s">
        <v>101</v>
      </c>
      <c r="C32" s="18" t="s">
        <v>147</v>
      </c>
      <c r="D32" s="22" t="n">
        <f aca="false">D31+F32-G32</f>
        <v>38059.98</v>
      </c>
      <c r="E32" s="16" t="n">
        <v>46188</v>
      </c>
      <c r="F32" s="23" t="n">
        <v>0</v>
      </c>
      <c r="G32" s="23" t="n">
        <v>3250</v>
      </c>
      <c r="H32" s="15" t="s">
        <v>181</v>
      </c>
      <c r="I32" s="18" t="s">
        <v>117</v>
      </c>
      <c r="J32" s="18" t="s">
        <v>149</v>
      </c>
      <c r="K32" s="8" t="s">
        <v>182</v>
      </c>
      <c r="L32" s="17"/>
      <c r="M32" s="17"/>
      <c r="N32" s="15"/>
      <c r="O32" s="18"/>
      <c r="P32" s="17"/>
      <c r="Q32" s="15" t="s">
        <v>183</v>
      </c>
      <c r="R32" s="15"/>
      <c r="S32" s="15"/>
      <c r="T32" s="24" t="n">
        <v>0.341666666666667</v>
      </c>
      <c r="U32" s="16" t="n">
        <v>46188</v>
      </c>
      <c r="V32" s="15" t="s">
        <v>43</v>
      </c>
      <c r="W32" s="15" t="s">
        <v>151</v>
      </c>
      <c r="X32" s="17" t="s">
        <v>101</v>
      </c>
      <c r="Y32" s="15" t="s">
        <v>104</v>
      </c>
      <c r="Z32" s="15" t="s">
        <v>151</v>
      </c>
      <c r="AA32" s="17" t="s">
        <v>103</v>
      </c>
      <c r="AB32" s="8"/>
    </row>
    <row r="33" customFormat="false" ht="68.65" hidden="false" customHeight="false" outlineLevel="0" collapsed="false">
      <c r="A33" s="25" t="s">
        <v>43</v>
      </c>
      <c r="B33" s="26" t="s">
        <v>101</v>
      </c>
      <c r="C33" s="27" t="s">
        <v>147</v>
      </c>
      <c r="D33" s="28" t="n">
        <f aca="false">D32+F33-G33</f>
        <v>18277.83</v>
      </c>
      <c r="E33" s="29" t="n">
        <v>46188</v>
      </c>
      <c r="F33" s="30" t="n">
        <v>0</v>
      </c>
      <c r="G33" s="30" t="n">
        <v>19782.15</v>
      </c>
      <c r="H33" s="25" t="s">
        <v>118</v>
      </c>
      <c r="I33" s="27" t="s">
        <v>117</v>
      </c>
      <c r="J33" s="27" t="s">
        <v>149</v>
      </c>
      <c r="K33" s="31" t="s">
        <v>197</v>
      </c>
      <c r="L33" s="26"/>
      <c r="M33" s="26"/>
      <c r="N33" s="25"/>
      <c r="O33" s="27"/>
      <c r="P33" s="26"/>
      <c r="Q33" s="25" t="s">
        <v>183</v>
      </c>
      <c r="R33" s="25"/>
      <c r="S33" s="25"/>
      <c r="T33" s="32" t="n">
        <v>0.438194444444444</v>
      </c>
      <c r="U33" s="29" t="n">
        <v>46188</v>
      </c>
      <c r="V33" s="25" t="s">
        <v>43</v>
      </c>
      <c r="W33" s="25" t="s">
        <v>151</v>
      </c>
      <c r="X33" s="26" t="s">
        <v>101</v>
      </c>
      <c r="Y33" s="25" t="s">
        <v>198</v>
      </c>
      <c r="Z33" s="25" t="s">
        <v>199</v>
      </c>
      <c r="AA33" s="26" t="s">
        <v>200</v>
      </c>
      <c r="AB33" s="31" t="s">
        <v>222</v>
      </c>
    </row>
    <row r="34" customFormat="false" ht="23.85" hidden="false" customHeight="false" outlineLevel="0" collapsed="false">
      <c r="A34" s="15" t="s">
        <v>43</v>
      </c>
      <c r="B34" s="17" t="s">
        <v>101</v>
      </c>
      <c r="C34" s="18" t="s">
        <v>147</v>
      </c>
      <c r="D34" s="22" t="n">
        <f aca="false">D33+F34-G34</f>
        <v>17649.69</v>
      </c>
      <c r="E34" s="16" t="n">
        <v>46190</v>
      </c>
      <c r="F34" s="23" t="n">
        <v>0</v>
      </c>
      <c r="G34" s="23" t="n">
        <v>628.14</v>
      </c>
      <c r="H34" s="15" t="s">
        <v>148</v>
      </c>
      <c r="I34" s="18" t="s">
        <v>117</v>
      </c>
      <c r="J34" s="18" t="s">
        <v>149</v>
      </c>
      <c r="K34" s="8" t="s">
        <v>185</v>
      </c>
      <c r="L34" s="17"/>
      <c r="M34" s="17"/>
      <c r="N34" s="15"/>
      <c r="O34" s="18"/>
      <c r="P34" s="17"/>
      <c r="Q34" s="15"/>
      <c r="R34" s="15"/>
      <c r="S34" s="15"/>
      <c r="T34" s="24" t="n">
        <v>0.229166666666667</v>
      </c>
      <c r="U34" s="16" t="n">
        <v>46190</v>
      </c>
      <c r="V34" s="15" t="s">
        <v>43</v>
      </c>
      <c r="W34" s="15" t="s">
        <v>151</v>
      </c>
      <c r="X34" s="17" t="s">
        <v>101</v>
      </c>
      <c r="Y34" s="15" t="s">
        <v>186</v>
      </c>
      <c r="Z34" s="15" t="s">
        <v>153</v>
      </c>
      <c r="AA34" s="17" t="s">
        <v>187</v>
      </c>
      <c r="AB34" s="8"/>
    </row>
    <row r="35" customFormat="false" ht="23.85" hidden="false" customHeight="false" outlineLevel="0" collapsed="false">
      <c r="A35" s="25" t="s">
        <v>43</v>
      </c>
      <c r="B35" s="26" t="s">
        <v>101</v>
      </c>
      <c r="C35" s="27" t="s">
        <v>147</v>
      </c>
      <c r="D35" s="28" t="n">
        <f aca="false">D34+F35-G35</f>
        <v>12737.51</v>
      </c>
      <c r="E35" s="29" t="n">
        <v>46191</v>
      </c>
      <c r="F35" s="30" t="n">
        <v>0</v>
      </c>
      <c r="G35" s="30" t="n">
        <v>4912.18</v>
      </c>
      <c r="H35" s="25" t="s">
        <v>148</v>
      </c>
      <c r="I35" s="27" t="s">
        <v>117</v>
      </c>
      <c r="J35" s="27" t="s">
        <v>149</v>
      </c>
      <c r="K35" s="31" t="s">
        <v>169</v>
      </c>
      <c r="L35" s="26"/>
      <c r="M35" s="26"/>
      <c r="N35" s="25"/>
      <c r="O35" s="27"/>
      <c r="P35" s="26"/>
      <c r="Q35" s="25"/>
      <c r="R35" s="25"/>
      <c r="S35" s="25"/>
      <c r="T35" s="32" t="n">
        <v>0.229166666666667</v>
      </c>
      <c r="U35" s="29" t="n">
        <v>46191</v>
      </c>
      <c r="V35" s="25" t="s">
        <v>43</v>
      </c>
      <c r="W35" s="25" t="s">
        <v>151</v>
      </c>
      <c r="X35" s="26" t="s">
        <v>101</v>
      </c>
      <c r="Y35" s="25" t="s">
        <v>170</v>
      </c>
      <c r="Z35" s="25" t="s">
        <v>153</v>
      </c>
      <c r="AA35" s="26" t="s">
        <v>171</v>
      </c>
      <c r="AB35" s="31"/>
    </row>
    <row r="36" customFormat="false" ht="23.85" hidden="false" customHeight="false" outlineLevel="0" collapsed="false">
      <c r="A36" s="15" t="s">
        <v>43</v>
      </c>
      <c r="B36" s="17" t="s">
        <v>101</v>
      </c>
      <c r="C36" s="18" t="s">
        <v>147</v>
      </c>
      <c r="D36" s="22" t="n">
        <f aca="false">D35+F36-G36</f>
        <v>18111.98</v>
      </c>
      <c r="E36" s="16" t="n">
        <v>46195</v>
      </c>
      <c r="F36" s="23" t="n">
        <v>5374.47</v>
      </c>
      <c r="G36" s="23" t="n">
        <v>0</v>
      </c>
      <c r="H36" s="15" t="s">
        <v>155</v>
      </c>
      <c r="I36" s="18" t="s">
        <v>113</v>
      </c>
      <c r="J36" s="18" t="s">
        <v>149</v>
      </c>
      <c r="K36" s="8" t="s">
        <v>223</v>
      </c>
      <c r="L36" s="17"/>
      <c r="M36" s="17"/>
      <c r="N36" s="15"/>
      <c r="O36" s="18"/>
      <c r="P36" s="17"/>
      <c r="Q36" s="15"/>
      <c r="R36" s="15"/>
      <c r="S36" s="15"/>
      <c r="T36" s="24" t="n">
        <v>0.177083333333333</v>
      </c>
      <c r="U36" s="16" t="n">
        <v>46195</v>
      </c>
      <c r="V36" s="15" t="s">
        <v>157</v>
      </c>
      <c r="W36" s="15" t="s">
        <v>153</v>
      </c>
      <c r="X36" s="17" t="s">
        <v>158</v>
      </c>
      <c r="Y36" s="15" t="s">
        <v>43</v>
      </c>
      <c r="Z36" s="15" t="s">
        <v>151</v>
      </c>
      <c r="AA36" s="17" t="s">
        <v>101</v>
      </c>
      <c r="AB36" s="8"/>
    </row>
    <row r="37" customFormat="false" ht="35.05" hidden="false" customHeight="false" outlineLevel="0" collapsed="false">
      <c r="A37" s="25" t="s">
        <v>43</v>
      </c>
      <c r="B37" s="26" t="s">
        <v>101</v>
      </c>
      <c r="C37" s="27" t="s">
        <v>147</v>
      </c>
      <c r="D37" s="28" t="n">
        <f aca="false">D36+F37-G37</f>
        <v>36761.98</v>
      </c>
      <c r="E37" s="29" t="n">
        <v>46195</v>
      </c>
      <c r="F37" s="30" t="n">
        <v>18650</v>
      </c>
      <c r="G37" s="30" t="n">
        <v>0</v>
      </c>
      <c r="H37" s="25" t="s">
        <v>148</v>
      </c>
      <c r="I37" s="27" t="s">
        <v>113</v>
      </c>
      <c r="J37" s="27" t="s">
        <v>149</v>
      </c>
      <c r="K37" s="31" t="s">
        <v>224</v>
      </c>
      <c r="L37" s="26"/>
      <c r="M37" s="26"/>
      <c r="N37" s="25"/>
      <c r="O37" s="27"/>
      <c r="P37" s="26"/>
      <c r="Q37" s="25"/>
      <c r="R37" s="25"/>
      <c r="S37" s="25"/>
      <c r="T37" s="32" t="n">
        <v>0.229166666666667</v>
      </c>
      <c r="U37" s="29" t="n">
        <v>46195</v>
      </c>
      <c r="V37" s="25" t="s">
        <v>225</v>
      </c>
      <c r="W37" s="25" t="s">
        <v>153</v>
      </c>
      <c r="X37" s="26" t="s">
        <v>226</v>
      </c>
      <c r="Y37" s="25" t="s">
        <v>43</v>
      </c>
      <c r="Z37" s="25" t="s">
        <v>151</v>
      </c>
      <c r="AA37" s="26" t="s">
        <v>101</v>
      </c>
      <c r="AB37" s="31" t="s">
        <v>227</v>
      </c>
    </row>
    <row r="38" customFormat="false" ht="23.85" hidden="false" customHeight="false" outlineLevel="0" collapsed="false">
      <c r="A38" s="15" t="s">
        <v>43</v>
      </c>
      <c r="B38" s="17" t="s">
        <v>101</v>
      </c>
      <c r="C38" s="18" t="s">
        <v>147</v>
      </c>
      <c r="D38" s="22" t="n">
        <f aca="false">D37+F38-G38</f>
        <v>33674.46</v>
      </c>
      <c r="E38" s="16" t="n">
        <v>46197</v>
      </c>
      <c r="F38" s="23" t="n">
        <v>0</v>
      </c>
      <c r="G38" s="23" t="n">
        <v>3087.52</v>
      </c>
      <c r="H38" s="15" t="s">
        <v>148</v>
      </c>
      <c r="I38" s="18" t="s">
        <v>117</v>
      </c>
      <c r="J38" s="18" t="s">
        <v>149</v>
      </c>
      <c r="K38" s="8" t="s">
        <v>228</v>
      </c>
      <c r="L38" s="17"/>
      <c r="M38" s="17"/>
      <c r="N38" s="15"/>
      <c r="O38" s="18"/>
      <c r="P38" s="17"/>
      <c r="Q38" s="15"/>
      <c r="R38" s="15"/>
      <c r="S38" s="15"/>
      <c r="T38" s="24" t="n">
        <v>0.229166666666667</v>
      </c>
      <c r="U38" s="16" t="n">
        <v>46197</v>
      </c>
      <c r="V38" s="15" t="s">
        <v>43</v>
      </c>
      <c r="W38" s="15" t="s">
        <v>151</v>
      </c>
      <c r="X38" s="17" t="s">
        <v>101</v>
      </c>
      <c r="Y38" s="15" t="s">
        <v>174</v>
      </c>
      <c r="Z38" s="15" t="s">
        <v>175</v>
      </c>
      <c r="AA38" s="17" t="s">
        <v>176</v>
      </c>
      <c r="AB38" s="8"/>
    </row>
    <row r="39" customFormat="false" ht="23.85" hidden="false" customHeight="false" outlineLevel="0" collapsed="false">
      <c r="A39" s="25" t="s">
        <v>43</v>
      </c>
      <c r="B39" s="26" t="s">
        <v>101</v>
      </c>
      <c r="C39" s="27" t="s">
        <v>147</v>
      </c>
      <c r="D39" s="28" t="n">
        <f aca="false">D38+F39-G39</f>
        <v>34917.05</v>
      </c>
      <c r="E39" s="29" t="n">
        <v>46198</v>
      </c>
      <c r="F39" s="30" t="n">
        <v>1242.59</v>
      </c>
      <c r="G39" s="30" t="n">
        <v>0</v>
      </c>
      <c r="H39" s="25" t="s">
        <v>114</v>
      </c>
      <c r="I39" s="27" t="s">
        <v>113</v>
      </c>
      <c r="J39" s="27" t="s">
        <v>149</v>
      </c>
      <c r="K39" s="31" t="s">
        <v>166</v>
      </c>
      <c r="L39" s="26"/>
      <c r="M39" s="26"/>
      <c r="N39" s="25" t="s">
        <v>160</v>
      </c>
      <c r="O39" s="27" t="s">
        <v>161</v>
      </c>
      <c r="P39" s="26" t="s">
        <v>162</v>
      </c>
      <c r="Q39" s="25" t="s">
        <v>163</v>
      </c>
      <c r="R39" s="25" t="s">
        <v>167</v>
      </c>
      <c r="S39" s="25"/>
      <c r="T39" s="32" t="n">
        <v>0.295138888888889</v>
      </c>
      <c r="U39" s="29" t="n">
        <v>46198</v>
      </c>
      <c r="V39" s="25" t="s">
        <v>43</v>
      </c>
      <c r="W39" s="25"/>
      <c r="X39" s="26"/>
      <c r="Y39" s="25" t="s">
        <v>43</v>
      </c>
      <c r="Z39" s="25" t="s">
        <v>151</v>
      </c>
      <c r="AA39" s="26" t="s">
        <v>101</v>
      </c>
      <c r="AB39" s="31" t="s">
        <v>168</v>
      </c>
    </row>
    <row r="40" customFormat="false" ht="23.85" hidden="false" customHeight="false" outlineLevel="0" collapsed="false">
      <c r="A40" s="15" t="s">
        <v>43</v>
      </c>
      <c r="B40" s="17" t="s">
        <v>101</v>
      </c>
      <c r="C40" s="18" t="s">
        <v>147</v>
      </c>
      <c r="D40" s="22" t="n">
        <f aca="false">D39+F40-G40</f>
        <v>23117.05</v>
      </c>
      <c r="E40" s="16" t="n">
        <v>46199</v>
      </c>
      <c r="F40" s="23" t="n">
        <v>0</v>
      </c>
      <c r="G40" s="23" t="n">
        <v>11800</v>
      </c>
      <c r="H40" s="15" t="s">
        <v>177</v>
      </c>
      <c r="I40" s="18" t="s">
        <v>117</v>
      </c>
      <c r="J40" s="18" t="s">
        <v>149</v>
      </c>
      <c r="K40" s="8" t="s">
        <v>229</v>
      </c>
      <c r="L40" s="17"/>
      <c r="M40" s="17" t="s">
        <v>230</v>
      </c>
      <c r="N40" s="15"/>
      <c r="O40" s="18"/>
      <c r="P40" s="17"/>
      <c r="Q40" s="15"/>
      <c r="R40" s="15"/>
      <c r="S40" s="15"/>
      <c r="T40" s="24" t="n">
        <v>0.256944444444444</v>
      </c>
      <c r="U40" s="16" t="n">
        <v>46199</v>
      </c>
      <c r="V40" s="15" t="s">
        <v>43</v>
      </c>
      <c r="W40" s="15" t="s">
        <v>151</v>
      </c>
      <c r="X40" s="17" t="s">
        <v>101</v>
      </c>
      <c r="Y40" s="15" t="s">
        <v>231</v>
      </c>
      <c r="Z40" s="15" t="s">
        <v>175</v>
      </c>
      <c r="AA40" s="17" t="s">
        <v>232</v>
      </c>
      <c r="AB40" s="8" t="s">
        <v>233</v>
      </c>
    </row>
    <row r="41" customFormat="false" ht="23.85" hidden="false" customHeight="false" outlineLevel="0" collapsed="false">
      <c r="A41" s="25" t="s">
        <v>43</v>
      </c>
      <c r="B41" s="26" t="s">
        <v>101</v>
      </c>
      <c r="C41" s="27" t="s">
        <v>147</v>
      </c>
      <c r="D41" s="28" t="n">
        <f aca="false">D40+F41-G41</f>
        <v>28531.08</v>
      </c>
      <c r="E41" s="29" t="n">
        <v>46202</v>
      </c>
      <c r="F41" s="30" t="n">
        <v>5414.03</v>
      </c>
      <c r="G41" s="30" t="n">
        <v>0</v>
      </c>
      <c r="H41" s="25" t="s">
        <v>155</v>
      </c>
      <c r="I41" s="27" t="s">
        <v>113</v>
      </c>
      <c r="J41" s="27" t="s">
        <v>149</v>
      </c>
      <c r="K41" s="31" t="s">
        <v>234</v>
      </c>
      <c r="L41" s="26"/>
      <c r="M41" s="26"/>
      <c r="N41" s="25"/>
      <c r="O41" s="27"/>
      <c r="P41" s="26"/>
      <c r="Q41" s="25"/>
      <c r="R41" s="25"/>
      <c r="S41" s="25"/>
      <c r="T41" s="32" t="n">
        <v>0.177083333333333</v>
      </c>
      <c r="U41" s="29" t="n">
        <v>46202</v>
      </c>
      <c r="V41" s="25" t="s">
        <v>157</v>
      </c>
      <c r="W41" s="25" t="s">
        <v>153</v>
      </c>
      <c r="X41" s="26" t="s">
        <v>158</v>
      </c>
      <c r="Y41" s="25" t="s">
        <v>43</v>
      </c>
      <c r="Z41" s="25" t="s">
        <v>151</v>
      </c>
      <c r="AA41" s="26" t="s">
        <v>101</v>
      </c>
      <c r="AB41" s="31"/>
    </row>
    <row r="42" customFormat="false" ht="23.85" hidden="false" customHeight="false" outlineLevel="0" collapsed="false">
      <c r="A42" s="15" t="s">
        <v>43</v>
      </c>
      <c r="B42" s="17" t="s">
        <v>101</v>
      </c>
      <c r="C42" s="18" t="s">
        <v>147</v>
      </c>
      <c r="D42" s="22" t="n">
        <f aca="false">D41+F42-G42</f>
        <v>38131.08</v>
      </c>
      <c r="E42" s="16" t="n">
        <v>46202</v>
      </c>
      <c r="F42" s="23" t="n">
        <v>9600</v>
      </c>
      <c r="G42" s="23" t="n">
        <v>0</v>
      </c>
      <c r="H42" s="15" t="s">
        <v>114</v>
      </c>
      <c r="I42" s="18" t="s">
        <v>113</v>
      </c>
      <c r="J42" s="18" t="s">
        <v>149</v>
      </c>
      <c r="K42" s="8" t="s">
        <v>159</v>
      </c>
      <c r="L42" s="17"/>
      <c r="M42" s="17"/>
      <c r="N42" s="15" t="s">
        <v>160</v>
      </c>
      <c r="O42" s="18" t="s">
        <v>161</v>
      </c>
      <c r="P42" s="17" t="s">
        <v>162</v>
      </c>
      <c r="Q42" s="15" t="s">
        <v>163</v>
      </c>
      <c r="R42" s="15" t="s">
        <v>164</v>
      </c>
      <c r="S42" s="15"/>
      <c r="T42" s="24" t="n">
        <v>0.41875</v>
      </c>
      <c r="U42" s="16" t="n">
        <v>46202</v>
      </c>
      <c r="V42" s="15" t="s">
        <v>104</v>
      </c>
      <c r="W42" s="15"/>
      <c r="X42" s="17"/>
      <c r="Y42" s="15" t="s">
        <v>43</v>
      </c>
      <c r="Z42" s="15" t="s">
        <v>151</v>
      </c>
      <c r="AA42" s="17" t="s">
        <v>101</v>
      </c>
      <c r="AB42" s="8" t="s">
        <v>188</v>
      </c>
    </row>
    <row r="43" customFormat="false" ht="23.85" hidden="false" customHeight="false" outlineLevel="0" collapsed="false">
      <c r="A43" s="25" t="s">
        <v>43</v>
      </c>
      <c r="B43" s="26" t="s">
        <v>101</v>
      </c>
      <c r="C43" s="27" t="s">
        <v>147</v>
      </c>
      <c r="D43" s="28" t="n">
        <f aca="false">D42+F43-G43</f>
        <v>32191.08</v>
      </c>
      <c r="E43" s="29" t="n">
        <v>46203</v>
      </c>
      <c r="F43" s="30" t="n">
        <v>0</v>
      </c>
      <c r="G43" s="30" t="n">
        <v>5940</v>
      </c>
      <c r="H43" s="25" t="s">
        <v>148</v>
      </c>
      <c r="I43" s="27" t="s">
        <v>117</v>
      </c>
      <c r="J43" s="27" t="s">
        <v>149</v>
      </c>
      <c r="K43" s="31" t="s">
        <v>235</v>
      </c>
      <c r="L43" s="26"/>
      <c r="M43" s="26"/>
      <c r="N43" s="25"/>
      <c r="O43" s="27"/>
      <c r="P43" s="26"/>
      <c r="Q43" s="25"/>
      <c r="R43" s="25"/>
      <c r="S43" s="25"/>
      <c r="T43" s="32" t="n">
        <v>0.229166666666667</v>
      </c>
      <c r="U43" s="29" t="n">
        <v>46203</v>
      </c>
      <c r="V43" s="25" t="s">
        <v>43</v>
      </c>
      <c r="W43" s="25" t="s">
        <v>151</v>
      </c>
      <c r="X43" s="26" t="s">
        <v>101</v>
      </c>
      <c r="Y43" s="25" t="s">
        <v>236</v>
      </c>
      <c r="Z43" s="25" t="s">
        <v>153</v>
      </c>
      <c r="AA43" s="26" t="s">
        <v>237</v>
      </c>
      <c r="AB43" s="31" t="s">
        <v>238</v>
      </c>
    </row>
    <row r="44" customFormat="false" ht="46.25" hidden="false" customHeight="false" outlineLevel="0" collapsed="false">
      <c r="A44" s="15" t="s">
        <v>43</v>
      </c>
      <c r="B44" s="17" t="s">
        <v>101</v>
      </c>
      <c r="C44" s="18" t="s">
        <v>147</v>
      </c>
      <c r="D44" s="22" t="n">
        <f aca="false">D43+F44-G44</f>
        <v>32024.88</v>
      </c>
      <c r="E44" s="16" t="n">
        <v>46203</v>
      </c>
      <c r="F44" s="23" t="n">
        <v>0</v>
      </c>
      <c r="G44" s="23" t="n">
        <v>166.2</v>
      </c>
      <c r="H44" s="15" t="s">
        <v>203</v>
      </c>
      <c r="I44" s="18" t="s">
        <v>117</v>
      </c>
      <c r="J44" s="18" t="s">
        <v>149</v>
      </c>
      <c r="K44" s="8" t="s">
        <v>239</v>
      </c>
      <c r="L44" s="17"/>
      <c r="M44" s="17"/>
      <c r="N44" s="15"/>
      <c r="O44" s="18"/>
      <c r="P44" s="17"/>
      <c r="Q44" s="15"/>
      <c r="R44" s="15"/>
      <c r="S44" s="15"/>
      <c r="T44" s="24" t="n">
        <v>0.979166666666667</v>
      </c>
      <c r="U44" s="16" t="n">
        <v>46203</v>
      </c>
      <c r="V44" s="15"/>
      <c r="W44" s="15"/>
      <c r="X44" s="17"/>
      <c r="Y44" s="15"/>
      <c r="Z44" s="15"/>
      <c r="AA44" s="17"/>
      <c r="AB44" s="8" t="s">
        <v>240</v>
      </c>
    </row>
    <row r="45" customFormat="false" ht="23.85" hidden="false" customHeight="false" outlineLevel="0" collapsed="false">
      <c r="A45" s="25" t="s">
        <v>43</v>
      </c>
      <c r="B45" s="26" t="s">
        <v>101</v>
      </c>
      <c r="C45" s="27" t="s">
        <v>147</v>
      </c>
      <c r="D45" s="28" t="n">
        <f aca="false">D44+F45-G45</f>
        <v>27174.88</v>
      </c>
      <c r="E45" s="29" t="n">
        <v>46204</v>
      </c>
      <c r="F45" s="30" t="n">
        <v>0</v>
      </c>
      <c r="G45" s="30" t="n">
        <v>4850</v>
      </c>
      <c r="H45" s="25" t="s">
        <v>148</v>
      </c>
      <c r="I45" s="27" t="s">
        <v>117</v>
      </c>
      <c r="J45" s="27" t="s">
        <v>149</v>
      </c>
      <c r="K45" s="31" t="s">
        <v>241</v>
      </c>
      <c r="L45" s="26"/>
      <c r="M45" s="26"/>
      <c r="N45" s="25"/>
      <c r="O45" s="27"/>
      <c r="P45" s="26"/>
      <c r="Q45" s="25"/>
      <c r="R45" s="25"/>
      <c r="S45" s="25"/>
      <c r="T45" s="32" t="n">
        <v>0.229166666666667</v>
      </c>
      <c r="U45" s="29" t="n">
        <v>46204</v>
      </c>
      <c r="V45" s="25" t="s">
        <v>43</v>
      </c>
      <c r="W45" s="25" t="s">
        <v>151</v>
      </c>
      <c r="X45" s="26" t="s">
        <v>101</v>
      </c>
      <c r="Y45" s="25" t="s">
        <v>152</v>
      </c>
      <c r="Z45" s="25" t="s">
        <v>153</v>
      </c>
      <c r="AA45" s="26" t="s">
        <v>154</v>
      </c>
      <c r="AB45" s="31"/>
    </row>
    <row r="46" customFormat="false" ht="35.05" hidden="false" customHeight="false" outlineLevel="0" collapsed="false">
      <c r="A46" s="15" t="s">
        <v>189</v>
      </c>
      <c r="B46" s="17" t="s">
        <v>101</v>
      </c>
      <c r="C46" s="18" t="s">
        <v>147</v>
      </c>
      <c r="D46" s="22" t="n">
        <f aca="false">D45+F46-G46</f>
        <v>36024.88</v>
      </c>
      <c r="E46" s="16" t="n">
        <v>46204</v>
      </c>
      <c r="F46" s="23" t="n">
        <v>8850</v>
      </c>
      <c r="G46" s="23" t="n">
        <v>0</v>
      </c>
      <c r="H46" s="15" t="s">
        <v>114</v>
      </c>
      <c r="I46" s="18" t="s">
        <v>113</v>
      </c>
      <c r="J46" s="18" t="s">
        <v>149</v>
      </c>
      <c r="K46" s="8" t="s">
        <v>159</v>
      </c>
      <c r="L46" s="17"/>
      <c r="M46" s="17"/>
      <c r="N46" s="15" t="s">
        <v>190</v>
      </c>
      <c r="O46" s="18" t="s">
        <v>161</v>
      </c>
      <c r="P46" s="17" t="s">
        <v>191</v>
      </c>
      <c r="Q46" s="15" t="s">
        <v>192</v>
      </c>
      <c r="R46" s="15" t="s">
        <v>193</v>
      </c>
      <c r="S46" s="15"/>
      <c r="T46" s="24" t="n">
        <v>0.498611111111111</v>
      </c>
      <c r="U46" s="16" t="n">
        <v>46204</v>
      </c>
      <c r="V46" s="15" t="s">
        <v>194</v>
      </c>
      <c r="W46" s="15"/>
      <c r="X46" s="17"/>
      <c r="Y46" s="15" t="s">
        <v>43</v>
      </c>
      <c r="Z46" s="15" t="s">
        <v>151</v>
      </c>
      <c r="AA46" s="17" t="s">
        <v>101</v>
      </c>
      <c r="AB46" s="8" t="s">
        <v>195</v>
      </c>
    </row>
    <row r="47" customFormat="false" ht="23.85" hidden="false" customHeight="false" outlineLevel="0" collapsed="false">
      <c r="A47" s="25" t="s">
        <v>43</v>
      </c>
      <c r="B47" s="26" t="s">
        <v>101</v>
      </c>
      <c r="C47" s="27" t="s">
        <v>147</v>
      </c>
      <c r="D47" s="28" t="n">
        <f aca="false">D46+F47-G47</f>
        <v>31094.64</v>
      </c>
      <c r="E47" s="29" t="n">
        <v>46205</v>
      </c>
      <c r="F47" s="30" t="n">
        <v>0</v>
      </c>
      <c r="G47" s="30" t="n">
        <v>4930.24</v>
      </c>
      <c r="H47" s="25" t="s">
        <v>148</v>
      </c>
      <c r="I47" s="27" t="s">
        <v>117</v>
      </c>
      <c r="J47" s="27" t="s">
        <v>149</v>
      </c>
      <c r="K47" s="31" t="s">
        <v>169</v>
      </c>
      <c r="L47" s="26"/>
      <c r="M47" s="26"/>
      <c r="N47" s="25"/>
      <c r="O47" s="27"/>
      <c r="P47" s="26"/>
      <c r="Q47" s="25"/>
      <c r="R47" s="25"/>
      <c r="S47" s="25"/>
      <c r="T47" s="32" t="n">
        <v>0.229166666666667</v>
      </c>
      <c r="U47" s="29" t="n">
        <v>46205</v>
      </c>
      <c r="V47" s="25" t="s">
        <v>43</v>
      </c>
      <c r="W47" s="25" t="s">
        <v>151</v>
      </c>
      <c r="X47" s="26" t="s">
        <v>101</v>
      </c>
      <c r="Y47" s="25" t="s">
        <v>170</v>
      </c>
      <c r="Z47" s="25" t="s">
        <v>153</v>
      </c>
      <c r="AA47" s="26" t="s">
        <v>171</v>
      </c>
      <c r="AB47" s="31"/>
    </row>
    <row r="48" customFormat="false" ht="23.85" hidden="false" customHeight="false" outlineLevel="0" collapsed="false">
      <c r="A48" s="15" t="s">
        <v>43</v>
      </c>
      <c r="B48" s="17" t="s">
        <v>101</v>
      </c>
      <c r="C48" s="18" t="s">
        <v>147</v>
      </c>
      <c r="D48" s="22" t="n">
        <f aca="false">D47+F48-G48</f>
        <v>36476.34</v>
      </c>
      <c r="E48" s="16" t="n">
        <v>46209</v>
      </c>
      <c r="F48" s="23" t="n">
        <v>5381.7</v>
      </c>
      <c r="G48" s="23" t="n">
        <v>0</v>
      </c>
      <c r="H48" s="15" t="s">
        <v>155</v>
      </c>
      <c r="I48" s="18" t="s">
        <v>113</v>
      </c>
      <c r="J48" s="18" t="s">
        <v>149</v>
      </c>
      <c r="K48" s="8" t="s">
        <v>242</v>
      </c>
      <c r="L48" s="17"/>
      <c r="M48" s="17"/>
      <c r="N48" s="15"/>
      <c r="O48" s="18"/>
      <c r="P48" s="17"/>
      <c r="Q48" s="15"/>
      <c r="R48" s="15"/>
      <c r="S48" s="15"/>
      <c r="T48" s="24" t="n">
        <v>0.177083333333333</v>
      </c>
      <c r="U48" s="16" t="n">
        <v>46209</v>
      </c>
      <c r="V48" s="15" t="s">
        <v>157</v>
      </c>
      <c r="W48" s="15" t="s">
        <v>153</v>
      </c>
      <c r="X48" s="17" t="s">
        <v>158</v>
      </c>
      <c r="Y48" s="15" t="s">
        <v>43</v>
      </c>
      <c r="Z48" s="15" t="s">
        <v>151</v>
      </c>
      <c r="AA48" s="17" t="s">
        <v>101</v>
      </c>
      <c r="AB48" s="8"/>
    </row>
    <row r="49" customFormat="false" ht="23.85" hidden="false" customHeight="false" outlineLevel="0" collapsed="false">
      <c r="A49" s="25" t="s">
        <v>43</v>
      </c>
      <c r="B49" s="26" t="s">
        <v>101</v>
      </c>
      <c r="C49" s="27" t="s">
        <v>147</v>
      </c>
      <c r="D49" s="28" t="n">
        <f aca="false">D48+F49-G49</f>
        <v>46426.34</v>
      </c>
      <c r="E49" s="29" t="n">
        <v>46209</v>
      </c>
      <c r="F49" s="30" t="n">
        <v>9950</v>
      </c>
      <c r="G49" s="30" t="n">
        <v>0</v>
      </c>
      <c r="H49" s="25" t="s">
        <v>114</v>
      </c>
      <c r="I49" s="27" t="s">
        <v>113</v>
      </c>
      <c r="J49" s="27" t="s">
        <v>149</v>
      </c>
      <c r="K49" s="31" t="s">
        <v>159</v>
      </c>
      <c r="L49" s="26"/>
      <c r="M49" s="26"/>
      <c r="N49" s="25" t="s">
        <v>212</v>
      </c>
      <c r="O49" s="27" t="s">
        <v>161</v>
      </c>
      <c r="P49" s="26" t="s">
        <v>213</v>
      </c>
      <c r="Q49" s="25" t="s">
        <v>214</v>
      </c>
      <c r="R49" s="25" t="s">
        <v>215</v>
      </c>
      <c r="S49" s="25"/>
      <c r="T49" s="32" t="n">
        <v>0.597916666666667</v>
      </c>
      <c r="U49" s="29" t="n">
        <v>46209</v>
      </c>
      <c r="V49" s="25" t="s">
        <v>104</v>
      </c>
      <c r="W49" s="25"/>
      <c r="X49" s="26"/>
      <c r="Y49" s="25" t="s">
        <v>43</v>
      </c>
      <c r="Z49" s="25" t="s">
        <v>151</v>
      </c>
      <c r="AA49" s="26" t="s">
        <v>101</v>
      </c>
      <c r="AB49" s="31" t="s">
        <v>188</v>
      </c>
    </row>
    <row r="50" customFormat="false" ht="23.85" hidden="false" customHeight="false" outlineLevel="0" collapsed="false">
      <c r="A50" s="15" t="s">
        <v>43</v>
      </c>
      <c r="B50" s="17" t="s">
        <v>101</v>
      </c>
      <c r="C50" s="18" t="s">
        <v>147</v>
      </c>
      <c r="D50" s="22" t="n">
        <f aca="false">D49+F50-G50</f>
        <v>43737.07</v>
      </c>
      <c r="E50" s="16" t="n">
        <v>46211</v>
      </c>
      <c r="F50" s="23" t="n">
        <v>0</v>
      </c>
      <c r="G50" s="23" t="n">
        <v>2689.27</v>
      </c>
      <c r="H50" s="15" t="s">
        <v>148</v>
      </c>
      <c r="I50" s="18" t="s">
        <v>117</v>
      </c>
      <c r="J50" s="18" t="s">
        <v>149</v>
      </c>
      <c r="K50" s="8" t="s">
        <v>243</v>
      </c>
      <c r="L50" s="17"/>
      <c r="M50" s="17"/>
      <c r="N50" s="15"/>
      <c r="O50" s="18"/>
      <c r="P50" s="17"/>
      <c r="Q50" s="15"/>
      <c r="R50" s="15"/>
      <c r="S50" s="15"/>
      <c r="T50" s="24" t="n">
        <v>0.229166666666667</v>
      </c>
      <c r="U50" s="16" t="n">
        <v>46211</v>
      </c>
      <c r="V50" s="15" t="s">
        <v>43</v>
      </c>
      <c r="W50" s="15" t="s">
        <v>151</v>
      </c>
      <c r="X50" s="17" t="s">
        <v>101</v>
      </c>
      <c r="Y50" s="15" t="s">
        <v>174</v>
      </c>
      <c r="Z50" s="15" t="s">
        <v>175</v>
      </c>
      <c r="AA50" s="17" t="s">
        <v>176</v>
      </c>
      <c r="AB50" s="8"/>
    </row>
    <row r="51" customFormat="false" ht="23.85" hidden="false" customHeight="false" outlineLevel="0" collapsed="false">
      <c r="A51" s="25" t="s">
        <v>43</v>
      </c>
      <c r="B51" s="26" t="s">
        <v>101</v>
      </c>
      <c r="C51" s="27" t="s">
        <v>147</v>
      </c>
      <c r="D51" s="28" t="n">
        <f aca="false">D50+F51-G51</f>
        <v>45133.62</v>
      </c>
      <c r="E51" s="29" t="n">
        <v>46212</v>
      </c>
      <c r="F51" s="30" t="n">
        <v>1396.55</v>
      </c>
      <c r="G51" s="30" t="n">
        <v>0</v>
      </c>
      <c r="H51" s="25" t="s">
        <v>114</v>
      </c>
      <c r="I51" s="27" t="s">
        <v>113</v>
      </c>
      <c r="J51" s="27" t="s">
        <v>149</v>
      </c>
      <c r="K51" s="31" t="s">
        <v>166</v>
      </c>
      <c r="L51" s="26"/>
      <c r="M51" s="26"/>
      <c r="N51" s="25" t="s">
        <v>160</v>
      </c>
      <c r="O51" s="27" t="s">
        <v>161</v>
      </c>
      <c r="P51" s="26" t="s">
        <v>162</v>
      </c>
      <c r="Q51" s="25" t="s">
        <v>163</v>
      </c>
      <c r="R51" s="25" t="s">
        <v>167</v>
      </c>
      <c r="S51" s="25"/>
      <c r="T51" s="32" t="n">
        <v>0.295138888888889</v>
      </c>
      <c r="U51" s="29" t="n">
        <v>46212</v>
      </c>
      <c r="V51" s="25" t="s">
        <v>43</v>
      </c>
      <c r="W51" s="25"/>
      <c r="X51" s="26"/>
      <c r="Y51" s="25" t="s">
        <v>43</v>
      </c>
      <c r="Z51" s="25" t="s">
        <v>151</v>
      </c>
      <c r="AA51" s="26" t="s">
        <v>101</v>
      </c>
      <c r="AB51" s="31" t="s">
        <v>168</v>
      </c>
    </row>
    <row r="52" customFormat="false" ht="57.45" hidden="false" customHeight="false" outlineLevel="0" collapsed="false">
      <c r="A52" s="15" t="s">
        <v>43</v>
      </c>
      <c r="B52" s="17" t="s">
        <v>101</v>
      </c>
      <c r="C52" s="18" t="s">
        <v>147</v>
      </c>
      <c r="D52" s="22" t="n">
        <f aca="false">D51+F52-G52</f>
        <v>17298.02</v>
      </c>
      <c r="E52" s="16" t="n">
        <v>46212</v>
      </c>
      <c r="F52" s="23" t="n">
        <v>0</v>
      </c>
      <c r="G52" s="23" t="n">
        <v>27835.6</v>
      </c>
      <c r="H52" s="15" t="s">
        <v>118</v>
      </c>
      <c r="I52" s="18" t="s">
        <v>117</v>
      </c>
      <c r="J52" s="18" t="s">
        <v>149</v>
      </c>
      <c r="K52" s="8" t="s">
        <v>244</v>
      </c>
      <c r="L52" s="17"/>
      <c r="M52" s="17"/>
      <c r="N52" s="15"/>
      <c r="O52" s="18"/>
      <c r="P52" s="17"/>
      <c r="Q52" s="15" t="s">
        <v>183</v>
      </c>
      <c r="R52" s="15"/>
      <c r="S52" s="15"/>
      <c r="T52" s="24" t="n">
        <v>0.447222222222222</v>
      </c>
      <c r="U52" s="16" t="n">
        <v>46212</v>
      </c>
      <c r="V52" s="15" t="s">
        <v>43</v>
      </c>
      <c r="W52" s="15" t="s">
        <v>151</v>
      </c>
      <c r="X52" s="17" t="s">
        <v>101</v>
      </c>
      <c r="Y52" s="15" t="s">
        <v>245</v>
      </c>
      <c r="Z52" s="15" t="s">
        <v>199</v>
      </c>
      <c r="AA52" s="17" t="s">
        <v>200</v>
      </c>
      <c r="AB52" s="8" t="s">
        <v>246</v>
      </c>
    </row>
    <row r="53" customFormat="false" ht="23.85" hidden="false" customHeight="false" outlineLevel="0" collapsed="false">
      <c r="A53" s="25" t="s">
        <v>43</v>
      </c>
      <c r="B53" s="26" t="s">
        <v>101</v>
      </c>
      <c r="C53" s="27" t="s">
        <v>147</v>
      </c>
      <c r="D53" s="28" t="n">
        <f aca="false">D52+F53-G53</f>
        <v>22752.34</v>
      </c>
      <c r="E53" s="29" t="n">
        <v>46216</v>
      </c>
      <c r="F53" s="30" t="n">
        <v>5454.32</v>
      </c>
      <c r="G53" s="30" t="n">
        <v>0</v>
      </c>
      <c r="H53" s="25" t="s">
        <v>155</v>
      </c>
      <c r="I53" s="27" t="s">
        <v>113</v>
      </c>
      <c r="J53" s="27" t="s">
        <v>149</v>
      </c>
      <c r="K53" s="31" t="s">
        <v>247</v>
      </c>
      <c r="L53" s="26"/>
      <c r="M53" s="26"/>
      <c r="N53" s="25"/>
      <c r="O53" s="27"/>
      <c r="P53" s="26"/>
      <c r="Q53" s="25"/>
      <c r="R53" s="25"/>
      <c r="S53" s="25"/>
      <c r="T53" s="32" t="n">
        <v>0.177083333333333</v>
      </c>
      <c r="U53" s="29" t="n">
        <v>46216</v>
      </c>
      <c r="V53" s="25" t="s">
        <v>157</v>
      </c>
      <c r="W53" s="25" t="s">
        <v>153</v>
      </c>
      <c r="X53" s="26" t="s">
        <v>158</v>
      </c>
      <c r="Y53" s="25" t="s">
        <v>43</v>
      </c>
      <c r="Z53" s="25" t="s">
        <v>151</v>
      </c>
      <c r="AA53" s="26" t="s">
        <v>101</v>
      </c>
      <c r="AB53" s="31"/>
    </row>
    <row r="54" customFormat="false" ht="46.25" hidden="false" customHeight="false" outlineLevel="0" collapsed="false">
      <c r="A54" s="15" t="s">
        <v>43</v>
      </c>
      <c r="B54" s="17" t="s">
        <v>101</v>
      </c>
      <c r="C54" s="18" t="s">
        <v>147</v>
      </c>
      <c r="D54" s="22" t="n">
        <f aca="false">D53+F54-G54</f>
        <v>50545.44</v>
      </c>
      <c r="E54" s="16" t="n">
        <v>46217</v>
      </c>
      <c r="F54" s="23" t="n">
        <v>27793.1</v>
      </c>
      <c r="G54" s="23" t="n">
        <v>0</v>
      </c>
      <c r="H54" s="15" t="s">
        <v>118</v>
      </c>
      <c r="I54" s="18" t="s">
        <v>113</v>
      </c>
      <c r="J54" s="18" t="s">
        <v>149</v>
      </c>
      <c r="K54" s="8" t="s">
        <v>248</v>
      </c>
      <c r="L54" s="17"/>
      <c r="M54" s="17"/>
      <c r="N54" s="15"/>
      <c r="O54" s="18"/>
      <c r="P54" s="17"/>
      <c r="Q54" s="15"/>
      <c r="R54" s="15"/>
      <c r="S54" s="15"/>
      <c r="T54" s="24" t="n">
        <v>0.555555555555556</v>
      </c>
      <c r="U54" s="16" t="n">
        <v>46217</v>
      </c>
      <c r="V54" s="15" t="s">
        <v>245</v>
      </c>
      <c r="W54" s="15" t="s">
        <v>199</v>
      </c>
      <c r="X54" s="17" t="s">
        <v>200</v>
      </c>
      <c r="Y54" s="15" t="s">
        <v>43</v>
      </c>
      <c r="Z54" s="15" t="s">
        <v>151</v>
      </c>
      <c r="AA54" s="17" t="s">
        <v>101</v>
      </c>
      <c r="AB54" s="8" t="s">
        <v>249</v>
      </c>
    </row>
    <row r="55" customFormat="false" ht="23.85" hidden="false" customHeight="false" outlineLevel="0" collapsed="false">
      <c r="A55" s="25" t="s">
        <v>43</v>
      </c>
      <c r="B55" s="26" t="s">
        <v>101</v>
      </c>
      <c r="C55" s="27" t="s">
        <v>147</v>
      </c>
      <c r="D55" s="28" t="n">
        <f aca="false">D54+F55-G55</f>
        <v>47295.44</v>
      </c>
      <c r="E55" s="29" t="n">
        <v>46218</v>
      </c>
      <c r="F55" s="30" t="n">
        <v>0</v>
      </c>
      <c r="G55" s="30" t="n">
        <v>3250</v>
      </c>
      <c r="H55" s="25" t="s">
        <v>181</v>
      </c>
      <c r="I55" s="27" t="s">
        <v>117</v>
      </c>
      <c r="J55" s="27" t="s">
        <v>149</v>
      </c>
      <c r="K55" s="31" t="s">
        <v>182</v>
      </c>
      <c r="L55" s="26"/>
      <c r="M55" s="26"/>
      <c r="N55" s="25"/>
      <c r="O55" s="27"/>
      <c r="P55" s="26"/>
      <c r="Q55" s="25" t="s">
        <v>183</v>
      </c>
      <c r="R55" s="25"/>
      <c r="S55" s="25"/>
      <c r="T55" s="32" t="n">
        <v>0.341666666666667</v>
      </c>
      <c r="U55" s="29" t="n">
        <v>46218</v>
      </c>
      <c r="V55" s="25" t="s">
        <v>43</v>
      </c>
      <c r="W55" s="25" t="s">
        <v>151</v>
      </c>
      <c r="X55" s="26" t="s">
        <v>101</v>
      </c>
      <c r="Y55" s="25" t="s">
        <v>104</v>
      </c>
      <c r="Z55" s="25" t="s">
        <v>151</v>
      </c>
      <c r="AA55" s="26" t="s">
        <v>103</v>
      </c>
      <c r="AB55" s="31"/>
    </row>
    <row r="56" customFormat="false" ht="79.85" hidden="false" customHeight="false" outlineLevel="0" collapsed="false">
      <c r="A56" s="15" t="s">
        <v>43</v>
      </c>
      <c r="B56" s="17" t="s">
        <v>101</v>
      </c>
      <c r="C56" s="18" t="s">
        <v>147</v>
      </c>
      <c r="D56" s="22" t="n">
        <f aca="false">D55+F56-G56</f>
        <v>19459.84</v>
      </c>
      <c r="E56" s="16" t="n">
        <v>46218</v>
      </c>
      <c r="F56" s="23" t="n">
        <v>0</v>
      </c>
      <c r="G56" s="23" t="n">
        <v>27835.6</v>
      </c>
      <c r="H56" s="15" t="s">
        <v>118</v>
      </c>
      <c r="I56" s="18" t="s">
        <v>117</v>
      </c>
      <c r="J56" s="18" t="s">
        <v>149</v>
      </c>
      <c r="K56" s="8" t="s">
        <v>197</v>
      </c>
      <c r="L56" s="17"/>
      <c r="M56" s="17"/>
      <c r="N56" s="15"/>
      <c r="O56" s="18"/>
      <c r="P56" s="17"/>
      <c r="Q56" s="15" t="s">
        <v>183</v>
      </c>
      <c r="R56" s="15"/>
      <c r="S56" s="15"/>
      <c r="T56" s="24" t="n">
        <v>0.426388888888889</v>
      </c>
      <c r="U56" s="16" t="n">
        <v>46218</v>
      </c>
      <c r="V56" s="15" t="s">
        <v>43</v>
      </c>
      <c r="W56" s="15" t="s">
        <v>151</v>
      </c>
      <c r="X56" s="17" t="s">
        <v>101</v>
      </c>
      <c r="Y56" s="15" t="s">
        <v>198</v>
      </c>
      <c r="Z56" s="15" t="s">
        <v>199</v>
      </c>
      <c r="AA56" s="17" t="s">
        <v>200</v>
      </c>
      <c r="AB56" s="8" t="s">
        <v>250</v>
      </c>
    </row>
    <row r="57" customFormat="false" ht="23.85" hidden="false" customHeight="false" outlineLevel="0" collapsed="false">
      <c r="A57" s="25" t="s">
        <v>43</v>
      </c>
      <c r="B57" s="26" t="s">
        <v>101</v>
      </c>
      <c r="C57" s="27" t="s">
        <v>147</v>
      </c>
      <c r="D57" s="28" t="n">
        <f aca="false">D56+F57-G57</f>
        <v>14540.45</v>
      </c>
      <c r="E57" s="29" t="n">
        <v>46220</v>
      </c>
      <c r="F57" s="30" t="n">
        <v>0</v>
      </c>
      <c r="G57" s="30" t="n">
        <v>4919.39</v>
      </c>
      <c r="H57" s="25" t="s">
        <v>148</v>
      </c>
      <c r="I57" s="27" t="s">
        <v>117</v>
      </c>
      <c r="J57" s="27" t="s">
        <v>149</v>
      </c>
      <c r="K57" s="31" t="s">
        <v>169</v>
      </c>
      <c r="L57" s="26"/>
      <c r="M57" s="26"/>
      <c r="N57" s="25"/>
      <c r="O57" s="27"/>
      <c r="P57" s="26"/>
      <c r="Q57" s="25"/>
      <c r="R57" s="25"/>
      <c r="S57" s="25"/>
      <c r="T57" s="32" t="n">
        <v>0.229166666666667</v>
      </c>
      <c r="U57" s="29" t="n">
        <v>46220</v>
      </c>
      <c r="V57" s="25" t="s">
        <v>43</v>
      </c>
      <c r="W57" s="25" t="s">
        <v>151</v>
      </c>
      <c r="X57" s="26" t="s">
        <v>101</v>
      </c>
      <c r="Y57" s="25" t="s">
        <v>170</v>
      </c>
      <c r="Z57" s="25" t="s">
        <v>153</v>
      </c>
      <c r="AA57" s="26" t="s">
        <v>171</v>
      </c>
      <c r="AB57" s="31"/>
    </row>
    <row r="58" customFormat="false" ht="23.85" hidden="false" customHeight="false" outlineLevel="0" collapsed="false">
      <c r="A58" s="15" t="s">
        <v>43</v>
      </c>
      <c r="B58" s="17" t="s">
        <v>101</v>
      </c>
      <c r="C58" s="18" t="s">
        <v>147</v>
      </c>
      <c r="D58" s="22" t="n">
        <f aca="false">D57+F58-G58</f>
        <v>13936.03</v>
      </c>
      <c r="E58" s="16" t="n">
        <v>46220</v>
      </c>
      <c r="F58" s="23" t="n">
        <v>0</v>
      </c>
      <c r="G58" s="23" t="n">
        <v>604.42</v>
      </c>
      <c r="H58" s="15" t="s">
        <v>148</v>
      </c>
      <c r="I58" s="18" t="s">
        <v>117</v>
      </c>
      <c r="J58" s="18" t="s">
        <v>149</v>
      </c>
      <c r="K58" s="8" t="s">
        <v>185</v>
      </c>
      <c r="L58" s="17"/>
      <c r="M58" s="17"/>
      <c r="N58" s="15"/>
      <c r="O58" s="18"/>
      <c r="P58" s="17"/>
      <c r="Q58" s="15"/>
      <c r="R58" s="15"/>
      <c r="S58" s="15"/>
      <c r="T58" s="24" t="n">
        <v>0.229166666666667</v>
      </c>
      <c r="U58" s="16" t="n">
        <v>46220</v>
      </c>
      <c r="V58" s="15" t="s">
        <v>43</v>
      </c>
      <c r="W58" s="15" t="s">
        <v>151</v>
      </c>
      <c r="X58" s="17" t="s">
        <v>101</v>
      </c>
      <c r="Y58" s="15" t="s">
        <v>186</v>
      </c>
      <c r="Z58" s="15" t="s">
        <v>153</v>
      </c>
      <c r="AA58" s="17" t="s">
        <v>187</v>
      </c>
      <c r="AB58" s="8"/>
    </row>
    <row r="59" customFormat="false" ht="23.85" hidden="false" customHeight="false" outlineLevel="0" collapsed="false">
      <c r="A59" s="25" t="s">
        <v>43</v>
      </c>
      <c r="B59" s="26" t="s">
        <v>101</v>
      </c>
      <c r="C59" s="27" t="s">
        <v>147</v>
      </c>
      <c r="D59" s="28" t="n">
        <f aca="false">D58+F59-G59</f>
        <v>19322.95</v>
      </c>
      <c r="E59" s="29" t="n">
        <v>46223</v>
      </c>
      <c r="F59" s="30" t="n">
        <v>5386.92</v>
      </c>
      <c r="G59" s="30" t="n">
        <v>0</v>
      </c>
      <c r="H59" s="25" t="s">
        <v>155</v>
      </c>
      <c r="I59" s="27" t="s">
        <v>113</v>
      </c>
      <c r="J59" s="27" t="s">
        <v>149</v>
      </c>
      <c r="K59" s="31" t="s">
        <v>251</v>
      </c>
      <c r="L59" s="26"/>
      <c r="M59" s="26"/>
      <c r="N59" s="25"/>
      <c r="O59" s="27"/>
      <c r="P59" s="26"/>
      <c r="Q59" s="25"/>
      <c r="R59" s="25"/>
      <c r="S59" s="25"/>
      <c r="T59" s="32" t="n">
        <v>0.177083333333333</v>
      </c>
      <c r="U59" s="29" t="n">
        <v>46223</v>
      </c>
      <c r="V59" s="25" t="s">
        <v>157</v>
      </c>
      <c r="W59" s="25" t="s">
        <v>153</v>
      </c>
      <c r="X59" s="26" t="s">
        <v>158</v>
      </c>
      <c r="Y59" s="25" t="s">
        <v>43</v>
      </c>
      <c r="Z59" s="25" t="s">
        <v>151</v>
      </c>
      <c r="AA59" s="26" t="s">
        <v>101</v>
      </c>
      <c r="AB59" s="31"/>
    </row>
    <row r="60" customFormat="false" ht="23.85" hidden="false" customHeight="false" outlineLevel="0" collapsed="false">
      <c r="A60" s="15" t="s">
        <v>43</v>
      </c>
      <c r="B60" s="17" t="s">
        <v>101</v>
      </c>
      <c r="C60" s="18" t="s">
        <v>147</v>
      </c>
      <c r="D60" s="22" t="n">
        <f aca="false">D59+F60-G60</f>
        <v>16290.09</v>
      </c>
      <c r="E60" s="16" t="n">
        <v>46225</v>
      </c>
      <c r="F60" s="23" t="n">
        <v>0</v>
      </c>
      <c r="G60" s="23" t="n">
        <v>3032.86</v>
      </c>
      <c r="H60" s="15" t="s">
        <v>148</v>
      </c>
      <c r="I60" s="18" t="s">
        <v>117</v>
      </c>
      <c r="J60" s="18" t="s">
        <v>149</v>
      </c>
      <c r="K60" s="8" t="s">
        <v>252</v>
      </c>
      <c r="L60" s="17"/>
      <c r="M60" s="17"/>
      <c r="N60" s="15"/>
      <c r="O60" s="18"/>
      <c r="P60" s="17"/>
      <c r="Q60" s="15"/>
      <c r="R60" s="15"/>
      <c r="S60" s="15"/>
      <c r="T60" s="24" t="n">
        <v>0.229166666666667</v>
      </c>
      <c r="U60" s="16" t="n">
        <v>46225</v>
      </c>
      <c r="V60" s="15" t="s">
        <v>43</v>
      </c>
      <c r="W60" s="15" t="s">
        <v>151</v>
      </c>
      <c r="X60" s="17" t="s">
        <v>101</v>
      </c>
      <c r="Y60" s="15" t="s">
        <v>174</v>
      </c>
      <c r="Z60" s="15" t="s">
        <v>175</v>
      </c>
      <c r="AA60" s="17" t="s">
        <v>176</v>
      </c>
      <c r="AB60" s="8"/>
    </row>
    <row r="61" customFormat="false" ht="23.85" hidden="false" customHeight="false" outlineLevel="0" collapsed="false">
      <c r="A61" s="25" t="s">
        <v>43</v>
      </c>
      <c r="B61" s="26" t="s">
        <v>101</v>
      </c>
      <c r="C61" s="27" t="s">
        <v>147</v>
      </c>
      <c r="D61" s="28" t="n">
        <f aca="false">D60+F61-G61</f>
        <v>17387.57</v>
      </c>
      <c r="E61" s="29" t="n">
        <v>46226</v>
      </c>
      <c r="F61" s="30" t="n">
        <v>1097.48</v>
      </c>
      <c r="G61" s="30" t="n">
        <v>0</v>
      </c>
      <c r="H61" s="25" t="s">
        <v>114</v>
      </c>
      <c r="I61" s="27" t="s">
        <v>113</v>
      </c>
      <c r="J61" s="27" t="s">
        <v>149</v>
      </c>
      <c r="K61" s="31" t="s">
        <v>166</v>
      </c>
      <c r="L61" s="26"/>
      <c r="M61" s="26"/>
      <c r="N61" s="25" t="s">
        <v>160</v>
      </c>
      <c r="O61" s="27" t="s">
        <v>161</v>
      </c>
      <c r="P61" s="26" t="s">
        <v>162</v>
      </c>
      <c r="Q61" s="25" t="s">
        <v>163</v>
      </c>
      <c r="R61" s="25" t="s">
        <v>167</v>
      </c>
      <c r="S61" s="25"/>
      <c r="T61" s="32" t="n">
        <v>0.295138888888889</v>
      </c>
      <c r="U61" s="29" t="n">
        <v>46226</v>
      </c>
      <c r="V61" s="25" t="s">
        <v>43</v>
      </c>
      <c r="W61" s="25"/>
      <c r="X61" s="26"/>
      <c r="Y61" s="25" t="s">
        <v>43</v>
      </c>
      <c r="Z61" s="25" t="s">
        <v>151</v>
      </c>
      <c r="AA61" s="26" t="s">
        <v>101</v>
      </c>
      <c r="AB61" s="31" t="s">
        <v>168</v>
      </c>
    </row>
    <row r="62" customFormat="false" ht="23.85" hidden="false" customHeight="false" outlineLevel="0" collapsed="false">
      <c r="A62" s="15" t="s">
        <v>43</v>
      </c>
      <c r="B62" s="17" t="s">
        <v>101</v>
      </c>
      <c r="C62" s="18" t="s">
        <v>147</v>
      </c>
      <c r="D62" s="22" t="n">
        <f aca="false">D61+F62-G62</f>
        <v>22571.27</v>
      </c>
      <c r="E62" s="16" t="n">
        <v>46230</v>
      </c>
      <c r="F62" s="23" t="n">
        <v>5183.7</v>
      </c>
      <c r="G62" s="23" t="n">
        <v>0</v>
      </c>
      <c r="H62" s="15" t="s">
        <v>155</v>
      </c>
      <c r="I62" s="18" t="s">
        <v>113</v>
      </c>
      <c r="J62" s="18" t="s">
        <v>149</v>
      </c>
      <c r="K62" s="8" t="s">
        <v>253</v>
      </c>
      <c r="L62" s="17"/>
      <c r="M62" s="17"/>
      <c r="N62" s="15"/>
      <c r="O62" s="18"/>
      <c r="P62" s="17"/>
      <c r="Q62" s="15"/>
      <c r="R62" s="15"/>
      <c r="S62" s="15"/>
      <c r="T62" s="24" t="n">
        <v>0.177083333333333</v>
      </c>
      <c r="U62" s="16" t="n">
        <v>46230</v>
      </c>
      <c r="V62" s="15" t="s">
        <v>157</v>
      </c>
      <c r="W62" s="15" t="s">
        <v>153</v>
      </c>
      <c r="X62" s="17" t="s">
        <v>158</v>
      </c>
      <c r="Y62" s="15" t="s">
        <v>43</v>
      </c>
      <c r="Z62" s="15" t="s">
        <v>151</v>
      </c>
      <c r="AA62" s="17" t="s">
        <v>101</v>
      </c>
      <c r="AB62" s="8"/>
    </row>
    <row r="63" customFormat="false" ht="46.25" hidden="false" customHeight="false" outlineLevel="0" collapsed="false">
      <c r="A63" s="25" t="s">
        <v>43</v>
      </c>
      <c r="B63" s="26" t="s">
        <v>101</v>
      </c>
      <c r="C63" s="27" t="s">
        <v>147</v>
      </c>
      <c r="D63" s="28" t="n">
        <f aca="false">D62+F63-G63</f>
        <v>32271.27</v>
      </c>
      <c r="E63" s="29" t="n">
        <v>46230</v>
      </c>
      <c r="F63" s="30" t="n">
        <v>9700</v>
      </c>
      <c r="G63" s="30" t="n">
        <v>0</v>
      </c>
      <c r="H63" s="25" t="s">
        <v>114</v>
      </c>
      <c r="I63" s="27" t="s">
        <v>113</v>
      </c>
      <c r="J63" s="27" t="s">
        <v>149</v>
      </c>
      <c r="K63" s="31" t="s">
        <v>159</v>
      </c>
      <c r="L63" s="26"/>
      <c r="M63" s="26"/>
      <c r="N63" s="25" t="s">
        <v>160</v>
      </c>
      <c r="O63" s="27" t="s">
        <v>161</v>
      </c>
      <c r="P63" s="26" t="s">
        <v>162</v>
      </c>
      <c r="Q63" s="25" t="s">
        <v>163</v>
      </c>
      <c r="R63" s="25" t="s">
        <v>164</v>
      </c>
      <c r="S63" s="25"/>
      <c r="T63" s="32" t="n">
        <v>0.411111111111111</v>
      </c>
      <c r="U63" s="29" t="n">
        <v>46230</v>
      </c>
      <c r="V63" s="25" t="s">
        <v>104</v>
      </c>
      <c r="W63" s="25"/>
      <c r="X63" s="26"/>
      <c r="Y63" s="25" t="s">
        <v>43</v>
      </c>
      <c r="Z63" s="25" t="s">
        <v>151</v>
      </c>
      <c r="AA63" s="26" t="s">
        <v>101</v>
      </c>
      <c r="AB63" s="31" t="s">
        <v>254</v>
      </c>
    </row>
    <row r="64" customFormat="false" ht="35.05" hidden="false" customHeight="false" outlineLevel="0" collapsed="false">
      <c r="A64" s="15" t="s">
        <v>189</v>
      </c>
      <c r="B64" s="17" t="s">
        <v>101</v>
      </c>
      <c r="C64" s="18" t="s">
        <v>147</v>
      </c>
      <c r="D64" s="22" t="n">
        <f aca="false">D63+F64-G64</f>
        <v>40671.27</v>
      </c>
      <c r="E64" s="16" t="n">
        <v>46231</v>
      </c>
      <c r="F64" s="23" t="n">
        <v>8400</v>
      </c>
      <c r="G64" s="23" t="n">
        <v>0</v>
      </c>
      <c r="H64" s="15" t="s">
        <v>114</v>
      </c>
      <c r="I64" s="18" t="s">
        <v>113</v>
      </c>
      <c r="J64" s="18" t="s">
        <v>149</v>
      </c>
      <c r="K64" s="8" t="s">
        <v>159</v>
      </c>
      <c r="L64" s="17"/>
      <c r="M64" s="17"/>
      <c r="N64" s="15" t="s">
        <v>190</v>
      </c>
      <c r="O64" s="18" t="s">
        <v>161</v>
      </c>
      <c r="P64" s="17" t="s">
        <v>191</v>
      </c>
      <c r="Q64" s="15" t="s">
        <v>192</v>
      </c>
      <c r="R64" s="15" t="s">
        <v>193</v>
      </c>
      <c r="S64" s="15"/>
      <c r="T64" s="24" t="n">
        <v>0.50625</v>
      </c>
      <c r="U64" s="16" t="n">
        <v>46231</v>
      </c>
      <c r="V64" s="15" t="s">
        <v>194</v>
      </c>
      <c r="W64" s="15"/>
      <c r="X64" s="17"/>
      <c r="Y64" s="15" t="s">
        <v>43</v>
      </c>
      <c r="Z64" s="15" t="s">
        <v>151</v>
      </c>
      <c r="AA64" s="17" t="s">
        <v>101</v>
      </c>
      <c r="AB64" s="8" t="s">
        <v>195</v>
      </c>
    </row>
    <row r="65" customFormat="false" ht="23.85" hidden="false" customHeight="false" outlineLevel="0" collapsed="false">
      <c r="A65" s="25" t="s">
        <v>43</v>
      </c>
      <c r="B65" s="26" t="s">
        <v>101</v>
      </c>
      <c r="C65" s="27" t="s">
        <v>147</v>
      </c>
      <c r="D65" s="28" t="n">
        <f aca="false">D64+F65-G65</f>
        <v>35761.37</v>
      </c>
      <c r="E65" s="29" t="n">
        <v>46234</v>
      </c>
      <c r="F65" s="30" t="n">
        <v>0</v>
      </c>
      <c r="G65" s="30" t="n">
        <v>4909.9</v>
      </c>
      <c r="H65" s="25" t="s">
        <v>148</v>
      </c>
      <c r="I65" s="27" t="s">
        <v>117</v>
      </c>
      <c r="J65" s="27" t="s">
        <v>149</v>
      </c>
      <c r="K65" s="31" t="s">
        <v>169</v>
      </c>
      <c r="L65" s="26"/>
      <c r="M65" s="26"/>
      <c r="N65" s="25"/>
      <c r="O65" s="27"/>
      <c r="P65" s="26"/>
      <c r="Q65" s="25"/>
      <c r="R65" s="25"/>
      <c r="S65" s="25"/>
      <c r="T65" s="32" t="n">
        <v>0.229166666666667</v>
      </c>
      <c r="U65" s="29" t="n">
        <v>46234</v>
      </c>
      <c r="V65" s="25" t="s">
        <v>43</v>
      </c>
      <c r="W65" s="25" t="s">
        <v>151</v>
      </c>
      <c r="X65" s="26" t="s">
        <v>101</v>
      </c>
      <c r="Y65" s="25" t="s">
        <v>170</v>
      </c>
      <c r="Z65" s="25" t="s">
        <v>153</v>
      </c>
      <c r="AA65" s="26" t="s">
        <v>171</v>
      </c>
      <c r="AB65" s="31"/>
    </row>
    <row r="66" customFormat="false" ht="46.25" hidden="false" customHeight="false" outlineLevel="0" collapsed="false">
      <c r="A66" s="15" t="s">
        <v>43</v>
      </c>
      <c r="B66" s="17" t="s">
        <v>101</v>
      </c>
      <c r="C66" s="18" t="s">
        <v>147</v>
      </c>
      <c r="D66" s="22" t="n">
        <f aca="false">D65+F66-G66</f>
        <v>35580.28</v>
      </c>
      <c r="E66" s="16" t="n">
        <v>46234</v>
      </c>
      <c r="F66" s="23" t="n">
        <v>0</v>
      </c>
      <c r="G66" s="23" t="n">
        <v>181.09</v>
      </c>
      <c r="H66" s="15" t="s">
        <v>203</v>
      </c>
      <c r="I66" s="18" t="s">
        <v>117</v>
      </c>
      <c r="J66" s="18" t="s">
        <v>149</v>
      </c>
      <c r="K66" s="8" t="s">
        <v>255</v>
      </c>
      <c r="L66" s="17"/>
      <c r="M66" s="17"/>
      <c r="N66" s="15"/>
      <c r="O66" s="18"/>
      <c r="P66" s="17"/>
      <c r="Q66" s="15"/>
      <c r="R66" s="15"/>
      <c r="S66" s="15"/>
      <c r="T66" s="24" t="n">
        <v>0.979166666666667</v>
      </c>
      <c r="U66" s="16" t="n">
        <v>46234</v>
      </c>
      <c r="V66" s="15"/>
      <c r="W66" s="15"/>
      <c r="X66" s="17"/>
      <c r="Y66" s="15"/>
      <c r="Z66" s="15"/>
      <c r="AA66" s="17"/>
      <c r="AB66" s="8" t="s">
        <v>256</v>
      </c>
    </row>
    <row r="67" customFormat="false" ht="23.85" hidden="false" customHeight="false" outlineLevel="0" collapsed="false">
      <c r="A67" s="25" t="s">
        <v>43</v>
      </c>
      <c r="B67" s="26" t="s">
        <v>101</v>
      </c>
      <c r="C67" s="27" t="s">
        <v>147</v>
      </c>
      <c r="D67" s="28" t="n">
        <f aca="false">D66+F67-G67</f>
        <v>40725.47</v>
      </c>
      <c r="E67" s="29" t="n">
        <v>46237</v>
      </c>
      <c r="F67" s="30" t="n">
        <v>5145.19</v>
      </c>
      <c r="G67" s="30" t="n">
        <v>0</v>
      </c>
      <c r="H67" s="25" t="s">
        <v>155</v>
      </c>
      <c r="I67" s="27" t="s">
        <v>113</v>
      </c>
      <c r="J67" s="27" t="s">
        <v>149</v>
      </c>
      <c r="K67" s="31" t="s">
        <v>257</v>
      </c>
      <c r="L67" s="26"/>
      <c r="M67" s="26"/>
      <c r="N67" s="25"/>
      <c r="O67" s="27"/>
      <c r="P67" s="26"/>
      <c r="Q67" s="25"/>
      <c r="R67" s="25"/>
      <c r="S67" s="25"/>
      <c r="T67" s="32" t="n">
        <v>0.177083333333333</v>
      </c>
      <c r="U67" s="29" t="n">
        <v>46237</v>
      </c>
      <c r="V67" s="25" t="s">
        <v>157</v>
      </c>
      <c r="W67" s="25" t="s">
        <v>153</v>
      </c>
      <c r="X67" s="26" t="s">
        <v>158</v>
      </c>
      <c r="Y67" s="25" t="s">
        <v>43</v>
      </c>
      <c r="Z67" s="25" t="s">
        <v>151</v>
      </c>
      <c r="AA67" s="26" t="s">
        <v>101</v>
      </c>
      <c r="AB67" s="31"/>
    </row>
    <row r="68" customFormat="false" ht="23.85" hidden="false" customHeight="false" outlineLevel="0" collapsed="false">
      <c r="A68" s="15" t="s">
        <v>43</v>
      </c>
      <c r="B68" s="17" t="s">
        <v>101</v>
      </c>
      <c r="C68" s="18" t="s">
        <v>147</v>
      </c>
      <c r="D68" s="22" t="n">
        <f aca="false">D67+F68-G68</f>
        <v>35875.47</v>
      </c>
      <c r="E68" s="16" t="n">
        <v>46237</v>
      </c>
      <c r="F68" s="23" t="n">
        <v>0</v>
      </c>
      <c r="G68" s="23" t="n">
        <v>4850</v>
      </c>
      <c r="H68" s="15" t="s">
        <v>148</v>
      </c>
      <c r="I68" s="18" t="s">
        <v>117</v>
      </c>
      <c r="J68" s="18" t="s">
        <v>149</v>
      </c>
      <c r="K68" s="8" t="s">
        <v>258</v>
      </c>
      <c r="L68" s="17"/>
      <c r="M68" s="17"/>
      <c r="N68" s="15"/>
      <c r="O68" s="18"/>
      <c r="P68" s="17"/>
      <c r="Q68" s="15"/>
      <c r="R68" s="15"/>
      <c r="S68" s="15"/>
      <c r="T68" s="24" t="n">
        <v>0.229166666666667</v>
      </c>
      <c r="U68" s="16" t="n">
        <v>46237</v>
      </c>
      <c r="V68" s="15" t="s">
        <v>43</v>
      </c>
      <c r="W68" s="15" t="s">
        <v>151</v>
      </c>
      <c r="X68" s="17" t="s">
        <v>101</v>
      </c>
      <c r="Y68" s="15" t="s">
        <v>152</v>
      </c>
      <c r="Z68" s="15" t="s">
        <v>153</v>
      </c>
      <c r="AA68" s="17" t="s">
        <v>154</v>
      </c>
      <c r="AB68" s="8"/>
    </row>
    <row r="69" customFormat="false" ht="23.85" hidden="false" customHeight="false" outlineLevel="0" collapsed="false">
      <c r="A69" s="25" t="s">
        <v>43</v>
      </c>
      <c r="B69" s="26" t="s">
        <v>101</v>
      </c>
      <c r="C69" s="27" t="s">
        <v>147</v>
      </c>
      <c r="D69" s="28" t="n">
        <f aca="false">D68+F69-G69</f>
        <v>32870.34</v>
      </c>
      <c r="E69" s="29" t="n">
        <v>46239</v>
      </c>
      <c r="F69" s="30" t="n">
        <v>0</v>
      </c>
      <c r="G69" s="30" t="n">
        <v>3005.13</v>
      </c>
      <c r="H69" s="25" t="s">
        <v>148</v>
      </c>
      <c r="I69" s="27" t="s">
        <v>117</v>
      </c>
      <c r="J69" s="27" t="s">
        <v>149</v>
      </c>
      <c r="K69" s="31" t="s">
        <v>259</v>
      </c>
      <c r="L69" s="26"/>
      <c r="M69" s="26"/>
      <c r="N69" s="25"/>
      <c r="O69" s="27"/>
      <c r="P69" s="26"/>
      <c r="Q69" s="25"/>
      <c r="R69" s="25"/>
      <c r="S69" s="25"/>
      <c r="T69" s="32" t="n">
        <v>0.229166666666667</v>
      </c>
      <c r="U69" s="29" t="n">
        <v>46239</v>
      </c>
      <c r="V69" s="25" t="s">
        <v>43</v>
      </c>
      <c r="W69" s="25" t="s">
        <v>151</v>
      </c>
      <c r="X69" s="26" t="s">
        <v>101</v>
      </c>
      <c r="Y69" s="25" t="s">
        <v>174</v>
      </c>
      <c r="Z69" s="25" t="s">
        <v>175</v>
      </c>
      <c r="AA69" s="26" t="s">
        <v>176</v>
      </c>
      <c r="AB69" s="31"/>
    </row>
    <row r="70" customFormat="false" ht="23.85" hidden="false" customHeight="false" outlineLevel="0" collapsed="false">
      <c r="A70" s="15" t="s">
        <v>43</v>
      </c>
      <c r="B70" s="17" t="s">
        <v>101</v>
      </c>
      <c r="C70" s="18" t="s">
        <v>147</v>
      </c>
      <c r="D70" s="22" t="n">
        <f aca="false">D69+F70-G70</f>
        <v>34109.02</v>
      </c>
      <c r="E70" s="16" t="n">
        <v>46240</v>
      </c>
      <c r="F70" s="23" t="n">
        <v>1238.68</v>
      </c>
      <c r="G70" s="23" t="n">
        <v>0</v>
      </c>
      <c r="H70" s="15" t="s">
        <v>114</v>
      </c>
      <c r="I70" s="18" t="s">
        <v>113</v>
      </c>
      <c r="J70" s="18" t="s">
        <v>149</v>
      </c>
      <c r="K70" s="8" t="s">
        <v>166</v>
      </c>
      <c r="L70" s="17"/>
      <c r="M70" s="17"/>
      <c r="N70" s="15" t="s">
        <v>160</v>
      </c>
      <c r="O70" s="18" t="s">
        <v>161</v>
      </c>
      <c r="P70" s="17" t="s">
        <v>162</v>
      </c>
      <c r="Q70" s="15" t="s">
        <v>163</v>
      </c>
      <c r="R70" s="15" t="s">
        <v>167</v>
      </c>
      <c r="S70" s="15"/>
      <c r="T70" s="24" t="n">
        <v>0.295138888888889</v>
      </c>
      <c r="U70" s="16" t="n">
        <v>46240</v>
      </c>
      <c r="V70" s="15" t="s">
        <v>43</v>
      </c>
      <c r="W70" s="15"/>
      <c r="X70" s="17"/>
      <c r="Y70" s="15" t="s">
        <v>43</v>
      </c>
      <c r="Z70" s="15" t="s">
        <v>151</v>
      </c>
      <c r="AA70" s="17" t="s">
        <v>101</v>
      </c>
      <c r="AB70" s="8" t="s">
        <v>168</v>
      </c>
    </row>
    <row r="71" customFormat="false" ht="23.85" hidden="false" customHeight="false" outlineLevel="0" collapsed="false">
      <c r="A71" s="25" t="s">
        <v>43</v>
      </c>
      <c r="B71" s="26" t="s">
        <v>101</v>
      </c>
      <c r="C71" s="27" t="s">
        <v>147</v>
      </c>
      <c r="D71" s="28" t="n">
        <f aca="false">D70+F71-G71</f>
        <v>39306.88</v>
      </c>
      <c r="E71" s="29" t="n">
        <v>46244</v>
      </c>
      <c r="F71" s="30" t="n">
        <v>5197.86</v>
      </c>
      <c r="G71" s="30" t="n">
        <v>0</v>
      </c>
      <c r="H71" s="25" t="s">
        <v>155</v>
      </c>
      <c r="I71" s="27" t="s">
        <v>113</v>
      </c>
      <c r="J71" s="27" t="s">
        <v>149</v>
      </c>
      <c r="K71" s="31" t="s">
        <v>260</v>
      </c>
      <c r="L71" s="26"/>
      <c r="M71" s="26"/>
      <c r="N71" s="25"/>
      <c r="O71" s="27"/>
      <c r="P71" s="26"/>
      <c r="Q71" s="25"/>
      <c r="R71" s="25"/>
      <c r="S71" s="25"/>
      <c r="T71" s="32" t="n">
        <v>0.177083333333333</v>
      </c>
      <c r="U71" s="29" t="n">
        <v>46244</v>
      </c>
      <c r="V71" s="25" t="s">
        <v>157</v>
      </c>
      <c r="W71" s="25" t="s">
        <v>153</v>
      </c>
      <c r="X71" s="26" t="s">
        <v>158</v>
      </c>
      <c r="Y71" s="25" t="s">
        <v>43</v>
      </c>
      <c r="Z71" s="25" t="s">
        <v>151</v>
      </c>
      <c r="AA71" s="26" t="s">
        <v>101</v>
      </c>
      <c r="AB71" s="31"/>
    </row>
    <row r="72" customFormat="false" ht="23.85" hidden="false" customHeight="false" outlineLevel="0" collapsed="false">
      <c r="A72" s="15" t="s">
        <v>43</v>
      </c>
      <c r="B72" s="17" t="s">
        <v>101</v>
      </c>
      <c r="C72" s="18" t="s">
        <v>147</v>
      </c>
      <c r="D72" s="22" t="n">
        <f aca="false">D71+F72-G72</f>
        <v>49156.88</v>
      </c>
      <c r="E72" s="16" t="n">
        <v>46244</v>
      </c>
      <c r="F72" s="23" t="n">
        <v>9850</v>
      </c>
      <c r="G72" s="23" t="n">
        <v>0</v>
      </c>
      <c r="H72" s="15" t="s">
        <v>114</v>
      </c>
      <c r="I72" s="18" t="s">
        <v>113</v>
      </c>
      <c r="J72" s="18" t="s">
        <v>149</v>
      </c>
      <c r="K72" s="8" t="s">
        <v>159</v>
      </c>
      <c r="L72" s="17"/>
      <c r="M72" s="17"/>
      <c r="N72" s="15" t="s">
        <v>160</v>
      </c>
      <c r="O72" s="18" t="s">
        <v>161</v>
      </c>
      <c r="P72" s="17" t="s">
        <v>162</v>
      </c>
      <c r="Q72" s="15" t="s">
        <v>163</v>
      </c>
      <c r="R72" s="15" t="s">
        <v>164</v>
      </c>
      <c r="S72" s="15"/>
      <c r="T72" s="24" t="n">
        <v>0.442361111111111</v>
      </c>
      <c r="U72" s="16" t="n">
        <v>46244</v>
      </c>
      <c r="V72" s="15" t="s">
        <v>104</v>
      </c>
      <c r="W72" s="15"/>
      <c r="X72" s="17"/>
      <c r="Y72" s="15" t="s">
        <v>43</v>
      </c>
      <c r="Z72" s="15" t="s">
        <v>151</v>
      </c>
      <c r="AA72" s="17" t="s">
        <v>101</v>
      </c>
      <c r="AB72" s="8" t="s">
        <v>188</v>
      </c>
    </row>
    <row r="73" customFormat="false" ht="35.05" hidden="false" customHeight="false" outlineLevel="0" collapsed="false">
      <c r="A73" s="25" t="s">
        <v>43</v>
      </c>
      <c r="B73" s="26" t="s">
        <v>101</v>
      </c>
      <c r="C73" s="27" t="s">
        <v>147</v>
      </c>
      <c r="D73" s="28" t="n">
        <f aca="false">D72+F73-G73</f>
        <v>58456.88</v>
      </c>
      <c r="E73" s="29" t="n">
        <v>46245</v>
      </c>
      <c r="F73" s="30" t="n">
        <v>9300</v>
      </c>
      <c r="G73" s="30" t="n">
        <v>0</v>
      </c>
      <c r="H73" s="25" t="s">
        <v>114</v>
      </c>
      <c r="I73" s="27" t="s">
        <v>113</v>
      </c>
      <c r="J73" s="27" t="s">
        <v>149</v>
      </c>
      <c r="K73" s="31" t="s">
        <v>159</v>
      </c>
      <c r="L73" s="26"/>
      <c r="M73" s="26"/>
      <c r="N73" s="25" t="s">
        <v>212</v>
      </c>
      <c r="O73" s="27" t="s">
        <v>161</v>
      </c>
      <c r="P73" s="26" t="s">
        <v>213</v>
      </c>
      <c r="Q73" s="25" t="s">
        <v>214</v>
      </c>
      <c r="R73" s="25" t="s">
        <v>215</v>
      </c>
      <c r="S73" s="25"/>
      <c r="T73" s="32" t="n">
        <v>0.46875</v>
      </c>
      <c r="U73" s="29" t="n">
        <v>46245</v>
      </c>
      <c r="V73" s="25" t="s">
        <v>194</v>
      </c>
      <c r="W73" s="25"/>
      <c r="X73" s="26"/>
      <c r="Y73" s="25" t="s">
        <v>43</v>
      </c>
      <c r="Z73" s="25" t="s">
        <v>151</v>
      </c>
      <c r="AA73" s="26" t="s">
        <v>101</v>
      </c>
      <c r="AB73" s="31" t="s">
        <v>195</v>
      </c>
    </row>
    <row r="74" customFormat="false" ht="23.85" hidden="false" customHeight="false" outlineLevel="0" collapsed="false">
      <c r="A74" s="15" t="s">
        <v>189</v>
      </c>
      <c r="B74" s="17" t="s">
        <v>101</v>
      </c>
      <c r="C74" s="18" t="s">
        <v>147</v>
      </c>
      <c r="D74" s="22" t="n">
        <f aca="false">D73+F74-G74</f>
        <v>67206.88</v>
      </c>
      <c r="E74" s="16" t="n">
        <v>46246</v>
      </c>
      <c r="F74" s="23" t="n">
        <v>8750</v>
      </c>
      <c r="G74" s="23" t="n">
        <v>0</v>
      </c>
      <c r="H74" s="15" t="s">
        <v>114</v>
      </c>
      <c r="I74" s="18" t="s">
        <v>113</v>
      </c>
      <c r="J74" s="18" t="s">
        <v>149</v>
      </c>
      <c r="K74" s="8" t="s">
        <v>159</v>
      </c>
      <c r="L74" s="17"/>
      <c r="M74" s="17"/>
      <c r="N74" s="15" t="s">
        <v>190</v>
      </c>
      <c r="O74" s="18" t="s">
        <v>161</v>
      </c>
      <c r="P74" s="17" t="s">
        <v>191</v>
      </c>
      <c r="Q74" s="15" t="s">
        <v>192</v>
      </c>
      <c r="R74" s="15" t="s">
        <v>193</v>
      </c>
      <c r="S74" s="15"/>
      <c r="T74" s="24" t="n">
        <v>0.655555555555556</v>
      </c>
      <c r="U74" s="16" t="n">
        <v>46246</v>
      </c>
      <c r="V74" s="15" t="s">
        <v>104</v>
      </c>
      <c r="W74" s="15"/>
      <c r="X74" s="17"/>
      <c r="Y74" s="15" t="s">
        <v>43</v>
      </c>
      <c r="Z74" s="15" t="s">
        <v>151</v>
      </c>
      <c r="AA74" s="17" t="s">
        <v>101</v>
      </c>
      <c r="AB74" s="8" t="s">
        <v>188</v>
      </c>
    </row>
    <row r="75" customFormat="false" ht="23.85" hidden="false" customHeight="false" outlineLevel="0" collapsed="false">
      <c r="A75" s="25" t="s">
        <v>43</v>
      </c>
      <c r="B75" s="26" t="s">
        <v>101</v>
      </c>
      <c r="C75" s="27" t="s">
        <v>147</v>
      </c>
      <c r="D75" s="28" t="n">
        <f aca="false">D74+F75-G75</f>
        <v>62177.14</v>
      </c>
      <c r="E75" s="29" t="n">
        <v>46248</v>
      </c>
      <c r="F75" s="30" t="n">
        <v>0</v>
      </c>
      <c r="G75" s="30" t="n">
        <v>5029.74</v>
      </c>
      <c r="H75" s="25" t="s">
        <v>148</v>
      </c>
      <c r="I75" s="27" t="s">
        <v>117</v>
      </c>
      <c r="J75" s="27" t="s">
        <v>149</v>
      </c>
      <c r="K75" s="31" t="s">
        <v>169</v>
      </c>
      <c r="L75" s="26"/>
      <c r="M75" s="26"/>
      <c r="N75" s="25"/>
      <c r="O75" s="27"/>
      <c r="P75" s="26"/>
      <c r="Q75" s="25"/>
      <c r="R75" s="25"/>
      <c r="S75" s="25"/>
      <c r="T75" s="32" t="n">
        <v>0.229166666666667</v>
      </c>
      <c r="U75" s="29" t="n">
        <v>46248</v>
      </c>
      <c r="V75" s="25" t="s">
        <v>43</v>
      </c>
      <c r="W75" s="25" t="s">
        <v>151</v>
      </c>
      <c r="X75" s="26" t="s">
        <v>101</v>
      </c>
      <c r="Y75" s="25" t="s">
        <v>170</v>
      </c>
      <c r="Z75" s="25" t="s">
        <v>153</v>
      </c>
      <c r="AA75" s="26" t="s">
        <v>171</v>
      </c>
      <c r="AB75" s="31"/>
    </row>
    <row r="76" customFormat="false" ht="23.85" hidden="false" customHeight="false" outlineLevel="0" collapsed="false">
      <c r="A76" s="15" t="s">
        <v>43</v>
      </c>
      <c r="B76" s="17" t="s">
        <v>101</v>
      </c>
      <c r="C76" s="18" t="s">
        <v>147</v>
      </c>
      <c r="D76" s="22" t="n">
        <f aca="false">D75+F76-G76</f>
        <v>58927.14</v>
      </c>
      <c r="E76" s="16" t="n">
        <v>46248</v>
      </c>
      <c r="F76" s="23" t="n">
        <v>0</v>
      </c>
      <c r="G76" s="23" t="n">
        <v>3250</v>
      </c>
      <c r="H76" s="15" t="s">
        <v>181</v>
      </c>
      <c r="I76" s="18" t="s">
        <v>117</v>
      </c>
      <c r="J76" s="18" t="s">
        <v>149</v>
      </c>
      <c r="K76" s="8" t="s">
        <v>182</v>
      </c>
      <c r="L76" s="17"/>
      <c r="M76" s="17"/>
      <c r="N76" s="15"/>
      <c r="O76" s="18"/>
      <c r="P76" s="17"/>
      <c r="Q76" s="15" t="s">
        <v>183</v>
      </c>
      <c r="R76" s="15"/>
      <c r="S76" s="15"/>
      <c r="T76" s="24" t="n">
        <v>0.341666666666667</v>
      </c>
      <c r="U76" s="16" t="n">
        <v>46248</v>
      </c>
      <c r="V76" s="15" t="s">
        <v>43</v>
      </c>
      <c r="W76" s="15" t="s">
        <v>151</v>
      </c>
      <c r="X76" s="17" t="s">
        <v>101</v>
      </c>
      <c r="Y76" s="15" t="s">
        <v>104</v>
      </c>
      <c r="Z76" s="15" t="s">
        <v>151</v>
      </c>
      <c r="AA76" s="17" t="s">
        <v>103</v>
      </c>
      <c r="AB76" s="8"/>
    </row>
    <row r="77" customFormat="false" ht="57.45" hidden="false" customHeight="false" outlineLevel="0" collapsed="false">
      <c r="A77" s="25" t="s">
        <v>43</v>
      </c>
      <c r="B77" s="26" t="s">
        <v>101</v>
      </c>
      <c r="C77" s="27" t="s">
        <v>147</v>
      </c>
      <c r="D77" s="28" t="n">
        <f aca="false">D76+F77-G77</f>
        <v>32516.84</v>
      </c>
      <c r="E77" s="29" t="n">
        <v>46248</v>
      </c>
      <c r="F77" s="30" t="n">
        <v>0</v>
      </c>
      <c r="G77" s="30" t="n">
        <v>26410.3</v>
      </c>
      <c r="H77" s="25" t="s">
        <v>118</v>
      </c>
      <c r="I77" s="27" t="s">
        <v>117</v>
      </c>
      <c r="J77" s="27" t="s">
        <v>149</v>
      </c>
      <c r="K77" s="31" t="s">
        <v>197</v>
      </c>
      <c r="L77" s="26"/>
      <c r="M77" s="26"/>
      <c r="N77" s="25"/>
      <c r="O77" s="27"/>
      <c r="P77" s="26"/>
      <c r="Q77" s="25" t="s">
        <v>183</v>
      </c>
      <c r="R77" s="25"/>
      <c r="S77" s="25"/>
      <c r="T77" s="32" t="n">
        <v>0.415277777777778</v>
      </c>
      <c r="U77" s="29" t="n">
        <v>46248</v>
      </c>
      <c r="V77" s="25" t="s">
        <v>43</v>
      </c>
      <c r="W77" s="25" t="s">
        <v>151</v>
      </c>
      <c r="X77" s="26" t="s">
        <v>101</v>
      </c>
      <c r="Y77" s="25" t="s">
        <v>198</v>
      </c>
      <c r="Z77" s="25" t="s">
        <v>199</v>
      </c>
      <c r="AA77" s="26" t="s">
        <v>200</v>
      </c>
      <c r="AB77" s="31" t="s">
        <v>261</v>
      </c>
    </row>
    <row r="78" customFormat="false" ht="23.85" hidden="false" customHeight="false" outlineLevel="0" collapsed="false">
      <c r="A78" s="15" t="s">
        <v>43</v>
      </c>
      <c r="B78" s="17" t="s">
        <v>101</v>
      </c>
      <c r="C78" s="18" t="s">
        <v>147</v>
      </c>
      <c r="D78" s="22" t="n">
        <f aca="false">D77+F78-G78</f>
        <v>37918</v>
      </c>
      <c r="E78" s="16" t="n">
        <v>46251</v>
      </c>
      <c r="F78" s="23" t="n">
        <v>5401.16</v>
      </c>
      <c r="G78" s="23" t="n">
        <v>0</v>
      </c>
      <c r="H78" s="15" t="s">
        <v>155</v>
      </c>
      <c r="I78" s="18" t="s">
        <v>113</v>
      </c>
      <c r="J78" s="18" t="s">
        <v>149</v>
      </c>
      <c r="K78" s="8" t="s">
        <v>262</v>
      </c>
      <c r="L78" s="17"/>
      <c r="M78" s="17"/>
      <c r="N78" s="15"/>
      <c r="O78" s="18"/>
      <c r="P78" s="17"/>
      <c r="Q78" s="15"/>
      <c r="R78" s="15"/>
      <c r="S78" s="15"/>
      <c r="T78" s="24" t="n">
        <v>0.177083333333333</v>
      </c>
      <c r="U78" s="16" t="n">
        <v>46251</v>
      </c>
      <c r="V78" s="15" t="s">
        <v>157</v>
      </c>
      <c r="W78" s="15" t="s">
        <v>153</v>
      </c>
      <c r="X78" s="17" t="s">
        <v>158</v>
      </c>
      <c r="Y78" s="15" t="s">
        <v>43</v>
      </c>
      <c r="Z78" s="15" t="s">
        <v>151</v>
      </c>
      <c r="AA78" s="17" t="s">
        <v>101</v>
      </c>
      <c r="AB78" s="8"/>
    </row>
    <row r="79" customFormat="false" ht="23.85" hidden="false" customHeight="false" outlineLevel="0" collapsed="false">
      <c r="A79" s="25" t="s">
        <v>43</v>
      </c>
      <c r="B79" s="26" t="s">
        <v>101</v>
      </c>
      <c r="C79" s="27" t="s">
        <v>147</v>
      </c>
      <c r="D79" s="28" t="n">
        <f aca="false">D78+F79-G79</f>
        <v>37334.47</v>
      </c>
      <c r="E79" s="29" t="n">
        <v>46251</v>
      </c>
      <c r="F79" s="30" t="n">
        <v>0</v>
      </c>
      <c r="G79" s="30" t="n">
        <v>583.53</v>
      </c>
      <c r="H79" s="25" t="s">
        <v>148</v>
      </c>
      <c r="I79" s="27" t="s">
        <v>117</v>
      </c>
      <c r="J79" s="27" t="s">
        <v>149</v>
      </c>
      <c r="K79" s="31" t="s">
        <v>185</v>
      </c>
      <c r="L79" s="26"/>
      <c r="M79" s="26"/>
      <c r="N79" s="25"/>
      <c r="O79" s="27"/>
      <c r="P79" s="26"/>
      <c r="Q79" s="25"/>
      <c r="R79" s="25"/>
      <c r="S79" s="25"/>
      <c r="T79" s="32" t="n">
        <v>0.229166666666667</v>
      </c>
      <c r="U79" s="29" t="n">
        <v>46251</v>
      </c>
      <c r="V79" s="25" t="s">
        <v>43</v>
      </c>
      <c r="W79" s="25" t="s">
        <v>151</v>
      </c>
      <c r="X79" s="26" t="s">
        <v>101</v>
      </c>
      <c r="Y79" s="25" t="s">
        <v>186</v>
      </c>
      <c r="Z79" s="25" t="s">
        <v>153</v>
      </c>
      <c r="AA79" s="26" t="s">
        <v>187</v>
      </c>
      <c r="AB79" s="31"/>
    </row>
    <row r="80" customFormat="false" ht="23.85" hidden="false" customHeight="false" outlineLevel="0" collapsed="false">
      <c r="A80" s="15" t="s">
        <v>43</v>
      </c>
      <c r="B80" s="17" t="s">
        <v>101</v>
      </c>
      <c r="C80" s="18" t="s">
        <v>147</v>
      </c>
      <c r="D80" s="22" t="n">
        <f aca="false">D79+F80-G80</f>
        <v>28334.47</v>
      </c>
      <c r="E80" s="16" t="n">
        <v>46252</v>
      </c>
      <c r="F80" s="23" t="n">
        <v>0</v>
      </c>
      <c r="G80" s="23" t="n">
        <v>9000</v>
      </c>
      <c r="H80" s="15" t="s">
        <v>118</v>
      </c>
      <c r="I80" s="18" t="s">
        <v>117</v>
      </c>
      <c r="J80" s="18" t="s">
        <v>149</v>
      </c>
      <c r="K80" s="8" t="s">
        <v>216</v>
      </c>
      <c r="L80" s="17"/>
      <c r="M80" s="17"/>
      <c r="N80" s="15"/>
      <c r="O80" s="18"/>
      <c r="P80" s="17"/>
      <c r="Q80" s="15" t="s">
        <v>183</v>
      </c>
      <c r="R80" s="15"/>
      <c r="S80" s="15"/>
      <c r="T80" s="24" t="n">
        <v>0.434722222222222</v>
      </c>
      <c r="U80" s="16" t="n">
        <v>46252</v>
      </c>
      <c r="V80" s="15" t="s">
        <v>43</v>
      </c>
      <c r="W80" s="15" t="s">
        <v>151</v>
      </c>
      <c r="X80" s="17" t="s">
        <v>101</v>
      </c>
      <c r="Y80" s="15" t="s">
        <v>217</v>
      </c>
      <c r="Z80" s="15" t="s">
        <v>218</v>
      </c>
      <c r="AA80" s="17" t="s">
        <v>219</v>
      </c>
      <c r="AB80" s="8" t="s">
        <v>263</v>
      </c>
    </row>
    <row r="81" customFormat="false" ht="23.85" hidden="false" customHeight="false" outlineLevel="0" collapsed="false">
      <c r="A81" s="25" t="s">
        <v>43</v>
      </c>
      <c r="B81" s="26" t="s">
        <v>101</v>
      </c>
      <c r="C81" s="27" t="s">
        <v>147</v>
      </c>
      <c r="D81" s="28" t="n">
        <f aca="false">D80+F81-G81</f>
        <v>25712.42</v>
      </c>
      <c r="E81" s="29" t="n">
        <v>46253</v>
      </c>
      <c r="F81" s="30" t="n">
        <v>0</v>
      </c>
      <c r="G81" s="30" t="n">
        <v>2622.05</v>
      </c>
      <c r="H81" s="25" t="s">
        <v>148</v>
      </c>
      <c r="I81" s="27" t="s">
        <v>117</v>
      </c>
      <c r="J81" s="27" t="s">
        <v>149</v>
      </c>
      <c r="K81" s="31" t="s">
        <v>264</v>
      </c>
      <c r="L81" s="26"/>
      <c r="M81" s="26"/>
      <c r="N81" s="25"/>
      <c r="O81" s="27"/>
      <c r="P81" s="26"/>
      <c r="Q81" s="25"/>
      <c r="R81" s="25"/>
      <c r="S81" s="25"/>
      <c r="T81" s="32" t="n">
        <v>0.229166666666667</v>
      </c>
      <c r="U81" s="29" t="n">
        <v>46253</v>
      </c>
      <c r="V81" s="25" t="s">
        <v>43</v>
      </c>
      <c r="W81" s="25" t="s">
        <v>151</v>
      </c>
      <c r="X81" s="26" t="s">
        <v>101</v>
      </c>
      <c r="Y81" s="25" t="s">
        <v>174</v>
      </c>
      <c r="Z81" s="25" t="s">
        <v>175</v>
      </c>
      <c r="AA81" s="26" t="s">
        <v>176</v>
      </c>
      <c r="AB81" s="31"/>
    </row>
    <row r="82" customFormat="false" ht="23.85" hidden="false" customHeight="false" outlineLevel="0" collapsed="false">
      <c r="A82" s="15" t="s">
        <v>43</v>
      </c>
      <c r="B82" s="17" t="s">
        <v>101</v>
      </c>
      <c r="C82" s="18" t="s">
        <v>147</v>
      </c>
      <c r="D82" s="22" t="n">
        <f aca="false">D81+F82-G82</f>
        <v>27008.86</v>
      </c>
      <c r="E82" s="16" t="n">
        <v>46254</v>
      </c>
      <c r="F82" s="23" t="n">
        <v>1296.44</v>
      </c>
      <c r="G82" s="23" t="n">
        <v>0</v>
      </c>
      <c r="H82" s="15" t="s">
        <v>114</v>
      </c>
      <c r="I82" s="18" t="s">
        <v>113</v>
      </c>
      <c r="J82" s="18" t="s">
        <v>149</v>
      </c>
      <c r="K82" s="8" t="s">
        <v>166</v>
      </c>
      <c r="L82" s="17"/>
      <c r="M82" s="17"/>
      <c r="N82" s="15" t="s">
        <v>160</v>
      </c>
      <c r="O82" s="18" t="s">
        <v>161</v>
      </c>
      <c r="P82" s="17" t="s">
        <v>162</v>
      </c>
      <c r="Q82" s="15" t="s">
        <v>163</v>
      </c>
      <c r="R82" s="15" t="s">
        <v>167</v>
      </c>
      <c r="S82" s="15"/>
      <c r="T82" s="24" t="n">
        <v>0.295138888888889</v>
      </c>
      <c r="U82" s="16" t="n">
        <v>46254</v>
      </c>
      <c r="V82" s="15" t="s">
        <v>43</v>
      </c>
      <c r="W82" s="15"/>
      <c r="X82" s="17"/>
      <c r="Y82" s="15" t="s">
        <v>43</v>
      </c>
      <c r="Z82" s="15" t="s">
        <v>151</v>
      </c>
      <c r="AA82" s="17" t="s">
        <v>101</v>
      </c>
      <c r="AB82" s="8" t="s">
        <v>168</v>
      </c>
    </row>
    <row r="83" customFormat="false" ht="23.85" hidden="false" customHeight="false" outlineLevel="0" collapsed="false">
      <c r="A83" s="25" t="s">
        <v>43</v>
      </c>
      <c r="B83" s="26" t="s">
        <v>101</v>
      </c>
      <c r="C83" s="27" t="s">
        <v>147</v>
      </c>
      <c r="D83" s="28" t="n">
        <f aca="false">D82+F83-G83</f>
        <v>32497.74</v>
      </c>
      <c r="E83" s="29" t="n">
        <v>46258</v>
      </c>
      <c r="F83" s="30" t="n">
        <v>5488.88</v>
      </c>
      <c r="G83" s="30" t="n">
        <v>0</v>
      </c>
      <c r="H83" s="25" t="s">
        <v>155</v>
      </c>
      <c r="I83" s="27" t="s">
        <v>113</v>
      </c>
      <c r="J83" s="27" t="s">
        <v>149</v>
      </c>
      <c r="K83" s="31" t="s">
        <v>265</v>
      </c>
      <c r="L83" s="26"/>
      <c r="M83" s="26"/>
      <c r="N83" s="25"/>
      <c r="O83" s="27"/>
      <c r="P83" s="26"/>
      <c r="Q83" s="25"/>
      <c r="R83" s="25"/>
      <c r="S83" s="25"/>
      <c r="T83" s="32" t="n">
        <v>0.177083333333333</v>
      </c>
      <c r="U83" s="29" t="n">
        <v>46258</v>
      </c>
      <c r="V83" s="25" t="s">
        <v>157</v>
      </c>
      <c r="W83" s="25" t="s">
        <v>153</v>
      </c>
      <c r="X83" s="26" t="s">
        <v>158</v>
      </c>
      <c r="Y83" s="25" t="s">
        <v>43</v>
      </c>
      <c r="Z83" s="25" t="s">
        <v>151</v>
      </c>
      <c r="AA83" s="26" t="s">
        <v>101</v>
      </c>
      <c r="AB83" s="31"/>
    </row>
    <row r="84" customFormat="false" ht="23.85" hidden="false" customHeight="false" outlineLevel="0" collapsed="false">
      <c r="A84" s="15" t="s">
        <v>43</v>
      </c>
      <c r="B84" s="17" t="s">
        <v>101</v>
      </c>
      <c r="C84" s="18" t="s">
        <v>147</v>
      </c>
      <c r="D84" s="22" t="n">
        <f aca="false">D83+F84-G84</f>
        <v>27218.62</v>
      </c>
      <c r="E84" s="16" t="n">
        <v>46262</v>
      </c>
      <c r="F84" s="23" t="n">
        <v>0</v>
      </c>
      <c r="G84" s="23" t="n">
        <v>5279.12</v>
      </c>
      <c r="H84" s="15" t="s">
        <v>148</v>
      </c>
      <c r="I84" s="18" t="s">
        <v>117</v>
      </c>
      <c r="J84" s="18" t="s">
        <v>149</v>
      </c>
      <c r="K84" s="8" t="s">
        <v>169</v>
      </c>
      <c r="L84" s="17"/>
      <c r="M84" s="17"/>
      <c r="N84" s="15"/>
      <c r="O84" s="18"/>
      <c r="P84" s="17"/>
      <c r="Q84" s="15"/>
      <c r="R84" s="15"/>
      <c r="S84" s="15"/>
      <c r="T84" s="24" t="n">
        <v>0.229166666666667</v>
      </c>
      <c r="U84" s="16" t="n">
        <v>46262</v>
      </c>
      <c r="V84" s="15" t="s">
        <v>43</v>
      </c>
      <c r="W84" s="15" t="s">
        <v>151</v>
      </c>
      <c r="X84" s="17" t="s">
        <v>101</v>
      </c>
      <c r="Y84" s="15" t="s">
        <v>170</v>
      </c>
      <c r="Z84" s="15" t="s">
        <v>153</v>
      </c>
      <c r="AA84" s="17" t="s">
        <v>171</v>
      </c>
      <c r="AB84" s="8"/>
    </row>
    <row r="85" customFormat="false" ht="23.85" hidden="false" customHeight="false" outlineLevel="0" collapsed="false">
      <c r="A85" s="25" t="s">
        <v>43</v>
      </c>
      <c r="B85" s="26" t="s">
        <v>101</v>
      </c>
      <c r="C85" s="27" t="s">
        <v>147</v>
      </c>
      <c r="D85" s="28" t="n">
        <f aca="false">D84+F85-G85</f>
        <v>32618.89</v>
      </c>
      <c r="E85" s="29" t="n">
        <v>46265</v>
      </c>
      <c r="F85" s="30" t="n">
        <v>5400.27</v>
      </c>
      <c r="G85" s="30" t="n">
        <v>0</v>
      </c>
      <c r="H85" s="25" t="s">
        <v>155</v>
      </c>
      <c r="I85" s="27" t="s">
        <v>113</v>
      </c>
      <c r="J85" s="27" t="s">
        <v>149</v>
      </c>
      <c r="K85" s="31" t="s">
        <v>266</v>
      </c>
      <c r="L85" s="26"/>
      <c r="M85" s="26"/>
      <c r="N85" s="25"/>
      <c r="O85" s="27"/>
      <c r="P85" s="26"/>
      <c r="Q85" s="25"/>
      <c r="R85" s="25"/>
      <c r="S85" s="25"/>
      <c r="T85" s="32" t="n">
        <v>0.177083333333333</v>
      </c>
      <c r="U85" s="29" t="n">
        <v>46265</v>
      </c>
      <c r="V85" s="25" t="s">
        <v>157</v>
      </c>
      <c r="W85" s="25" t="s">
        <v>153</v>
      </c>
      <c r="X85" s="26" t="s">
        <v>158</v>
      </c>
      <c r="Y85" s="25" t="s">
        <v>43</v>
      </c>
      <c r="Z85" s="25" t="s">
        <v>151</v>
      </c>
      <c r="AA85" s="26" t="s">
        <v>101</v>
      </c>
      <c r="AB85" s="31"/>
    </row>
    <row r="86" customFormat="false" ht="46.25" hidden="false" customHeight="false" outlineLevel="0" collapsed="false">
      <c r="A86" s="15" t="s">
        <v>43</v>
      </c>
      <c r="B86" s="17" t="s">
        <v>101</v>
      </c>
      <c r="C86" s="18" t="s">
        <v>147</v>
      </c>
      <c r="D86" s="22" t="n">
        <f aca="false">D85+F86-G86</f>
        <v>32466.24</v>
      </c>
      <c r="E86" s="16" t="n">
        <v>46265</v>
      </c>
      <c r="F86" s="23" t="n">
        <v>0</v>
      </c>
      <c r="G86" s="23" t="n">
        <v>152.65</v>
      </c>
      <c r="H86" s="15" t="s">
        <v>203</v>
      </c>
      <c r="I86" s="18" t="s">
        <v>117</v>
      </c>
      <c r="J86" s="18" t="s">
        <v>149</v>
      </c>
      <c r="K86" s="8" t="s">
        <v>267</v>
      </c>
      <c r="L86" s="17"/>
      <c r="M86" s="17"/>
      <c r="N86" s="15"/>
      <c r="O86" s="18"/>
      <c r="P86" s="17"/>
      <c r="Q86" s="15"/>
      <c r="R86" s="15"/>
      <c r="S86" s="15"/>
      <c r="T86" s="24" t="n">
        <v>0.979166666666667</v>
      </c>
      <c r="U86" s="16" t="n">
        <v>46265</v>
      </c>
      <c r="V86" s="15"/>
      <c r="W86" s="15"/>
      <c r="X86" s="17"/>
      <c r="Y86" s="15"/>
      <c r="Z86" s="15"/>
      <c r="AA86" s="17"/>
      <c r="AB86" s="8" t="s">
        <v>268</v>
      </c>
    </row>
    <row r="87" customFormat="false" ht="23.85" hidden="false" customHeight="false" outlineLevel="0" collapsed="false">
      <c r="A87" s="25" t="s">
        <v>104</v>
      </c>
      <c r="B87" s="26" t="s">
        <v>103</v>
      </c>
      <c r="C87" s="27" t="s">
        <v>269</v>
      </c>
      <c r="D87" s="28" t="n">
        <f aca="false">6214.58+F87-G87</f>
        <v>4074.58</v>
      </c>
      <c r="E87" s="29" t="n">
        <v>46143</v>
      </c>
      <c r="F87" s="30" t="n">
        <v>0</v>
      </c>
      <c r="G87" s="30" t="n">
        <v>2140</v>
      </c>
      <c r="H87" s="25" t="s">
        <v>148</v>
      </c>
      <c r="I87" s="27" t="s">
        <v>117</v>
      </c>
      <c r="J87" s="27" t="s">
        <v>149</v>
      </c>
      <c r="K87" s="31" t="s">
        <v>270</v>
      </c>
      <c r="L87" s="26"/>
      <c r="M87" s="26"/>
      <c r="N87" s="25"/>
      <c r="O87" s="27"/>
      <c r="P87" s="26"/>
      <c r="Q87" s="25"/>
      <c r="R87" s="25"/>
      <c r="S87" s="25"/>
      <c r="T87" s="32" t="n">
        <v>0.229166666666667</v>
      </c>
      <c r="U87" s="29" t="n">
        <v>46143</v>
      </c>
      <c r="V87" s="25" t="s">
        <v>104</v>
      </c>
      <c r="W87" s="25" t="s">
        <v>151</v>
      </c>
      <c r="X87" s="26" t="s">
        <v>103</v>
      </c>
      <c r="Y87" s="25" t="s">
        <v>271</v>
      </c>
      <c r="Z87" s="25" t="s">
        <v>153</v>
      </c>
      <c r="AA87" s="26" t="s">
        <v>272</v>
      </c>
      <c r="AB87" s="31"/>
    </row>
    <row r="88" customFormat="false" ht="15" hidden="false" customHeight="false" outlineLevel="0" collapsed="false">
      <c r="A88" s="15" t="s">
        <v>104</v>
      </c>
      <c r="B88" s="17" t="s">
        <v>103</v>
      </c>
      <c r="C88" s="18" t="s">
        <v>269</v>
      </c>
      <c r="D88" s="22" t="n">
        <f aca="false">D87+F88-G88</f>
        <v>3926.26</v>
      </c>
      <c r="E88" s="16" t="n">
        <v>46153</v>
      </c>
      <c r="F88" s="23" t="n">
        <v>0</v>
      </c>
      <c r="G88" s="23" t="n">
        <v>148.32</v>
      </c>
      <c r="H88" s="15" t="s">
        <v>273</v>
      </c>
      <c r="I88" s="18" t="s">
        <v>117</v>
      </c>
      <c r="J88" s="18" t="s">
        <v>149</v>
      </c>
      <c r="K88" s="8" t="s">
        <v>274</v>
      </c>
      <c r="L88" s="17" t="s">
        <v>275</v>
      </c>
      <c r="M88" s="17"/>
      <c r="N88" s="15" t="s">
        <v>276</v>
      </c>
      <c r="O88" s="18" t="s">
        <v>161</v>
      </c>
      <c r="P88" s="17" t="s">
        <v>277</v>
      </c>
      <c r="Q88" s="15"/>
      <c r="R88" s="15"/>
      <c r="S88" s="15" t="s">
        <v>278</v>
      </c>
      <c r="T88" s="24" t="n">
        <v>0.764583333333333</v>
      </c>
      <c r="U88" s="16" t="n">
        <v>46153</v>
      </c>
      <c r="V88" s="15" t="s">
        <v>104</v>
      </c>
      <c r="W88" s="15" t="s">
        <v>151</v>
      </c>
      <c r="X88" s="17" t="s">
        <v>103</v>
      </c>
      <c r="Y88" s="15" t="s">
        <v>279</v>
      </c>
      <c r="Z88" s="15"/>
      <c r="AA88" s="17"/>
      <c r="AB88" s="8"/>
    </row>
    <row r="89" customFormat="false" ht="23.85" hidden="false" customHeight="false" outlineLevel="0" collapsed="false">
      <c r="A89" s="25" t="s">
        <v>104</v>
      </c>
      <c r="B89" s="26" t="s">
        <v>103</v>
      </c>
      <c r="C89" s="27" t="s">
        <v>269</v>
      </c>
      <c r="D89" s="28" t="n">
        <f aca="false">D88+F89-G89</f>
        <v>7176.26</v>
      </c>
      <c r="E89" s="29" t="n">
        <v>46157</v>
      </c>
      <c r="F89" s="30" t="n">
        <v>3250</v>
      </c>
      <c r="G89" s="30" t="n">
        <v>0</v>
      </c>
      <c r="H89" s="25" t="s">
        <v>181</v>
      </c>
      <c r="I89" s="27" t="s">
        <v>113</v>
      </c>
      <c r="J89" s="27" t="s">
        <v>149</v>
      </c>
      <c r="K89" s="31" t="s">
        <v>280</v>
      </c>
      <c r="L89" s="26"/>
      <c r="M89" s="26"/>
      <c r="N89" s="25"/>
      <c r="O89" s="27"/>
      <c r="P89" s="26"/>
      <c r="Q89" s="25" t="s">
        <v>183</v>
      </c>
      <c r="R89" s="25"/>
      <c r="S89" s="25"/>
      <c r="T89" s="32" t="n">
        <v>0.341666666666667</v>
      </c>
      <c r="U89" s="29" t="n">
        <v>46157</v>
      </c>
      <c r="V89" s="25" t="s">
        <v>43</v>
      </c>
      <c r="W89" s="25" t="s">
        <v>151</v>
      </c>
      <c r="X89" s="26" t="s">
        <v>101</v>
      </c>
      <c r="Y89" s="25" t="s">
        <v>104</v>
      </c>
      <c r="Z89" s="25" t="s">
        <v>151</v>
      </c>
      <c r="AA89" s="26" t="s">
        <v>103</v>
      </c>
      <c r="AB89" s="31"/>
    </row>
    <row r="90" customFormat="false" ht="23.85" hidden="false" customHeight="false" outlineLevel="0" collapsed="false">
      <c r="A90" s="15" t="s">
        <v>104</v>
      </c>
      <c r="B90" s="17" t="s">
        <v>103</v>
      </c>
      <c r="C90" s="18" t="s">
        <v>269</v>
      </c>
      <c r="D90" s="22" t="n">
        <f aca="false">D89+F90-G90</f>
        <v>6994.6</v>
      </c>
      <c r="E90" s="16" t="n">
        <v>46162</v>
      </c>
      <c r="F90" s="23" t="n">
        <v>0</v>
      </c>
      <c r="G90" s="23" t="n">
        <v>181.66</v>
      </c>
      <c r="H90" s="15" t="s">
        <v>148</v>
      </c>
      <c r="I90" s="18" t="s">
        <v>117</v>
      </c>
      <c r="J90" s="18" t="s">
        <v>149</v>
      </c>
      <c r="K90" s="8" t="s">
        <v>281</v>
      </c>
      <c r="L90" s="17"/>
      <c r="M90" s="17"/>
      <c r="N90" s="15"/>
      <c r="O90" s="18"/>
      <c r="P90" s="17"/>
      <c r="Q90" s="15"/>
      <c r="R90" s="15"/>
      <c r="S90" s="15"/>
      <c r="T90" s="24" t="n">
        <v>0.229166666666667</v>
      </c>
      <c r="U90" s="16" t="n">
        <v>46162</v>
      </c>
      <c r="V90" s="15" t="s">
        <v>104</v>
      </c>
      <c r="W90" s="15" t="s">
        <v>151</v>
      </c>
      <c r="X90" s="17" t="s">
        <v>103</v>
      </c>
      <c r="Y90" s="15" t="s">
        <v>186</v>
      </c>
      <c r="Z90" s="15" t="s">
        <v>153</v>
      </c>
      <c r="AA90" s="17" t="s">
        <v>187</v>
      </c>
      <c r="AB90" s="8"/>
    </row>
    <row r="91" customFormat="false" ht="23.85" hidden="false" customHeight="false" outlineLevel="0" collapsed="false">
      <c r="A91" s="25" t="s">
        <v>104</v>
      </c>
      <c r="B91" s="26" t="s">
        <v>103</v>
      </c>
      <c r="C91" s="27" t="s">
        <v>269</v>
      </c>
      <c r="D91" s="28" t="n">
        <f aca="false">D90+F91-G91</f>
        <v>15894.6</v>
      </c>
      <c r="E91" s="29" t="n">
        <v>46163</v>
      </c>
      <c r="F91" s="30" t="n">
        <v>8900</v>
      </c>
      <c r="G91" s="30" t="n">
        <v>0</v>
      </c>
      <c r="H91" s="25" t="s">
        <v>114</v>
      </c>
      <c r="I91" s="27" t="s">
        <v>113</v>
      </c>
      <c r="J91" s="27" t="s">
        <v>149</v>
      </c>
      <c r="K91" s="31" t="s">
        <v>159</v>
      </c>
      <c r="L91" s="26"/>
      <c r="M91" s="26"/>
      <c r="N91" s="25" t="s">
        <v>212</v>
      </c>
      <c r="O91" s="27" t="s">
        <v>161</v>
      </c>
      <c r="P91" s="26" t="s">
        <v>213</v>
      </c>
      <c r="Q91" s="25" t="s">
        <v>214</v>
      </c>
      <c r="R91" s="25" t="s">
        <v>215</v>
      </c>
      <c r="S91" s="25"/>
      <c r="T91" s="32" t="n">
        <v>0.586805555555556</v>
      </c>
      <c r="U91" s="29" t="n">
        <v>46163</v>
      </c>
      <c r="V91" s="25" t="s">
        <v>104</v>
      </c>
      <c r="W91" s="25"/>
      <c r="X91" s="26"/>
      <c r="Y91" s="25" t="s">
        <v>104</v>
      </c>
      <c r="Z91" s="25" t="s">
        <v>151</v>
      </c>
      <c r="AA91" s="26" t="s">
        <v>103</v>
      </c>
      <c r="AB91" s="31" t="s">
        <v>188</v>
      </c>
    </row>
    <row r="92" customFormat="false" ht="23.85" hidden="false" customHeight="false" outlineLevel="0" collapsed="false">
      <c r="A92" s="15" t="s">
        <v>104</v>
      </c>
      <c r="B92" s="17" t="s">
        <v>103</v>
      </c>
      <c r="C92" s="18" t="s">
        <v>269</v>
      </c>
      <c r="D92" s="22" t="n">
        <f aca="false">D91+F92-G92</f>
        <v>14710.08</v>
      </c>
      <c r="E92" s="16" t="n">
        <v>46168</v>
      </c>
      <c r="F92" s="23" t="n">
        <v>0</v>
      </c>
      <c r="G92" s="23" t="n">
        <v>1184.52</v>
      </c>
      <c r="H92" s="15" t="s">
        <v>148</v>
      </c>
      <c r="I92" s="18" t="s">
        <v>117</v>
      </c>
      <c r="J92" s="18" t="s">
        <v>149</v>
      </c>
      <c r="K92" s="8" t="s">
        <v>282</v>
      </c>
      <c r="L92" s="17"/>
      <c r="M92" s="17"/>
      <c r="N92" s="15"/>
      <c r="O92" s="18"/>
      <c r="P92" s="17"/>
      <c r="Q92" s="15"/>
      <c r="R92" s="15"/>
      <c r="S92" s="15"/>
      <c r="T92" s="24" t="n">
        <v>0.229166666666667</v>
      </c>
      <c r="U92" s="16" t="n">
        <v>46168</v>
      </c>
      <c r="V92" s="15" t="s">
        <v>104</v>
      </c>
      <c r="W92" s="15" t="s">
        <v>151</v>
      </c>
      <c r="X92" s="17" t="s">
        <v>103</v>
      </c>
      <c r="Y92" s="15" t="s">
        <v>283</v>
      </c>
      <c r="Z92" s="15" t="s">
        <v>153</v>
      </c>
      <c r="AA92" s="17" t="s">
        <v>284</v>
      </c>
      <c r="AB92" s="8"/>
    </row>
    <row r="93" customFormat="false" ht="23.85" hidden="false" customHeight="false" outlineLevel="0" collapsed="false">
      <c r="A93" s="25" t="s">
        <v>104</v>
      </c>
      <c r="B93" s="26" t="s">
        <v>103</v>
      </c>
      <c r="C93" s="27" t="s">
        <v>269</v>
      </c>
      <c r="D93" s="28" t="n">
        <f aca="false">D92+F93-G93</f>
        <v>12570.08</v>
      </c>
      <c r="E93" s="29" t="n">
        <v>46174</v>
      </c>
      <c r="F93" s="30" t="n">
        <v>0</v>
      </c>
      <c r="G93" s="30" t="n">
        <v>2140</v>
      </c>
      <c r="H93" s="25" t="s">
        <v>148</v>
      </c>
      <c r="I93" s="27" t="s">
        <v>117</v>
      </c>
      <c r="J93" s="27" t="s">
        <v>149</v>
      </c>
      <c r="K93" s="31" t="s">
        <v>270</v>
      </c>
      <c r="L93" s="26"/>
      <c r="M93" s="26"/>
      <c r="N93" s="25"/>
      <c r="O93" s="27"/>
      <c r="P93" s="26"/>
      <c r="Q93" s="25"/>
      <c r="R93" s="25"/>
      <c r="S93" s="25"/>
      <c r="T93" s="32" t="n">
        <v>0.229166666666667</v>
      </c>
      <c r="U93" s="29" t="n">
        <v>46174</v>
      </c>
      <c r="V93" s="25" t="s">
        <v>104</v>
      </c>
      <c r="W93" s="25" t="s">
        <v>151</v>
      </c>
      <c r="X93" s="26" t="s">
        <v>103</v>
      </c>
      <c r="Y93" s="25" t="s">
        <v>271</v>
      </c>
      <c r="Z93" s="25" t="s">
        <v>153</v>
      </c>
      <c r="AA93" s="26" t="s">
        <v>272</v>
      </c>
      <c r="AB93" s="31"/>
    </row>
    <row r="94" customFormat="false" ht="23.85" hidden="false" customHeight="false" outlineLevel="0" collapsed="false">
      <c r="A94" s="15" t="s">
        <v>104</v>
      </c>
      <c r="B94" s="17" t="s">
        <v>103</v>
      </c>
      <c r="C94" s="18" t="s">
        <v>269</v>
      </c>
      <c r="D94" s="22" t="n">
        <f aca="false">D93+F94-G94</f>
        <v>11885.88</v>
      </c>
      <c r="E94" s="16" t="n">
        <v>46175</v>
      </c>
      <c r="F94" s="23" t="n">
        <v>0</v>
      </c>
      <c r="G94" s="23" t="n">
        <v>684.2</v>
      </c>
      <c r="H94" s="15" t="s">
        <v>148</v>
      </c>
      <c r="I94" s="18" t="s">
        <v>117</v>
      </c>
      <c r="J94" s="18" t="s">
        <v>149</v>
      </c>
      <c r="K94" s="8" t="s">
        <v>285</v>
      </c>
      <c r="L94" s="17"/>
      <c r="M94" s="17"/>
      <c r="N94" s="15"/>
      <c r="O94" s="18"/>
      <c r="P94" s="17"/>
      <c r="Q94" s="15"/>
      <c r="R94" s="15"/>
      <c r="S94" s="15"/>
      <c r="T94" s="24" t="n">
        <v>0.229166666666667</v>
      </c>
      <c r="U94" s="16" t="n">
        <v>46175</v>
      </c>
      <c r="V94" s="15" t="s">
        <v>104</v>
      </c>
      <c r="W94" s="15" t="s">
        <v>151</v>
      </c>
      <c r="X94" s="17" t="s">
        <v>103</v>
      </c>
      <c r="Y94" s="15" t="s">
        <v>286</v>
      </c>
      <c r="Z94" s="15" t="s">
        <v>153</v>
      </c>
      <c r="AA94" s="17" t="s">
        <v>287</v>
      </c>
      <c r="AB94" s="8"/>
    </row>
    <row r="95" customFormat="false" ht="23.85" hidden="false" customHeight="false" outlineLevel="0" collapsed="false">
      <c r="A95" s="25" t="s">
        <v>104</v>
      </c>
      <c r="B95" s="26" t="s">
        <v>103</v>
      </c>
      <c r="C95" s="27" t="s">
        <v>269</v>
      </c>
      <c r="D95" s="28" t="n">
        <f aca="false">D94+F95-G95</f>
        <v>15135.88</v>
      </c>
      <c r="E95" s="29" t="n">
        <v>46188</v>
      </c>
      <c r="F95" s="30" t="n">
        <v>3250</v>
      </c>
      <c r="G95" s="30" t="n">
        <v>0</v>
      </c>
      <c r="H95" s="25" t="s">
        <v>181</v>
      </c>
      <c r="I95" s="27" t="s">
        <v>113</v>
      </c>
      <c r="J95" s="27" t="s">
        <v>149</v>
      </c>
      <c r="K95" s="31" t="s">
        <v>280</v>
      </c>
      <c r="L95" s="26"/>
      <c r="M95" s="26"/>
      <c r="N95" s="25"/>
      <c r="O95" s="27"/>
      <c r="P95" s="26"/>
      <c r="Q95" s="25" t="s">
        <v>183</v>
      </c>
      <c r="R95" s="25"/>
      <c r="S95" s="25"/>
      <c r="T95" s="32" t="n">
        <v>0.341666666666667</v>
      </c>
      <c r="U95" s="29" t="n">
        <v>46188</v>
      </c>
      <c r="V95" s="25" t="s">
        <v>43</v>
      </c>
      <c r="W95" s="25" t="s">
        <v>151</v>
      </c>
      <c r="X95" s="26" t="s">
        <v>101</v>
      </c>
      <c r="Y95" s="25" t="s">
        <v>104</v>
      </c>
      <c r="Z95" s="25" t="s">
        <v>151</v>
      </c>
      <c r="AA95" s="26" t="s">
        <v>103</v>
      </c>
      <c r="AB95" s="31"/>
    </row>
    <row r="96" customFormat="false" ht="23.85" hidden="false" customHeight="false" outlineLevel="0" collapsed="false">
      <c r="A96" s="15" t="s">
        <v>104</v>
      </c>
      <c r="B96" s="17" t="s">
        <v>103</v>
      </c>
      <c r="C96" s="18" t="s">
        <v>269</v>
      </c>
      <c r="D96" s="22" t="n">
        <f aca="false">D95+F96-G96</f>
        <v>14904.38</v>
      </c>
      <c r="E96" s="16" t="n">
        <v>46191</v>
      </c>
      <c r="F96" s="23" t="n">
        <v>0</v>
      </c>
      <c r="G96" s="23" t="n">
        <v>231.5</v>
      </c>
      <c r="H96" s="15" t="s">
        <v>148</v>
      </c>
      <c r="I96" s="18" t="s">
        <v>117</v>
      </c>
      <c r="J96" s="18" t="s">
        <v>149</v>
      </c>
      <c r="K96" s="8" t="s">
        <v>281</v>
      </c>
      <c r="L96" s="17"/>
      <c r="M96" s="17"/>
      <c r="N96" s="15"/>
      <c r="O96" s="18"/>
      <c r="P96" s="17"/>
      <c r="Q96" s="15"/>
      <c r="R96" s="15"/>
      <c r="S96" s="15"/>
      <c r="T96" s="24" t="n">
        <v>0.229166666666667</v>
      </c>
      <c r="U96" s="16" t="n">
        <v>46191</v>
      </c>
      <c r="V96" s="15" t="s">
        <v>104</v>
      </c>
      <c r="W96" s="15" t="s">
        <v>151</v>
      </c>
      <c r="X96" s="17" t="s">
        <v>103</v>
      </c>
      <c r="Y96" s="15" t="s">
        <v>186</v>
      </c>
      <c r="Z96" s="15" t="s">
        <v>153</v>
      </c>
      <c r="AA96" s="17" t="s">
        <v>187</v>
      </c>
      <c r="AB96" s="8"/>
    </row>
    <row r="97" customFormat="false" ht="15" hidden="false" customHeight="false" outlineLevel="0" collapsed="false">
      <c r="A97" s="25" t="s">
        <v>104</v>
      </c>
      <c r="B97" s="26" t="s">
        <v>103</v>
      </c>
      <c r="C97" s="27" t="s">
        <v>269</v>
      </c>
      <c r="D97" s="28" t="n">
        <f aca="false">D96+F97-G97</f>
        <v>14842.23</v>
      </c>
      <c r="E97" s="29" t="n">
        <v>46196</v>
      </c>
      <c r="F97" s="30" t="n">
        <v>0</v>
      </c>
      <c r="G97" s="30" t="n">
        <v>62.15</v>
      </c>
      <c r="H97" s="25" t="s">
        <v>273</v>
      </c>
      <c r="I97" s="27" t="s">
        <v>117</v>
      </c>
      <c r="J97" s="27" t="s">
        <v>149</v>
      </c>
      <c r="K97" s="31" t="s">
        <v>288</v>
      </c>
      <c r="L97" s="26" t="s">
        <v>275</v>
      </c>
      <c r="M97" s="26"/>
      <c r="N97" s="25" t="s">
        <v>276</v>
      </c>
      <c r="O97" s="27" t="s">
        <v>161</v>
      </c>
      <c r="P97" s="26" t="s">
        <v>277</v>
      </c>
      <c r="Q97" s="25"/>
      <c r="R97" s="25"/>
      <c r="S97" s="25" t="s">
        <v>289</v>
      </c>
      <c r="T97" s="32" t="n">
        <v>0.325</v>
      </c>
      <c r="U97" s="29" t="n">
        <v>46196</v>
      </c>
      <c r="V97" s="25" t="s">
        <v>104</v>
      </c>
      <c r="W97" s="25" t="s">
        <v>151</v>
      </c>
      <c r="X97" s="26" t="s">
        <v>103</v>
      </c>
      <c r="Y97" s="25" t="s">
        <v>290</v>
      </c>
      <c r="Z97" s="25"/>
      <c r="AA97" s="26"/>
      <c r="AB97" s="31"/>
    </row>
    <row r="98" customFormat="false" ht="23.85" hidden="false" customHeight="false" outlineLevel="0" collapsed="false">
      <c r="A98" s="15" t="s">
        <v>104</v>
      </c>
      <c r="B98" s="17" t="s">
        <v>103</v>
      </c>
      <c r="C98" s="18" t="s">
        <v>269</v>
      </c>
      <c r="D98" s="22" t="n">
        <f aca="false">D97+F98-G98</f>
        <v>13879.86</v>
      </c>
      <c r="E98" s="16" t="n">
        <v>46198</v>
      </c>
      <c r="F98" s="23" t="n">
        <v>0</v>
      </c>
      <c r="G98" s="23" t="n">
        <v>962.37</v>
      </c>
      <c r="H98" s="15" t="s">
        <v>148</v>
      </c>
      <c r="I98" s="18" t="s">
        <v>117</v>
      </c>
      <c r="J98" s="18" t="s">
        <v>149</v>
      </c>
      <c r="K98" s="8" t="s">
        <v>282</v>
      </c>
      <c r="L98" s="17"/>
      <c r="M98" s="17"/>
      <c r="N98" s="15"/>
      <c r="O98" s="18"/>
      <c r="P98" s="17"/>
      <c r="Q98" s="15"/>
      <c r="R98" s="15"/>
      <c r="S98" s="15"/>
      <c r="T98" s="24" t="n">
        <v>0.229166666666667</v>
      </c>
      <c r="U98" s="16" t="n">
        <v>46198</v>
      </c>
      <c r="V98" s="15" t="s">
        <v>104</v>
      </c>
      <c r="W98" s="15" t="s">
        <v>151</v>
      </c>
      <c r="X98" s="17" t="s">
        <v>103</v>
      </c>
      <c r="Y98" s="15" t="s">
        <v>283</v>
      </c>
      <c r="Z98" s="15" t="s">
        <v>153</v>
      </c>
      <c r="AA98" s="17" t="s">
        <v>284</v>
      </c>
      <c r="AB98" s="8"/>
    </row>
    <row r="99" customFormat="false" ht="23.85" hidden="false" customHeight="false" outlineLevel="0" collapsed="false">
      <c r="A99" s="25" t="s">
        <v>104</v>
      </c>
      <c r="B99" s="26" t="s">
        <v>103</v>
      </c>
      <c r="C99" s="27" t="s">
        <v>269</v>
      </c>
      <c r="D99" s="28" t="n">
        <f aca="false">D98+F99-G99</f>
        <v>23329.86</v>
      </c>
      <c r="E99" s="29" t="n">
        <v>46203</v>
      </c>
      <c r="F99" s="30" t="n">
        <v>9450</v>
      </c>
      <c r="G99" s="30" t="n">
        <v>0</v>
      </c>
      <c r="H99" s="25" t="s">
        <v>114</v>
      </c>
      <c r="I99" s="27" t="s">
        <v>113</v>
      </c>
      <c r="J99" s="27" t="s">
        <v>149</v>
      </c>
      <c r="K99" s="31" t="s">
        <v>159</v>
      </c>
      <c r="L99" s="26"/>
      <c r="M99" s="26"/>
      <c r="N99" s="25" t="s">
        <v>276</v>
      </c>
      <c r="O99" s="27" t="s">
        <v>161</v>
      </c>
      <c r="P99" s="26" t="s">
        <v>277</v>
      </c>
      <c r="Q99" s="25" t="s">
        <v>291</v>
      </c>
      <c r="R99" s="25" t="s">
        <v>292</v>
      </c>
      <c r="S99" s="25"/>
      <c r="T99" s="32" t="n">
        <v>0.566666666666667</v>
      </c>
      <c r="U99" s="29" t="n">
        <v>46203</v>
      </c>
      <c r="V99" s="25" t="s">
        <v>104</v>
      </c>
      <c r="W99" s="25"/>
      <c r="X99" s="26"/>
      <c r="Y99" s="25" t="s">
        <v>104</v>
      </c>
      <c r="Z99" s="25" t="s">
        <v>151</v>
      </c>
      <c r="AA99" s="26" t="s">
        <v>103</v>
      </c>
      <c r="AB99" s="31" t="s">
        <v>188</v>
      </c>
    </row>
    <row r="100" customFormat="false" ht="23.85" hidden="false" customHeight="false" outlineLevel="0" collapsed="false">
      <c r="A100" s="15" t="s">
        <v>104</v>
      </c>
      <c r="B100" s="17" t="s">
        <v>103</v>
      </c>
      <c r="C100" s="18" t="s">
        <v>269</v>
      </c>
      <c r="D100" s="22" t="n">
        <f aca="false">D99+F100-G100</f>
        <v>21189.86</v>
      </c>
      <c r="E100" s="16" t="n">
        <v>46204</v>
      </c>
      <c r="F100" s="23" t="n">
        <v>0</v>
      </c>
      <c r="G100" s="23" t="n">
        <v>2140</v>
      </c>
      <c r="H100" s="15" t="s">
        <v>148</v>
      </c>
      <c r="I100" s="18" t="s">
        <v>117</v>
      </c>
      <c r="J100" s="18" t="s">
        <v>149</v>
      </c>
      <c r="K100" s="8" t="s">
        <v>270</v>
      </c>
      <c r="L100" s="17"/>
      <c r="M100" s="17"/>
      <c r="N100" s="15"/>
      <c r="O100" s="18"/>
      <c r="P100" s="17"/>
      <c r="Q100" s="15"/>
      <c r="R100" s="15"/>
      <c r="S100" s="15"/>
      <c r="T100" s="24" t="n">
        <v>0.229166666666667</v>
      </c>
      <c r="U100" s="16" t="n">
        <v>46204</v>
      </c>
      <c r="V100" s="15" t="s">
        <v>104</v>
      </c>
      <c r="W100" s="15" t="s">
        <v>151</v>
      </c>
      <c r="X100" s="17" t="s">
        <v>103</v>
      </c>
      <c r="Y100" s="15" t="s">
        <v>271</v>
      </c>
      <c r="Z100" s="15" t="s">
        <v>153</v>
      </c>
      <c r="AA100" s="17" t="s">
        <v>272</v>
      </c>
      <c r="AB100" s="8"/>
    </row>
    <row r="101" customFormat="false" ht="23.85" hidden="false" customHeight="false" outlineLevel="0" collapsed="false">
      <c r="A101" s="25" t="s">
        <v>104</v>
      </c>
      <c r="B101" s="26" t="s">
        <v>103</v>
      </c>
      <c r="C101" s="27" t="s">
        <v>269</v>
      </c>
      <c r="D101" s="28" t="n">
        <f aca="false">D100+F101-G101</f>
        <v>24439.86</v>
      </c>
      <c r="E101" s="29" t="n">
        <v>46218</v>
      </c>
      <c r="F101" s="30" t="n">
        <v>3250</v>
      </c>
      <c r="G101" s="30" t="n">
        <v>0</v>
      </c>
      <c r="H101" s="25" t="s">
        <v>181</v>
      </c>
      <c r="I101" s="27" t="s">
        <v>113</v>
      </c>
      <c r="J101" s="27" t="s">
        <v>149</v>
      </c>
      <c r="K101" s="31" t="s">
        <v>280</v>
      </c>
      <c r="L101" s="26"/>
      <c r="M101" s="26"/>
      <c r="N101" s="25"/>
      <c r="O101" s="27"/>
      <c r="P101" s="26"/>
      <c r="Q101" s="25" t="s">
        <v>183</v>
      </c>
      <c r="R101" s="25"/>
      <c r="S101" s="25"/>
      <c r="T101" s="32" t="n">
        <v>0.341666666666667</v>
      </c>
      <c r="U101" s="29" t="n">
        <v>46218</v>
      </c>
      <c r="V101" s="25" t="s">
        <v>43</v>
      </c>
      <c r="W101" s="25" t="s">
        <v>151</v>
      </c>
      <c r="X101" s="26" t="s">
        <v>101</v>
      </c>
      <c r="Y101" s="25" t="s">
        <v>104</v>
      </c>
      <c r="Z101" s="25" t="s">
        <v>151</v>
      </c>
      <c r="AA101" s="26" t="s">
        <v>103</v>
      </c>
      <c r="AB101" s="31"/>
    </row>
    <row r="102" customFormat="false" ht="23.85" hidden="false" customHeight="false" outlineLevel="0" collapsed="false">
      <c r="A102" s="15" t="s">
        <v>104</v>
      </c>
      <c r="B102" s="17" t="s">
        <v>103</v>
      </c>
      <c r="C102" s="18" t="s">
        <v>269</v>
      </c>
      <c r="D102" s="22" t="n">
        <f aca="false">D101+F102-G102</f>
        <v>24189.88</v>
      </c>
      <c r="E102" s="16" t="n">
        <v>46223</v>
      </c>
      <c r="F102" s="23" t="n">
        <v>0</v>
      </c>
      <c r="G102" s="23" t="n">
        <v>249.98</v>
      </c>
      <c r="H102" s="15" t="s">
        <v>148</v>
      </c>
      <c r="I102" s="18" t="s">
        <v>117</v>
      </c>
      <c r="J102" s="18" t="s">
        <v>149</v>
      </c>
      <c r="K102" s="8" t="s">
        <v>281</v>
      </c>
      <c r="L102" s="17"/>
      <c r="M102" s="17"/>
      <c r="N102" s="15"/>
      <c r="O102" s="18"/>
      <c r="P102" s="17"/>
      <c r="Q102" s="15"/>
      <c r="R102" s="15"/>
      <c r="S102" s="15"/>
      <c r="T102" s="24" t="n">
        <v>0.229166666666667</v>
      </c>
      <c r="U102" s="16" t="n">
        <v>46223</v>
      </c>
      <c r="V102" s="15" t="s">
        <v>104</v>
      </c>
      <c r="W102" s="15" t="s">
        <v>151</v>
      </c>
      <c r="X102" s="17" t="s">
        <v>103</v>
      </c>
      <c r="Y102" s="15" t="s">
        <v>186</v>
      </c>
      <c r="Z102" s="15" t="s">
        <v>153</v>
      </c>
      <c r="AA102" s="17" t="s">
        <v>187</v>
      </c>
      <c r="AB102" s="8"/>
    </row>
    <row r="103" customFormat="false" ht="23.85" hidden="false" customHeight="false" outlineLevel="0" collapsed="false">
      <c r="A103" s="25" t="s">
        <v>104</v>
      </c>
      <c r="B103" s="26" t="s">
        <v>103</v>
      </c>
      <c r="C103" s="27" t="s">
        <v>269</v>
      </c>
      <c r="D103" s="28" t="n">
        <f aca="false">D102+F103-G103</f>
        <v>22884.08</v>
      </c>
      <c r="E103" s="29" t="n">
        <v>46227</v>
      </c>
      <c r="F103" s="30" t="n">
        <v>0</v>
      </c>
      <c r="G103" s="30" t="n">
        <v>1305.8</v>
      </c>
      <c r="H103" s="25" t="s">
        <v>148</v>
      </c>
      <c r="I103" s="27" t="s">
        <v>117</v>
      </c>
      <c r="J103" s="27" t="s">
        <v>149</v>
      </c>
      <c r="K103" s="31" t="s">
        <v>282</v>
      </c>
      <c r="L103" s="26"/>
      <c r="M103" s="26"/>
      <c r="N103" s="25"/>
      <c r="O103" s="27"/>
      <c r="P103" s="26"/>
      <c r="Q103" s="25"/>
      <c r="R103" s="25"/>
      <c r="S103" s="25"/>
      <c r="T103" s="32" t="n">
        <v>0.229166666666667</v>
      </c>
      <c r="U103" s="29" t="n">
        <v>46227</v>
      </c>
      <c r="V103" s="25" t="s">
        <v>104</v>
      </c>
      <c r="W103" s="25" t="s">
        <v>151</v>
      </c>
      <c r="X103" s="26" t="s">
        <v>103</v>
      </c>
      <c r="Y103" s="25" t="s">
        <v>283</v>
      </c>
      <c r="Z103" s="25" t="s">
        <v>153</v>
      </c>
      <c r="AA103" s="26" t="s">
        <v>284</v>
      </c>
      <c r="AB103" s="31"/>
    </row>
    <row r="104" customFormat="false" ht="46.25" hidden="false" customHeight="false" outlineLevel="0" collapsed="false">
      <c r="A104" s="15" t="s">
        <v>104</v>
      </c>
      <c r="B104" s="17" t="s">
        <v>103</v>
      </c>
      <c r="C104" s="18" t="s">
        <v>269</v>
      </c>
      <c r="D104" s="22" t="n">
        <f aca="false">D103+F104-G104</f>
        <v>32084.08</v>
      </c>
      <c r="E104" s="16" t="n">
        <v>46230</v>
      </c>
      <c r="F104" s="23" t="n">
        <v>9200</v>
      </c>
      <c r="G104" s="23" t="n">
        <v>0</v>
      </c>
      <c r="H104" s="15" t="s">
        <v>114</v>
      </c>
      <c r="I104" s="18" t="s">
        <v>113</v>
      </c>
      <c r="J104" s="18" t="s">
        <v>149</v>
      </c>
      <c r="K104" s="8" t="s">
        <v>159</v>
      </c>
      <c r="L104" s="17"/>
      <c r="M104" s="17"/>
      <c r="N104" s="15" t="s">
        <v>276</v>
      </c>
      <c r="O104" s="18" t="s">
        <v>161</v>
      </c>
      <c r="P104" s="17" t="s">
        <v>277</v>
      </c>
      <c r="Q104" s="15" t="s">
        <v>291</v>
      </c>
      <c r="R104" s="15" t="s">
        <v>292</v>
      </c>
      <c r="S104" s="15"/>
      <c r="T104" s="24" t="n">
        <v>0.554166666666667</v>
      </c>
      <c r="U104" s="16" t="n">
        <v>46230</v>
      </c>
      <c r="V104" s="15" t="s">
        <v>104</v>
      </c>
      <c r="W104" s="15"/>
      <c r="X104" s="17"/>
      <c r="Y104" s="15" t="s">
        <v>104</v>
      </c>
      <c r="Z104" s="15" t="s">
        <v>151</v>
      </c>
      <c r="AA104" s="17" t="s">
        <v>103</v>
      </c>
      <c r="AB104" s="8" t="s">
        <v>254</v>
      </c>
    </row>
    <row r="105" customFormat="false" ht="23.85" hidden="false" customHeight="false" outlineLevel="0" collapsed="false">
      <c r="A105" s="25" t="s">
        <v>104</v>
      </c>
      <c r="B105" s="26" t="s">
        <v>103</v>
      </c>
      <c r="C105" s="27" t="s">
        <v>269</v>
      </c>
      <c r="D105" s="28" t="n">
        <f aca="false">D104+F105-G105</f>
        <v>14584.08</v>
      </c>
      <c r="E105" s="29" t="n">
        <v>46233</v>
      </c>
      <c r="F105" s="30" t="n">
        <v>0</v>
      </c>
      <c r="G105" s="30" t="n">
        <v>17500</v>
      </c>
      <c r="H105" s="25" t="s">
        <v>118</v>
      </c>
      <c r="I105" s="27" t="s">
        <v>117</v>
      </c>
      <c r="J105" s="27" t="s">
        <v>149</v>
      </c>
      <c r="K105" s="31" t="s">
        <v>216</v>
      </c>
      <c r="L105" s="26"/>
      <c r="M105" s="26"/>
      <c r="N105" s="25" t="s">
        <v>276</v>
      </c>
      <c r="O105" s="27" t="s">
        <v>161</v>
      </c>
      <c r="P105" s="26" t="s">
        <v>277</v>
      </c>
      <c r="Q105" s="25" t="s">
        <v>291</v>
      </c>
      <c r="R105" s="25" t="s">
        <v>292</v>
      </c>
      <c r="S105" s="25"/>
      <c r="T105" s="32" t="n">
        <v>0.619444444444445</v>
      </c>
      <c r="U105" s="29" t="n">
        <v>46233</v>
      </c>
      <c r="V105" s="25" t="s">
        <v>104</v>
      </c>
      <c r="W105" s="25" t="s">
        <v>151</v>
      </c>
      <c r="X105" s="26" t="s">
        <v>103</v>
      </c>
      <c r="Y105" s="25" t="s">
        <v>217</v>
      </c>
      <c r="Z105" s="25" t="s">
        <v>218</v>
      </c>
      <c r="AA105" s="26" t="s">
        <v>219</v>
      </c>
      <c r="AB105" s="31" t="s">
        <v>293</v>
      </c>
    </row>
    <row r="106" customFormat="false" ht="15" hidden="false" customHeight="false" outlineLevel="0" collapsed="false">
      <c r="A106" s="15" t="s">
        <v>104</v>
      </c>
      <c r="B106" s="17" t="s">
        <v>103</v>
      </c>
      <c r="C106" s="18" t="s">
        <v>269</v>
      </c>
      <c r="D106" s="22" t="n">
        <f aca="false">D105+F106-G106</f>
        <v>14554.08</v>
      </c>
      <c r="E106" s="16" t="n">
        <v>46233</v>
      </c>
      <c r="F106" s="23" t="n">
        <v>0</v>
      </c>
      <c r="G106" s="23" t="n">
        <v>30</v>
      </c>
      <c r="H106" s="15" t="s">
        <v>203</v>
      </c>
      <c r="I106" s="18" t="s">
        <v>117</v>
      </c>
      <c r="J106" s="18" t="s">
        <v>149</v>
      </c>
      <c r="K106" s="8" t="s">
        <v>294</v>
      </c>
      <c r="L106" s="17"/>
      <c r="M106" s="17"/>
      <c r="N106" s="15" t="s">
        <v>276</v>
      </c>
      <c r="O106" s="18" t="s">
        <v>161</v>
      </c>
      <c r="P106" s="17" t="s">
        <v>277</v>
      </c>
      <c r="Q106" s="15" t="s">
        <v>291</v>
      </c>
      <c r="R106" s="15" t="s">
        <v>292</v>
      </c>
      <c r="S106" s="15"/>
      <c r="T106" s="24" t="n">
        <v>0.619444444444445</v>
      </c>
      <c r="U106" s="16" t="n">
        <v>46233</v>
      </c>
      <c r="V106" s="15"/>
      <c r="W106" s="15"/>
      <c r="X106" s="17"/>
      <c r="Y106" s="15"/>
      <c r="Z106" s="15"/>
      <c r="AA106" s="17"/>
      <c r="AB106" s="8"/>
    </row>
    <row r="107" customFormat="false" ht="23.85" hidden="false" customHeight="false" outlineLevel="0" collapsed="false">
      <c r="A107" s="25" t="s">
        <v>104</v>
      </c>
      <c r="B107" s="26" t="s">
        <v>103</v>
      </c>
      <c r="C107" s="27" t="s">
        <v>269</v>
      </c>
      <c r="D107" s="28" t="n">
        <f aca="false">D106+F107-G107</f>
        <v>12414.08</v>
      </c>
      <c r="E107" s="29" t="n">
        <v>46237</v>
      </c>
      <c r="F107" s="30" t="n">
        <v>0</v>
      </c>
      <c r="G107" s="30" t="n">
        <v>2140</v>
      </c>
      <c r="H107" s="25" t="s">
        <v>148</v>
      </c>
      <c r="I107" s="27" t="s">
        <v>117</v>
      </c>
      <c r="J107" s="27" t="s">
        <v>149</v>
      </c>
      <c r="K107" s="31" t="s">
        <v>270</v>
      </c>
      <c r="L107" s="26"/>
      <c r="M107" s="26"/>
      <c r="N107" s="25"/>
      <c r="O107" s="27"/>
      <c r="P107" s="26"/>
      <c r="Q107" s="25"/>
      <c r="R107" s="25"/>
      <c r="S107" s="25"/>
      <c r="T107" s="32" t="n">
        <v>0.229166666666667</v>
      </c>
      <c r="U107" s="29" t="n">
        <v>46237</v>
      </c>
      <c r="V107" s="25" t="s">
        <v>104</v>
      </c>
      <c r="W107" s="25" t="s">
        <v>151</v>
      </c>
      <c r="X107" s="26" t="s">
        <v>103</v>
      </c>
      <c r="Y107" s="25" t="s">
        <v>271</v>
      </c>
      <c r="Z107" s="25" t="s">
        <v>153</v>
      </c>
      <c r="AA107" s="26" t="s">
        <v>272</v>
      </c>
      <c r="AB107" s="31"/>
    </row>
    <row r="108" customFormat="false" ht="15" hidden="false" customHeight="false" outlineLevel="0" collapsed="false">
      <c r="A108" s="15" t="s">
        <v>104</v>
      </c>
      <c r="B108" s="17" t="s">
        <v>103</v>
      </c>
      <c r="C108" s="18" t="s">
        <v>269</v>
      </c>
      <c r="D108" s="22" t="n">
        <f aca="false">D107+F108-G108</f>
        <v>12375.18</v>
      </c>
      <c r="E108" s="16" t="n">
        <v>46241</v>
      </c>
      <c r="F108" s="23" t="n">
        <v>0</v>
      </c>
      <c r="G108" s="23" t="n">
        <v>38.9</v>
      </c>
      <c r="H108" s="15" t="s">
        <v>273</v>
      </c>
      <c r="I108" s="18" t="s">
        <v>117</v>
      </c>
      <c r="J108" s="18" t="s">
        <v>149</v>
      </c>
      <c r="K108" s="8" t="s">
        <v>295</v>
      </c>
      <c r="L108" s="17" t="s">
        <v>275</v>
      </c>
      <c r="M108" s="17"/>
      <c r="N108" s="15" t="s">
        <v>276</v>
      </c>
      <c r="O108" s="18" t="s">
        <v>161</v>
      </c>
      <c r="P108" s="17" t="s">
        <v>296</v>
      </c>
      <c r="Q108" s="15"/>
      <c r="R108" s="15"/>
      <c r="S108" s="15" t="s">
        <v>297</v>
      </c>
      <c r="T108" s="24" t="n">
        <v>0.709722222222222</v>
      </c>
      <c r="U108" s="16" t="n">
        <v>46241</v>
      </c>
      <c r="V108" s="15" t="s">
        <v>104</v>
      </c>
      <c r="W108" s="15" t="s">
        <v>151</v>
      </c>
      <c r="X108" s="17" t="s">
        <v>103</v>
      </c>
      <c r="Y108" s="15" t="s">
        <v>298</v>
      </c>
      <c r="Z108" s="15"/>
      <c r="AA108" s="17"/>
      <c r="AB108" s="8"/>
    </row>
    <row r="109" customFormat="false" ht="23.85" hidden="false" customHeight="false" outlineLevel="0" collapsed="false">
      <c r="A109" s="25" t="s">
        <v>104</v>
      </c>
      <c r="B109" s="26" t="s">
        <v>103</v>
      </c>
      <c r="C109" s="27" t="s">
        <v>269</v>
      </c>
      <c r="D109" s="28" t="n">
        <f aca="false">D108+F109-G109</f>
        <v>15625.18</v>
      </c>
      <c r="E109" s="29" t="n">
        <v>46248</v>
      </c>
      <c r="F109" s="30" t="n">
        <v>3250</v>
      </c>
      <c r="G109" s="30" t="n">
        <v>0</v>
      </c>
      <c r="H109" s="25" t="s">
        <v>181</v>
      </c>
      <c r="I109" s="27" t="s">
        <v>113</v>
      </c>
      <c r="J109" s="27" t="s">
        <v>149</v>
      </c>
      <c r="K109" s="31" t="s">
        <v>280</v>
      </c>
      <c r="L109" s="26"/>
      <c r="M109" s="26"/>
      <c r="N109" s="25"/>
      <c r="O109" s="27"/>
      <c r="P109" s="26"/>
      <c r="Q109" s="25" t="s">
        <v>183</v>
      </c>
      <c r="R109" s="25"/>
      <c r="S109" s="25"/>
      <c r="T109" s="32" t="n">
        <v>0.341666666666667</v>
      </c>
      <c r="U109" s="29" t="n">
        <v>46248</v>
      </c>
      <c r="V109" s="25" t="s">
        <v>43</v>
      </c>
      <c r="W109" s="25" t="s">
        <v>151</v>
      </c>
      <c r="X109" s="26" t="s">
        <v>101</v>
      </c>
      <c r="Y109" s="25" t="s">
        <v>104</v>
      </c>
      <c r="Z109" s="25" t="s">
        <v>151</v>
      </c>
      <c r="AA109" s="26" t="s">
        <v>103</v>
      </c>
      <c r="AB109" s="31"/>
    </row>
    <row r="110" customFormat="false" ht="23.85" hidden="false" customHeight="false" outlineLevel="0" collapsed="false">
      <c r="A110" s="15" t="s">
        <v>104</v>
      </c>
      <c r="B110" s="17" t="s">
        <v>103</v>
      </c>
      <c r="C110" s="18" t="s">
        <v>269</v>
      </c>
      <c r="D110" s="22" t="n">
        <f aca="false">D109+F110-G110</f>
        <v>15375.62</v>
      </c>
      <c r="E110" s="16" t="n">
        <v>46253</v>
      </c>
      <c r="F110" s="23" t="n">
        <v>0</v>
      </c>
      <c r="G110" s="23" t="n">
        <v>249.56</v>
      </c>
      <c r="H110" s="15" t="s">
        <v>148</v>
      </c>
      <c r="I110" s="18" t="s">
        <v>117</v>
      </c>
      <c r="J110" s="18" t="s">
        <v>149</v>
      </c>
      <c r="K110" s="8" t="s">
        <v>281</v>
      </c>
      <c r="L110" s="17"/>
      <c r="M110" s="17"/>
      <c r="N110" s="15"/>
      <c r="O110" s="18"/>
      <c r="P110" s="17"/>
      <c r="Q110" s="15"/>
      <c r="R110" s="15"/>
      <c r="S110" s="15"/>
      <c r="T110" s="24" t="n">
        <v>0.229166666666667</v>
      </c>
      <c r="U110" s="16" t="n">
        <v>46253</v>
      </c>
      <c r="V110" s="15" t="s">
        <v>104</v>
      </c>
      <c r="W110" s="15" t="s">
        <v>151</v>
      </c>
      <c r="X110" s="17" t="s">
        <v>103</v>
      </c>
      <c r="Y110" s="15" t="s">
        <v>186</v>
      </c>
      <c r="Z110" s="15" t="s">
        <v>153</v>
      </c>
      <c r="AA110" s="17" t="s">
        <v>187</v>
      </c>
      <c r="AB110" s="8"/>
    </row>
    <row r="111" customFormat="false" ht="23.85" hidden="false" customHeight="false" outlineLevel="0" collapsed="false">
      <c r="A111" s="25" t="s">
        <v>104</v>
      </c>
      <c r="B111" s="26" t="s">
        <v>103</v>
      </c>
      <c r="C111" s="27" t="s">
        <v>269</v>
      </c>
      <c r="D111" s="28" t="n">
        <f aca="false">D110+F111-G111</f>
        <v>14328.46</v>
      </c>
      <c r="E111" s="29" t="n">
        <v>46259</v>
      </c>
      <c r="F111" s="30" t="n">
        <v>0</v>
      </c>
      <c r="G111" s="30" t="n">
        <v>1047.16</v>
      </c>
      <c r="H111" s="25" t="s">
        <v>148</v>
      </c>
      <c r="I111" s="27" t="s">
        <v>117</v>
      </c>
      <c r="J111" s="27" t="s">
        <v>149</v>
      </c>
      <c r="K111" s="31" t="s">
        <v>282</v>
      </c>
      <c r="L111" s="26"/>
      <c r="M111" s="26"/>
      <c r="N111" s="25"/>
      <c r="O111" s="27"/>
      <c r="P111" s="26"/>
      <c r="Q111" s="25"/>
      <c r="R111" s="25"/>
      <c r="S111" s="25"/>
      <c r="T111" s="32" t="n">
        <v>0.229166666666667</v>
      </c>
      <c r="U111" s="29" t="n">
        <v>46259</v>
      </c>
      <c r="V111" s="25" t="s">
        <v>104</v>
      </c>
      <c r="W111" s="25" t="s">
        <v>151</v>
      </c>
      <c r="X111" s="26" t="s">
        <v>103</v>
      </c>
      <c r="Y111" s="25" t="s">
        <v>283</v>
      </c>
      <c r="Z111" s="25" t="s">
        <v>153</v>
      </c>
      <c r="AA111" s="26" t="s">
        <v>284</v>
      </c>
      <c r="AB111" s="31"/>
    </row>
  </sheetData>
  <autoFilter ref="A1:AB111"/>
  <printOptions headings="false" gridLines="false" gridLinesSet="true" horizontalCentered="false" verticalCentered="false"/>
  <pageMargins left="0.4" right="0.4" top="0.75" bottom="0.75" header="0.3" footer="0.3"/>
  <pageSetup paperSize="5" scale="100" fitToWidth="2" fitToHeight="0" pageOrder="downThenOver" orientation="landscape" blackAndWhite="false" draft="false" cellComments="none" horizontalDpi="300" verticalDpi="300" copies="1"/>
  <headerFooter differentFirst="false" differentOddEven="false">
    <oddHeader>&amp;CPractice Case A – Trainee Workbook</oddHeader>
    <oddFooter>&amp;L&amp;A&amp;RPage &amp;P of &amp;N</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tru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33.75" hidden="false" customHeight="true" outlineLevel="0" collapsed="false">
      <c r="A1" s="11" t="s">
        <v>299</v>
      </c>
    </row>
  </sheetData>
  <printOptions headings="false" gridLines="false" gridLinesSet="true" horizontalCentered="false" verticalCentered="false"/>
  <pageMargins left="0.4" right="0.4" top="0.75" bottom="0.75" header="0.3" footer="0.3"/>
  <pageSetup paperSize="1" scale="100" fitToWidth="1" fitToHeight="0" pageOrder="downThenOver" orientation="landscape" blackAndWhite="false" draft="false" cellComments="none" horizontalDpi="300" verticalDpi="300" copies="1"/>
  <headerFooter differentFirst="false" differentOddEven="false">
    <oddHeader>&amp;CPractice Case A – Trainee Workbook</oddHeader>
    <oddFooter>&amp;L&amp;A&amp;RPage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tru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33.75" hidden="false" customHeight="true" outlineLevel="0" collapsed="false">
      <c r="A1" s="11" t="s">
        <v>300</v>
      </c>
    </row>
  </sheetData>
  <printOptions headings="false" gridLines="false" gridLinesSet="true" horizontalCentered="false" verticalCentered="false"/>
  <pageMargins left="0.4" right="0.4" top="0.75" bottom="0.75" header="0.3" footer="0.3"/>
  <pageSetup paperSize="1" scale="100" fitToWidth="1" fitToHeight="0" pageOrder="downThenOver" orientation="landscape" blackAndWhite="false" draft="false" cellComments="none" horizontalDpi="300" verticalDpi="300" copies="1"/>
  <headerFooter differentFirst="false" differentOddEven="false">
    <oddHeader>&amp;CPractice Case A – Trainee Workbook</oddHeader>
    <oddFooter>&amp;L&amp;A&amp;RPage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true"/>
  </sheetPr>
  <dimension ref="A1:A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33"/>
    </row>
    <row r="3" customFormat="false" ht="15" hidden="false" customHeight="false" outlineLevel="0" collapsed="false">
      <c r="A3" s="34" t="s">
        <v>301</v>
      </c>
    </row>
  </sheetData>
  <printOptions headings="false" gridLines="false" gridLinesSet="true" horizontalCentered="false" verticalCentered="false"/>
  <pageMargins left="0.4" right="0.4" top="0.75" bottom="0.75" header="0.3" footer="0.3"/>
  <pageSetup paperSize="1" scale="100" fitToWidth="1" fitToHeight="0" pageOrder="downThenOver" orientation="landscape" blackAndWhite="false" draft="false" cellComments="none" horizontalDpi="300" verticalDpi="300" copies="1"/>
  <headerFooter differentFirst="false" differentOddEven="false">
    <oddHeader>&amp;CPractice Case A – Trainee Workbook</oddHeader>
    <oddFooter>&amp;L&amp;A&amp;RPage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true"/>
  </sheetPr>
  <dimension ref="A1:E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4"/>
    <col collapsed="false" customWidth="true" hidden="false" outlineLevel="0" max="3" min="3" style="0" width="5"/>
    <col collapsed="false" customWidth="true" hidden="false" outlineLevel="0" max="4" min="4" style="0" width="54"/>
    <col collapsed="false" customWidth="true" hidden="false" outlineLevel="0" max="5" min="5" style="0" width="14"/>
  </cols>
  <sheetData>
    <row r="1" customFormat="false" ht="24" hidden="false" customHeight="true" outlineLevel="0" collapsed="false">
      <c r="A1" s="35" t="s">
        <v>302</v>
      </c>
      <c r="B1" s="35"/>
      <c r="C1" s="35"/>
      <c r="D1" s="35"/>
      <c r="E1" s="35"/>
    </row>
    <row r="2" customFormat="false" ht="15" hidden="false" customHeight="false" outlineLevel="0" collapsed="false">
      <c r="A2" s="36" t="s">
        <v>303</v>
      </c>
    </row>
    <row r="3" customFormat="false" ht="15" hidden="false" customHeight="false" outlineLevel="0" collapsed="false">
      <c r="A3" s="37" t="s">
        <v>304</v>
      </c>
    </row>
    <row r="6" customFormat="false" ht="18" hidden="false" customHeight="true" outlineLevel="0" collapsed="false">
      <c r="A6" s="38" t="s">
        <v>305</v>
      </c>
      <c r="B6" s="38"/>
      <c r="C6" s="38"/>
      <c r="D6" s="38"/>
      <c r="E6" s="38"/>
    </row>
    <row r="7" customFormat="false" ht="30" hidden="false" customHeight="true" outlineLevel="0" collapsed="false">
      <c r="B7" s="11" t="s">
        <v>306</v>
      </c>
      <c r="D7" s="33"/>
    </row>
    <row r="8" customFormat="false" ht="15" hidden="false" customHeight="false" outlineLevel="0" collapsed="false">
      <c r="B8" s="11" t="s">
        <v>307</v>
      </c>
      <c r="D8" s="33"/>
    </row>
    <row r="9" customFormat="false" ht="42" hidden="false" customHeight="true" outlineLevel="0" collapsed="false">
      <c r="B9" s="11" t="s">
        <v>308</v>
      </c>
      <c r="D9" s="33"/>
    </row>
    <row r="10" customFormat="false" ht="42" hidden="false" customHeight="true" outlineLevel="0" collapsed="false">
      <c r="B10" s="11" t="s">
        <v>309</v>
      </c>
      <c r="D10" s="33"/>
    </row>
    <row r="12" customFormat="false" ht="18" hidden="false" customHeight="true" outlineLevel="0" collapsed="false">
      <c r="A12" s="39" t="s">
        <v>310</v>
      </c>
      <c r="B12" s="39"/>
      <c r="C12" s="39"/>
      <c r="D12" s="39"/>
      <c r="E12" s="39"/>
    </row>
    <row r="13" customFormat="false" ht="15" hidden="false" customHeight="false" outlineLevel="0" collapsed="false">
      <c r="A13" s="5" t="s">
        <v>311</v>
      </c>
      <c r="B13" s="5" t="s">
        <v>312</v>
      </c>
      <c r="C13" s="5"/>
      <c r="D13" s="5" t="s">
        <v>132</v>
      </c>
      <c r="E13" s="5" t="s">
        <v>133</v>
      </c>
    </row>
    <row r="14" customFormat="false" ht="15" hidden="false" customHeight="false" outlineLevel="0" collapsed="false">
      <c r="A14" s="40" t="n">
        <v>1</v>
      </c>
      <c r="B14" s="33"/>
      <c r="C14" s="15"/>
      <c r="D14" s="33"/>
      <c r="E14" s="41"/>
    </row>
    <row r="15" customFormat="false" ht="15" hidden="false" customHeight="false" outlineLevel="0" collapsed="false">
      <c r="A15" s="40" t="n">
        <v>2</v>
      </c>
      <c r="B15" s="33"/>
      <c r="C15" s="15"/>
      <c r="D15" s="33"/>
      <c r="E15" s="41"/>
    </row>
    <row r="16" customFormat="false" ht="15" hidden="false" customHeight="false" outlineLevel="0" collapsed="false">
      <c r="A16" s="40" t="n">
        <v>3</v>
      </c>
      <c r="B16" s="33"/>
      <c r="C16" s="15"/>
      <c r="D16" s="33"/>
      <c r="E16" s="41"/>
    </row>
    <row r="17" customFormat="false" ht="15" hidden="false" customHeight="false" outlineLevel="0" collapsed="false">
      <c r="A17" s="40" t="n">
        <v>4</v>
      </c>
      <c r="B17" s="33"/>
      <c r="C17" s="15"/>
      <c r="D17" s="33"/>
      <c r="E17" s="41"/>
    </row>
    <row r="18" customFormat="false" ht="15" hidden="false" customHeight="false" outlineLevel="0" collapsed="false">
      <c r="A18" s="40" t="n">
        <v>5</v>
      </c>
      <c r="B18" s="33"/>
      <c r="C18" s="15"/>
      <c r="D18" s="33"/>
      <c r="E18" s="41"/>
    </row>
    <row r="19" customFormat="false" ht="15" hidden="false" customHeight="false" outlineLevel="0" collapsed="false">
      <c r="A19" s="40" t="n">
        <v>6</v>
      </c>
      <c r="B19" s="33"/>
      <c r="C19" s="15"/>
      <c r="D19" s="33"/>
      <c r="E19" s="41"/>
    </row>
    <row r="20" customFormat="false" ht="15" hidden="false" customHeight="false" outlineLevel="0" collapsed="false">
      <c r="A20" s="40" t="n">
        <v>7</v>
      </c>
      <c r="B20" s="33"/>
      <c r="C20" s="15"/>
      <c r="D20" s="33"/>
      <c r="E20" s="41"/>
    </row>
    <row r="21" customFormat="false" ht="15" hidden="false" customHeight="false" outlineLevel="0" collapsed="false">
      <c r="A21" s="40" t="n">
        <v>8</v>
      </c>
      <c r="B21" s="33"/>
      <c r="C21" s="15"/>
      <c r="D21" s="33"/>
      <c r="E21" s="41"/>
    </row>
    <row r="23" customFormat="false" ht="18" hidden="false" customHeight="true" outlineLevel="0" collapsed="false">
      <c r="A23" s="38" t="s">
        <v>313</v>
      </c>
      <c r="B23" s="38"/>
      <c r="C23" s="38"/>
      <c r="D23" s="38"/>
      <c r="E23" s="38"/>
    </row>
    <row r="24" customFormat="false" ht="15" hidden="false" customHeight="false" outlineLevel="0" collapsed="false">
      <c r="B24" s="11" t="s">
        <v>314</v>
      </c>
      <c r="D24" s="42"/>
    </row>
    <row r="25" customFormat="false" ht="15" hidden="false" customHeight="false" outlineLevel="0" collapsed="false">
      <c r="B25" s="11" t="s">
        <v>315</v>
      </c>
      <c r="D25" s="43"/>
    </row>
    <row r="26" customFormat="false" ht="15" hidden="false" customHeight="false" outlineLevel="0" collapsed="false">
      <c r="B26" s="11" t="s">
        <v>316</v>
      </c>
      <c r="D26" s="43"/>
    </row>
    <row r="27" customFormat="false" ht="15" hidden="false" customHeight="false" outlineLevel="0" collapsed="false">
      <c r="B27" s="11" t="s">
        <v>317</v>
      </c>
      <c r="D27" s="42"/>
    </row>
    <row r="29" customFormat="false" ht="18" hidden="false" customHeight="true" outlineLevel="0" collapsed="false">
      <c r="A29" s="39" t="s">
        <v>318</v>
      </c>
      <c r="B29" s="39"/>
      <c r="C29" s="39"/>
      <c r="D29" s="39"/>
      <c r="E29" s="39"/>
    </row>
    <row r="30" customFormat="false" ht="29.25" hidden="false" customHeight="true" outlineLevel="0" collapsed="false">
      <c r="A30" s="44"/>
      <c r="B30" s="8" t="s">
        <v>319</v>
      </c>
      <c r="C30" s="44"/>
      <c r="D30" s="8" t="s">
        <v>320</v>
      </c>
    </row>
    <row r="31" customFormat="false" ht="29.25" hidden="false" customHeight="true" outlineLevel="0" collapsed="false">
      <c r="A31" s="44"/>
      <c r="B31" s="8" t="s">
        <v>321</v>
      </c>
      <c r="C31" s="44"/>
      <c r="D31" s="8" t="s">
        <v>322</v>
      </c>
    </row>
    <row r="32" customFormat="false" ht="29.25" hidden="false" customHeight="true" outlineLevel="0" collapsed="false">
      <c r="A32" s="44"/>
      <c r="B32" s="8" t="s">
        <v>323</v>
      </c>
      <c r="C32" s="44"/>
      <c r="D32" s="8" t="s">
        <v>324</v>
      </c>
    </row>
    <row r="33" customFormat="false" ht="16.5" hidden="false" customHeight="true" outlineLevel="0" collapsed="false">
      <c r="A33" s="44"/>
      <c r="B33" s="8" t="s">
        <v>325</v>
      </c>
    </row>
    <row r="35" customFormat="false" ht="18" hidden="false" customHeight="true" outlineLevel="0" collapsed="false">
      <c r="A35" s="39" t="s">
        <v>326</v>
      </c>
      <c r="B35" s="39"/>
      <c r="C35" s="39"/>
      <c r="D35" s="39"/>
      <c r="E35" s="39"/>
    </row>
    <row r="36" customFormat="false" ht="15" hidden="false" customHeight="false" outlineLevel="0" collapsed="false">
      <c r="A36" s="44"/>
      <c r="B36" s="8" t="s">
        <v>327</v>
      </c>
      <c r="C36" s="44"/>
      <c r="D36" s="8" t="s">
        <v>328</v>
      </c>
    </row>
    <row r="37" customFormat="false" ht="15" hidden="false" customHeight="false" outlineLevel="0" collapsed="false">
      <c r="A37" s="44"/>
      <c r="B37" s="8" t="s">
        <v>329</v>
      </c>
      <c r="C37" s="44"/>
      <c r="D37" s="8" t="s">
        <v>330</v>
      </c>
    </row>
    <row r="38" customFormat="false" ht="16.5" hidden="false" customHeight="true" outlineLevel="0" collapsed="false">
      <c r="A38" s="44"/>
      <c r="B38" s="8" t="s">
        <v>331</v>
      </c>
      <c r="C38" s="44"/>
      <c r="D38" s="8" t="s">
        <v>332</v>
      </c>
    </row>
    <row r="39" customFormat="false" ht="16.5" hidden="false" customHeight="true" outlineLevel="0" collapsed="false">
      <c r="A39" s="44"/>
      <c r="B39" s="8" t="s">
        <v>333</v>
      </c>
      <c r="C39" s="44"/>
      <c r="D39" s="8" t="s">
        <v>334</v>
      </c>
    </row>
    <row r="40" customFormat="false" ht="29.25" hidden="false" customHeight="true" outlineLevel="0" collapsed="false">
      <c r="A40" s="44"/>
      <c r="B40" s="8" t="s">
        <v>335</v>
      </c>
      <c r="C40" s="44"/>
      <c r="D40" s="8" t="s">
        <v>336</v>
      </c>
    </row>
    <row r="41" customFormat="false" ht="15" hidden="false" customHeight="false" outlineLevel="0" collapsed="false">
      <c r="A41" s="44"/>
      <c r="B41" s="8" t="s">
        <v>337</v>
      </c>
      <c r="C41" s="44"/>
      <c r="D41" s="8" t="s">
        <v>338</v>
      </c>
    </row>
    <row r="42" customFormat="false" ht="15" hidden="false" customHeight="false" outlineLevel="0" collapsed="false">
      <c r="A42" s="44"/>
      <c r="B42" s="8" t="s">
        <v>339</v>
      </c>
      <c r="C42" s="44"/>
      <c r="D42" s="8" t="s">
        <v>324</v>
      </c>
    </row>
    <row r="44" customFormat="false" ht="18" hidden="false" customHeight="true" outlineLevel="0" collapsed="false">
      <c r="A44" s="39" t="s">
        <v>340</v>
      </c>
      <c r="B44" s="39"/>
      <c r="C44" s="39"/>
      <c r="D44" s="39"/>
      <c r="E44" s="39"/>
    </row>
    <row r="45" customFormat="false" ht="15" hidden="false" customHeight="false" outlineLevel="0" collapsed="false">
      <c r="A45" s="44"/>
      <c r="B45" s="8" t="s">
        <v>341</v>
      </c>
      <c r="C45" s="44"/>
      <c r="D45" s="8" t="s">
        <v>342</v>
      </c>
    </row>
    <row r="46" customFormat="false" ht="15" hidden="false" customHeight="false" outlineLevel="0" collapsed="false">
      <c r="A46" s="44"/>
      <c r="B46" s="8" t="s">
        <v>343</v>
      </c>
      <c r="C46" s="44"/>
      <c r="D46" s="8" t="s">
        <v>344</v>
      </c>
    </row>
    <row r="47" customFormat="false" ht="15" hidden="false" customHeight="false" outlineLevel="0" collapsed="false">
      <c r="A47" s="44"/>
      <c r="B47" s="8" t="s">
        <v>345</v>
      </c>
      <c r="C47" s="44"/>
      <c r="D47" s="8" t="s">
        <v>346</v>
      </c>
    </row>
    <row r="48" customFormat="false" ht="15" hidden="false" customHeight="false" outlineLevel="0" collapsed="false">
      <c r="A48" s="44"/>
      <c r="B48" s="8" t="s">
        <v>347</v>
      </c>
      <c r="C48" s="44"/>
      <c r="D48" s="8" t="s">
        <v>348</v>
      </c>
    </row>
    <row r="49" customFormat="false" ht="15" hidden="false" customHeight="false" outlineLevel="0" collapsed="false">
      <c r="A49" s="44"/>
      <c r="B49" s="8" t="s">
        <v>349</v>
      </c>
      <c r="C49" s="44"/>
      <c r="D49" s="8" t="s">
        <v>350</v>
      </c>
    </row>
    <row r="50" customFormat="false" ht="29.25" hidden="false" customHeight="true" outlineLevel="0" collapsed="false">
      <c r="A50" s="44"/>
      <c r="B50" s="8" t="s">
        <v>351</v>
      </c>
      <c r="C50" s="44"/>
      <c r="D50" s="8" t="s">
        <v>352</v>
      </c>
    </row>
    <row r="51" customFormat="false" ht="16.5" hidden="false" customHeight="true" outlineLevel="0" collapsed="false">
      <c r="A51" s="44"/>
      <c r="B51" s="8" t="s">
        <v>353</v>
      </c>
      <c r="C51" s="44"/>
      <c r="D51" s="8" t="s">
        <v>354</v>
      </c>
    </row>
    <row r="52" customFormat="false" ht="15" hidden="false" customHeight="false" outlineLevel="0" collapsed="false">
      <c r="A52" s="44"/>
      <c r="B52" s="8" t="s">
        <v>355</v>
      </c>
      <c r="C52" s="44"/>
      <c r="D52" s="8" t="s">
        <v>356</v>
      </c>
    </row>
    <row r="53" customFormat="false" ht="15" hidden="false" customHeight="false" outlineLevel="0" collapsed="false">
      <c r="A53" s="44"/>
      <c r="B53" s="8" t="s">
        <v>357</v>
      </c>
      <c r="C53" s="44"/>
      <c r="D53" s="8" t="s">
        <v>358</v>
      </c>
    </row>
    <row r="54" customFormat="false" ht="29.25" hidden="false" customHeight="true" outlineLevel="0" collapsed="false">
      <c r="A54" s="44"/>
      <c r="B54" s="8" t="s">
        <v>359</v>
      </c>
      <c r="C54" s="44"/>
      <c r="D54" s="8" t="s">
        <v>324</v>
      </c>
    </row>
    <row r="56" customFormat="false" ht="18" hidden="false" customHeight="true" outlineLevel="0" collapsed="false">
      <c r="A56" s="39" t="s">
        <v>360</v>
      </c>
      <c r="B56" s="39"/>
      <c r="C56" s="39"/>
      <c r="D56" s="39"/>
      <c r="E56" s="39"/>
    </row>
    <row r="57" customFormat="false" ht="15" hidden="false" customHeight="false" outlineLevel="0" collapsed="false">
      <c r="A57" s="44"/>
      <c r="B57" s="8" t="s">
        <v>361</v>
      </c>
      <c r="C57" s="44"/>
      <c r="D57" s="8" t="s">
        <v>362</v>
      </c>
    </row>
    <row r="58" customFormat="false" ht="15" hidden="false" customHeight="false" outlineLevel="0" collapsed="false">
      <c r="A58" s="44"/>
      <c r="B58" s="8" t="s">
        <v>363</v>
      </c>
      <c r="C58" s="44"/>
      <c r="D58" s="8" t="s">
        <v>364</v>
      </c>
    </row>
    <row r="59" customFormat="false" ht="15" hidden="false" customHeight="false" outlineLevel="0" collapsed="false">
      <c r="A59" s="44"/>
      <c r="B59" s="8" t="s">
        <v>365</v>
      </c>
      <c r="C59" s="44"/>
      <c r="D59" s="8" t="s">
        <v>366</v>
      </c>
    </row>
    <row r="60" customFormat="false" ht="15" hidden="false" customHeight="false" outlineLevel="0" collapsed="false">
      <c r="A60" s="44"/>
      <c r="B60" s="8" t="s">
        <v>367</v>
      </c>
      <c r="C60" s="44"/>
      <c r="D60" s="8" t="s">
        <v>368</v>
      </c>
    </row>
    <row r="61" customFormat="false" ht="15" hidden="false" customHeight="false" outlineLevel="0" collapsed="false">
      <c r="A61" s="44"/>
      <c r="B61" s="8" t="s">
        <v>369</v>
      </c>
      <c r="C61" s="44"/>
      <c r="D61" s="8" t="s">
        <v>370</v>
      </c>
    </row>
    <row r="62" customFormat="false" ht="15" hidden="false" customHeight="false" outlineLevel="0" collapsed="false">
      <c r="A62" s="44"/>
      <c r="B62" s="8" t="s">
        <v>371</v>
      </c>
      <c r="C62" s="44"/>
      <c r="D62" s="8" t="s">
        <v>372</v>
      </c>
    </row>
    <row r="63" customFormat="false" ht="15" hidden="false" customHeight="false" outlineLevel="0" collapsed="false">
      <c r="A63" s="44"/>
      <c r="B63" s="8" t="s">
        <v>373</v>
      </c>
      <c r="C63" s="44"/>
      <c r="D63" s="8" t="s">
        <v>374</v>
      </c>
    </row>
    <row r="64" customFormat="false" ht="15" hidden="false" customHeight="false" outlineLevel="0" collapsed="false">
      <c r="A64" s="44"/>
      <c r="B64" s="8" t="s">
        <v>375</v>
      </c>
      <c r="C64" s="44"/>
      <c r="D64" s="8" t="s">
        <v>376</v>
      </c>
    </row>
    <row r="65" customFormat="false" ht="15" hidden="false" customHeight="false" outlineLevel="0" collapsed="false">
      <c r="A65" s="44"/>
      <c r="B65" s="8" t="s">
        <v>377</v>
      </c>
      <c r="C65" s="44"/>
      <c r="D65" s="8" t="s">
        <v>378</v>
      </c>
    </row>
    <row r="66" customFormat="false" ht="15" hidden="false" customHeight="false" outlineLevel="0" collapsed="false">
      <c r="A66" s="44"/>
      <c r="B66" s="8" t="s">
        <v>379</v>
      </c>
      <c r="C66" s="44"/>
      <c r="D66" s="8" t="s">
        <v>324</v>
      </c>
    </row>
    <row r="67" customFormat="false" ht="15" hidden="false" customHeight="false" outlineLevel="0" collapsed="false">
      <c r="A67" s="44"/>
      <c r="B67" s="8" t="s">
        <v>380</v>
      </c>
    </row>
    <row r="69" customFormat="false" ht="18" hidden="false" customHeight="true" outlineLevel="0" collapsed="false">
      <c r="A69" s="39" t="s">
        <v>381</v>
      </c>
      <c r="B69" s="39"/>
      <c r="C69" s="39"/>
      <c r="D69" s="39"/>
      <c r="E69" s="39"/>
    </row>
    <row r="70" customFormat="false" ht="15" hidden="false" customHeight="false" outlineLevel="0" collapsed="false">
      <c r="A70" s="44"/>
      <c r="B70" s="8" t="s">
        <v>382</v>
      </c>
      <c r="C70" s="44"/>
      <c r="D70" s="8" t="s">
        <v>383</v>
      </c>
    </row>
    <row r="71" customFormat="false" ht="15" hidden="false" customHeight="false" outlineLevel="0" collapsed="false">
      <c r="A71" s="44"/>
      <c r="B71" s="8" t="s">
        <v>384</v>
      </c>
      <c r="C71" s="44"/>
      <c r="D71" s="8" t="s">
        <v>385</v>
      </c>
    </row>
    <row r="72" customFormat="false" ht="15" hidden="false" customHeight="false" outlineLevel="0" collapsed="false">
      <c r="A72" s="44"/>
      <c r="B72" s="8" t="s">
        <v>386</v>
      </c>
      <c r="C72" s="44"/>
      <c r="D72" s="8" t="s">
        <v>387</v>
      </c>
    </row>
    <row r="73" customFormat="false" ht="15" hidden="false" customHeight="false" outlineLevel="0" collapsed="false">
      <c r="A73" s="44"/>
      <c r="B73" s="8" t="s">
        <v>388</v>
      </c>
      <c r="C73" s="44"/>
      <c r="D73" s="8" t="s">
        <v>389</v>
      </c>
    </row>
    <row r="74" customFormat="false" ht="15" hidden="false" customHeight="false" outlineLevel="0" collapsed="false">
      <c r="A74" s="44"/>
      <c r="B74" s="8" t="s">
        <v>390</v>
      </c>
      <c r="C74" s="44"/>
      <c r="D74" s="8" t="s">
        <v>324</v>
      </c>
    </row>
    <row r="76" customFormat="false" ht="18" hidden="false" customHeight="true" outlineLevel="0" collapsed="false">
      <c r="A76" s="38" t="s">
        <v>391</v>
      </c>
      <c r="B76" s="38"/>
      <c r="C76" s="38"/>
      <c r="D76" s="38"/>
      <c r="E76" s="38"/>
    </row>
  </sheetData>
  <dataValidations count="1">
    <dataValidation allowBlank="true" error="Choose X from the drop-down, or leave the cell blank." errorStyle="warning" errorTitle="Mark with X" operator="between" showDropDown="false" showErrorMessage="true" showInputMessage="false" sqref="A30:A33 C30:C32 A36:A42 C36:C42 A45:A54 C45:C54 A57:A67 C57:C66 A70:A74 C70:C74" type="list">
      <formula1>"X"</formula1>
      <formula2>0</formula2>
    </dataValidation>
  </dataValidations>
  <printOptions headings="false" gridLines="false" gridLinesSet="true" horizontalCentered="false" verticalCentered="false"/>
  <pageMargins left="0.4" right="0.4" top="0.75" bottom="0.75" header="0.3" footer="0.3"/>
  <pageSetup paperSize="1" scale="100" fitToWidth="1" fitToHeight="0" pageOrder="downThenOver" orientation="portrait" blackAndWhite="false" draft="false" cellComments="none" horizontalDpi="300" verticalDpi="300" copies="1"/>
  <headerFooter differentFirst="false" differentOddEven="false">
    <oddHeader>&amp;CPractice Case A – Trainee Workbook</oddHeader>
    <oddFooter>&amp;L&amp;A&amp;RPage &amp;P of &amp;N</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true"/>
  </sheetPr>
  <dimension ref="A1:C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10"/>
  </cols>
  <sheetData>
    <row r="1" customFormat="false" ht="24" hidden="false" customHeight="true" outlineLevel="0" collapsed="false">
      <c r="A1" s="1" t="s">
        <v>392</v>
      </c>
      <c r="B1" s="1"/>
      <c r="C1" s="1"/>
    </row>
    <row r="2" customFormat="false" ht="15" hidden="false" customHeight="false" outlineLevel="0" collapsed="false">
      <c r="A2" s="2" t="s">
        <v>393</v>
      </c>
      <c r="B2" s="2"/>
      <c r="C2" s="2"/>
    </row>
    <row r="4" customFormat="false" ht="15" hidden="false" customHeight="false" outlineLevel="0" collapsed="false">
      <c r="A4" s="5" t="s">
        <v>394</v>
      </c>
      <c r="B4" s="5" t="s">
        <v>395</v>
      </c>
      <c r="C4" s="5" t="s">
        <v>396</v>
      </c>
    </row>
    <row r="5" customFormat="false" ht="29.25" hidden="false" customHeight="true" outlineLevel="0" collapsed="false">
      <c r="A5" s="11" t="s">
        <v>397</v>
      </c>
      <c r="B5" s="11"/>
      <c r="C5" s="11"/>
    </row>
    <row r="6" customFormat="false" ht="16.5" hidden="false" customHeight="true" outlineLevel="0" collapsed="false">
      <c r="A6" s="44"/>
      <c r="B6" s="6" t="s">
        <v>398</v>
      </c>
      <c r="C6" s="8" t="s">
        <v>399</v>
      </c>
    </row>
    <row r="7" customFormat="false" ht="16.5" hidden="false" customHeight="true" outlineLevel="0" collapsed="false">
      <c r="A7" s="44"/>
      <c r="B7" s="6" t="s">
        <v>147</v>
      </c>
      <c r="C7" s="8" t="s">
        <v>400</v>
      </c>
    </row>
    <row r="8" customFormat="false" ht="16.5" hidden="false" customHeight="true" outlineLevel="0" collapsed="false">
      <c r="A8" s="44"/>
      <c r="B8" s="6" t="s">
        <v>113</v>
      </c>
      <c r="C8" s="8" t="s">
        <v>401</v>
      </c>
    </row>
    <row r="9" customFormat="false" ht="16.5" hidden="false" customHeight="true" outlineLevel="0" collapsed="false">
      <c r="A9" s="44"/>
      <c r="B9" s="6" t="s">
        <v>117</v>
      </c>
      <c r="C9" s="8" t="s">
        <v>402</v>
      </c>
    </row>
    <row r="11" customFormat="false" ht="29.25" hidden="false" customHeight="true" outlineLevel="0" collapsed="false">
      <c r="A11" s="11" t="s">
        <v>403</v>
      </c>
      <c r="B11" s="11"/>
      <c r="C11" s="11"/>
    </row>
    <row r="12" customFormat="false" ht="16.5" hidden="false" customHeight="true" outlineLevel="0" collapsed="false">
      <c r="A12" s="44"/>
      <c r="B12" s="6" t="s">
        <v>398</v>
      </c>
      <c r="C12" s="8" t="s">
        <v>404</v>
      </c>
    </row>
    <row r="13" customFormat="false" ht="16.5" hidden="false" customHeight="true" outlineLevel="0" collapsed="false">
      <c r="A13" s="44"/>
      <c r="B13" s="6" t="s">
        <v>147</v>
      </c>
      <c r="C13" s="8" t="s">
        <v>405</v>
      </c>
    </row>
    <row r="14" customFormat="false" ht="16.5" hidden="false" customHeight="true" outlineLevel="0" collapsed="false">
      <c r="A14" s="44"/>
      <c r="B14" s="6" t="s">
        <v>113</v>
      </c>
      <c r="C14" s="8" t="s">
        <v>406</v>
      </c>
    </row>
    <row r="15" customFormat="false" ht="16.5" hidden="false" customHeight="true" outlineLevel="0" collapsed="false">
      <c r="A15" s="44"/>
      <c r="B15" s="6" t="s">
        <v>117</v>
      </c>
      <c r="C15" s="8" t="s">
        <v>407</v>
      </c>
    </row>
    <row r="17" customFormat="false" ht="29.25" hidden="false" customHeight="true" outlineLevel="0" collapsed="false">
      <c r="A17" s="11" t="s">
        <v>408</v>
      </c>
      <c r="B17" s="11"/>
      <c r="C17" s="11"/>
    </row>
    <row r="18" customFormat="false" ht="16.5" hidden="false" customHeight="true" outlineLevel="0" collapsed="false">
      <c r="A18" s="44"/>
      <c r="B18" s="6" t="s">
        <v>398</v>
      </c>
      <c r="C18" s="8" t="s">
        <v>409</v>
      </c>
    </row>
    <row r="19" customFormat="false" ht="16.5" hidden="false" customHeight="true" outlineLevel="0" collapsed="false">
      <c r="A19" s="44"/>
      <c r="B19" s="6" t="s">
        <v>147</v>
      </c>
      <c r="C19" s="8" t="s">
        <v>410</v>
      </c>
    </row>
    <row r="20" customFormat="false" ht="16.5" hidden="false" customHeight="true" outlineLevel="0" collapsed="false">
      <c r="A20" s="44"/>
      <c r="B20" s="6" t="s">
        <v>113</v>
      </c>
      <c r="C20" s="8" t="s">
        <v>411</v>
      </c>
    </row>
    <row r="21" customFormat="false" ht="16.5" hidden="false" customHeight="true" outlineLevel="0" collapsed="false">
      <c r="A21" s="44"/>
      <c r="B21" s="6" t="s">
        <v>117</v>
      </c>
      <c r="C21" s="8" t="s">
        <v>412</v>
      </c>
    </row>
    <row r="23" customFormat="false" ht="18" hidden="false" customHeight="true" outlineLevel="0" collapsed="false">
      <c r="A23" s="11" t="s">
        <v>413</v>
      </c>
      <c r="B23" s="11"/>
      <c r="C23" s="11"/>
    </row>
    <row r="24" customFormat="false" ht="16.5" hidden="false" customHeight="true" outlineLevel="0" collapsed="false">
      <c r="A24" s="44"/>
      <c r="B24" s="6" t="s">
        <v>398</v>
      </c>
      <c r="C24" s="8" t="s">
        <v>414</v>
      </c>
    </row>
    <row r="25" customFormat="false" ht="16.5" hidden="false" customHeight="true" outlineLevel="0" collapsed="false">
      <c r="A25" s="44"/>
      <c r="B25" s="6" t="s">
        <v>147</v>
      </c>
      <c r="C25" s="8" t="s">
        <v>415</v>
      </c>
    </row>
    <row r="26" customFormat="false" ht="16.5" hidden="false" customHeight="true" outlineLevel="0" collapsed="false">
      <c r="A26" s="44"/>
      <c r="B26" s="6" t="s">
        <v>113</v>
      </c>
      <c r="C26" s="8" t="s">
        <v>416</v>
      </c>
    </row>
    <row r="27" customFormat="false" ht="16.5" hidden="false" customHeight="true" outlineLevel="0" collapsed="false">
      <c r="A27" s="44"/>
      <c r="B27" s="6" t="s">
        <v>117</v>
      </c>
      <c r="C27" s="8" t="s">
        <v>417</v>
      </c>
    </row>
    <row r="29" customFormat="false" ht="18" hidden="false" customHeight="true" outlineLevel="0" collapsed="false">
      <c r="A29" s="11" t="s">
        <v>418</v>
      </c>
      <c r="B29" s="11"/>
      <c r="C29" s="11"/>
    </row>
    <row r="30" customFormat="false" ht="16.5" hidden="false" customHeight="true" outlineLevel="0" collapsed="false">
      <c r="A30" s="44"/>
      <c r="B30" s="6" t="s">
        <v>398</v>
      </c>
      <c r="C30" s="8" t="s">
        <v>419</v>
      </c>
    </row>
    <row r="31" customFormat="false" ht="16.5" hidden="false" customHeight="true" outlineLevel="0" collapsed="false">
      <c r="A31" s="44"/>
      <c r="B31" s="6" t="s">
        <v>147</v>
      </c>
      <c r="C31" s="8" t="s">
        <v>420</v>
      </c>
    </row>
    <row r="32" customFormat="false" ht="16.5" hidden="false" customHeight="true" outlineLevel="0" collapsed="false">
      <c r="A32" s="44"/>
      <c r="B32" s="6" t="s">
        <v>113</v>
      </c>
      <c r="C32" s="8" t="s">
        <v>421</v>
      </c>
    </row>
    <row r="33" customFormat="false" ht="16.5" hidden="false" customHeight="true" outlineLevel="0" collapsed="false">
      <c r="A33" s="44"/>
      <c r="B33" s="6" t="s">
        <v>117</v>
      </c>
      <c r="C33" s="8" t="s">
        <v>422</v>
      </c>
    </row>
    <row r="35" customFormat="false" ht="18" hidden="false" customHeight="true" outlineLevel="0" collapsed="false">
      <c r="A35" s="11" t="s">
        <v>423</v>
      </c>
      <c r="B35" s="11"/>
      <c r="C35" s="11"/>
    </row>
    <row r="36" customFormat="false" ht="16.5" hidden="false" customHeight="true" outlineLevel="0" collapsed="false">
      <c r="A36" s="44"/>
      <c r="B36" s="6" t="s">
        <v>398</v>
      </c>
      <c r="C36" s="8" t="s">
        <v>424</v>
      </c>
    </row>
    <row r="37" customFormat="false" ht="16.5" hidden="false" customHeight="true" outlineLevel="0" collapsed="false">
      <c r="A37" s="44"/>
      <c r="B37" s="6" t="s">
        <v>147</v>
      </c>
      <c r="C37" s="8" t="s">
        <v>425</v>
      </c>
    </row>
    <row r="38" customFormat="false" ht="16.5" hidden="false" customHeight="true" outlineLevel="0" collapsed="false">
      <c r="A38" s="44"/>
      <c r="B38" s="6" t="s">
        <v>113</v>
      </c>
      <c r="C38" s="8" t="s">
        <v>426</v>
      </c>
    </row>
    <row r="39" customFormat="false" ht="16.5" hidden="false" customHeight="true" outlineLevel="0" collapsed="false">
      <c r="A39" s="44"/>
      <c r="B39" s="6" t="s">
        <v>117</v>
      </c>
      <c r="C39" s="8" t="s">
        <v>427</v>
      </c>
    </row>
    <row r="41" customFormat="false" ht="18" hidden="false" customHeight="true" outlineLevel="0" collapsed="false">
      <c r="A41" s="11" t="s">
        <v>428</v>
      </c>
      <c r="B41" s="11"/>
      <c r="C41" s="11"/>
    </row>
    <row r="42" customFormat="false" ht="16.5" hidden="false" customHeight="true" outlineLevel="0" collapsed="false">
      <c r="A42" s="44"/>
      <c r="B42" s="6" t="s">
        <v>398</v>
      </c>
      <c r="C42" s="8" t="s">
        <v>429</v>
      </c>
    </row>
    <row r="43" customFormat="false" ht="16.5" hidden="false" customHeight="true" outlineLevel="0" collapsed="false">
      <c r="A43" s="44"/>
      <c r="B43" s="6" t="s">
        <v>147</v>
      </c>
      <c r="C43" s="8" t="s">
        <v>430</v>
      </c>
    </row>
    <row r="44" customFormat="false" ht="16.5" hidden="false" customHeight="true" outlineLevel="0" collapsed="false">
      <c r="A44" s="44"/>
      <c r="B44" s="6" t="s">
        <v>113</v>
      </c>
      <c r="C44" s="8" t="s">
        <v>431</v>
      </c>
    </row>
    <row r="45" customFormat="false" ht="16.5" hidden="false" customHeight="true" outlineLevel="0" collapsed="false">
      <c r="A45" s="44"/>
      <c r="B45" s="6" t="s">
        <v>117</v>
      </c>
      <c r="C45" s="8" t="s">
        <v>432</v>
      </c>
    </row>
    <row r="47" customFormat="false" ht="18" hidden="false" customHeight="true" outlineLevel="0" collapsed="false">
      <c r="A47" s="11" t="s">
        <v>433</v>
      </c>
      <c r="B47" s="11"/>
      <c r="C47" s="11"/>
    </row>
    <row r="48" customFormat="false" ht="29.25" hidden="false" customHeight="true" outlineLevel="0" collapsed="false">
      <c r="A48" s="44"/>
      <c r="B48" s="6" t="s">
        <v>398</v>
      </c>
      <c r="C48" s="8" t="s">
        <v>434</v>
      </c>
    </row>
    <row r="49" customFormat="false" ht="29.25" hidden="false" customHeight="true" outlineLevel="0" collapsed="false">
      <c r="A49" s="44"/>
      <c r="B49" s="6" t="s">
        <v>147</v>
      </c>
      <c r="C49" s="8" t="s">
        <v>435</v>
      </c>
    </row>
    <row r="50" customFormat="false" ht="29.25" hidden="false" customHeight="true" outlineLevel="0" collapsed="false">
      <c r="A50" s="44"/>
      <c r="B50" s="6" t="s">
        <v>113</v>
      </c>
      <c r="C50" s="8" t="s">
        <v>436</v>
      </c>
    </row>
    <row r="51" customFormat="false" ht="16.5" hidden="false" customHeight="true" outlineLevel="0" collapsed="false">
      <c r="A51" s="44"/>
      <c r="B51" s="6" t="s">
        <v>117</v>
      </c>
      <c r="C51" s="8" t="s">
        <v>437</v>
      </c>
    </row>
  </sheetData>
  <mergeCells count="10">
    <mergeCell ref="A1:C1"/>
    <mergeCell ref="A2:C2"/>
    <mergeCell ref="A5:C5"/>
    <mergeCell ref="A11:C11"/>
    <mergeCell ref="A17:C17"/>
    <mergeCell ref="A23:C23"/>
    <mergeCell ref="A29:C29"/>
    <mergeCell ref="A35:C35"/>
    <mergeCell ref="A41:C41"/>
    <mergeCell ref="A47:C47"/>
  </mergeCells>
  <dataValidations count="1">
    <dataValidation allowBlank="true" error="Choose X from the drop-down, or leave the cell blank." errorStyle="warning" errorTitle="Mark with X" operator="between" showDropDown="false" showErrorMessage="true" showInputMessage="false" sqref="A6:A9 A12:A15 A18:A21 A24:A27 A30:A33 A36:A39 A42:A45 A48:A51" type="list">
      <formula1>"X"</formula1>
      <formula2>0</formula2>
    </dataValidation>
  </dataValidations>
  <printOptions headings="false" gridLines="false" gridLinesSet="true" horizontalCentered="false" verticalCentered="false"/>
  <pageMargins left="0.4" right="0.4" top="0.75" bottom="0.75" header="0.3" footer="0.3"/>
  <pageSetup paperSize="1" scale="100" fitToWidth="1" fitToHeight="0" pageOrder="downThenOver" orientation="portrait" blackAndWhite="false" draft="false" cellComments="none" horizontalDpi="300" verticalDpi="300" copies="1"/>
  <headerFooter differentFirst="false" differentOddEven="false">
    <oddHeader>&amp;CPractice Case A – Trainee Workbook</oddHeader>
    <oddFooter>&amp;L&amp;A&amp;RPage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Training</cp:category>
  <dcterms:created xsi:type="dcterms:W3CDTF">2026-10-07T21:42:53Z</dcterms:created>
  <dc:creator>Training Team</dc:creator>
  <dc:description/>
  <dc:language>en-US</dc:language>
  <cp:lastModifiedBy>Training Team</cp:lastModifiedBy>
  <dcterms:modified xsi:type="dcterms:W3CDTF">2026-10-07T21:42:53Z</dcterms:modified>
  <cp:revision>0</cp:revision>
  <dc:subject>AML investigation practice case</dc:subject>
  <dc:title>Practice Case A</dc:title>
</cp:coreProperties>
</file>

<file path=docProps/custom.xml><?xml version="1.0" encoding="utf-8"?>
<Properties xmlns="http://schemas.openxmlformats.org/officeDocument/2006/custom-properties" xmlns:vt="http://schemas.openxmlformats.org/officeDocument/2006/docPropsVTypes"/>
</file>