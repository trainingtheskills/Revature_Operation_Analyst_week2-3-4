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hlga\OneDrive\Desktop\AML\USA Batch - D8.30PM\Case Study\KPMG_-_Project_Case_study1_-_Sandra_Whitfield__\"/>
    </mc:Choice>
  </mc:AlternateContent>
  <xr:revisionPtr revIDLastSave="0" documentId="13_ncr:1_{A4AEBBD1-2AB5-412F-85A2-059CA42030DD}" xr6:coauthVersionLast="47" xr6:coauthVersionMax="47" xr10:uidLastSave="{00000000-0000-0000-0000-000000000000}"/>
  <bookViews>
    <workbookView xWindow="-120" yWindow="-16320" windowWidth="29040" windowHeight="15720" tabRatio="869" activeTab="1"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1" i="4" l="1"/>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E13" i="5"/>
  <c r="D1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<sst xmlns="http://schemas.openxmlformats.org/spreadsheetml/2006/main" count="2173" uniqueCount="580">
  <si>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</si>
  <si>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</si>
  <si>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</si>
  <si>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</si>
  <si>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</si>
  <si>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</si>
  <si>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</si>
  <si>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</si>
  <si>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</si>
  <si>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</si>
  <si>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</si>
  <si>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</si>
  <si>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</si>
  <si>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N/A</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</si>
  <si>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</si>
  <si>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</si>
  <si>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</si>
  <si>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</si>
  <si>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</si>
  <si>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</si>
  <si>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</si>
  <si>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</si>
  <si>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</si>
  <si>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</si>
  <si>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</si>
  <si>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</si>
  <si>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</si>
  <si>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</si>
  <si>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</si>
  <si>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</si>
  <si>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</si>
  <si>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</si>
  <si>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</si>
  <si>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</si>
  <si>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</si>
  <si>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Large Wire Out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</si>
  <si>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</si>
  <si>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</si>
  <si>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</si>
  <si>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</si>
  <si>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</si>
  <si>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</si>
  <si>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</si>
  <si>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</si>
  <si>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</si>
  <si>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</si>
  <si>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</si>
  <si>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</si>
  <si>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</si>
  <si>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</si>
  <si>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</si>
  <si>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</si>
  <si>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</si>
  <si>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</si>
  <si>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</si>
  <si>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</si>
  <si>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</si>
  <si>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</si>
  <si>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</si>
  <si>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</si>
  <si>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</si>
  <si>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</si>
  <si>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</si>
  <si>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</si>
  <si>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</si>
  <si>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Cash</t>
  </si>
  <si>
    <t>C</t>
  </si>
  <si>
    <t>ATM Deposit</t>
  </si>
  <si>
    <t>DEPOSITOR</t>
  </si>
  <si>
    <t>UNKNOWN</t>
  </si>
  <si>
    <t>Check</t>
  </si>
  <si>
    <t>Mobile Check Deposit</t>
  </si>
  <si>
    <t>Wells Fargo</t>
  </si>
  <si>
    <t>Teller Deposit</t>
  </si>
  <si>
    <t>TELLER01</t>
  </si>
  <si>
    <t>Walgreens</t>
  </si>
  <si>
    <t>Chase</t>
  </si>
  <si>
    <t>Citibank</t>
  </si>
  <si>
    <t>TELLER02</t>
  </si>
  <si>
    <t>PNC Bank</t>
  </si>
  <si>
    <t>TD Bank</t>
  </si>
  <si>
    <t>Bank of America</t>
  </si>
  <si>
    <t>TELLER03</t>
  </si>
  <si>
    <t>NY</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</si>
  <si>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</si>
  <si>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</si>
  <si>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</si>
  <si>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</si>
  <si>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</si>
  <si>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</si>
  <si>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</si>
  <si>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</si>
  <si>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</si>
  <si>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</si>
  <si>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</si>
  <si>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</si>
  <si>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</si>
  <si>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</si>
  <si>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</si>
  <si>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</si>
  <si>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</si>
  <si>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</si>
  <si>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</si>
  <si>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</si>
  <si>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</si>
  <si>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</si>
  <si>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</si>
  <si>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</si>
  <si>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</si>
  <si>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</si>
  <si>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</si>
  <si>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</si>
  <si>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</si>
  <si>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</si>
  <si>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</si>
  <si>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</si>
  <si>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</si>
  <si>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</si>
  <si>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</si>
  <si>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</si>
  <si>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</si>
  <si>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</si>
  <si>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</si>
  <si>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</si>
  <si>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</si>
  <si>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</si>
  <si>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</si>
  <si>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</si>
  <si>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</si>
  <si>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</si>
  <si>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</si>
  <si>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</si>
  <si>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</si>
  <si>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</si>
  <si>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</si>
  <si>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</si>
  <si>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</si>
  <si>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</si>
  <si>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</si>
  <si>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</si>
  <si>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</si>
  <si>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</si>
  <si>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</si>
  <si>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</si>
  <si>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</si>
  <si>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</si>
  <si>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</si>
  <si>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</si>
  <si>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</si>
  <si>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</si>
  <si>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</si>
  <si>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</si>
  <si>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</si>
  <si>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</si>
  <si>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</si>
  <si>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</si>
  <si>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</si>
  <si>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</si>
  <si>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</si>
  <si>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</si>
  <si>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</si>
  <si>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</si>
  <si>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</si>
  <si>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</si>
  <si>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</si>
  <si>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</si>
  <si>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</si>
  <si>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</si>
  <si>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</si>
  <si>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</si>
  <si>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</si>
  <si>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</si>
  <si>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</si>
  <si>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</si>
  <si>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</si>
  <si>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</si>
  <si>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</si>
  <si>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</si>
  <si>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</si>
  <si>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</si>
  <si>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</si>
  <si>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</si>
  <si>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</si>
  <si>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Escalate the case and recommend filing a Suspicious Activity Report (SAR) based on the combined red flags pointing to money laundering.</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</si>
  <si>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</si>
  <si>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</si>
  <si>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</si>
  <si>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</si>
  <si>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</si>
  <si>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</si>
  <si>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</si>
  <si>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</si>
  <si>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</si>
  <si>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</si>
  <si>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</si>
  <si>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</si>
  <si>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</si>
  <si>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</si>
  <si>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</si>
  <si>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</si>
  <si>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</si>
  <si>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</si>
  <si>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</si>
  <si>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</si>
  <si>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</si>
  <si>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sample checks and any other available support. Compare payors, endorsements, dates, amounts, and account information to the transaction records; note missing or inconsistent support.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</si>
  <si>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</si>
  <si>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</si>
  <si>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</si>
  <si>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</si>
  <si>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</si>
  <si>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</si>
  <si>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</si>
  <si>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</si>
  <si>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</si>
  <si>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</si>
  <si>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</si>
  <si>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</si>
  <si>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</si>
  <si>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</si>
  <si>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SUPPORTING DOCUMENTS — TRAINING CHECK SAMPLES</t>
  </si>
  <si>
    <t>Representative mobile check deposits reproduced from Transactions for case-study review.</t>
  </si>
  <si>
    <t>TRAINING SAMPLE - NOT A NEGOTIABLE CHECK</t>
  </si>
  <si>
    <t>Follow the steps, document the evidence reviewed, and base the final disposition on the full activity pattern.</t>
  </si>
  <si>
    <t>SELECT</t>
  </si>
  <si>
    <t>OPTION</t>
  </si>
  <si>
    <t>ANSWER</t>
  </si>
  <si>
    <t>1. What is the primary red flag that initiates the suspicion in this account?</t>
  </si>
  <si>
    <t>5. What is the most appropriate next step for the analyst upon completing this review?</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</si>
  <si>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</si>
  <si>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</si>
  <si>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</si>
  <si>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</si>
  <si>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</si>
  <si>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Case Study 26 — Sandra Whitfield.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</si>
  <si>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</si>
  <si>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</si>
  <si>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</si>
  <si>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</si>
  <si>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</si>
  <si>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</si>
  <si>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</si>
  <si>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</si>
  <si>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</si>
  <si>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</si>
  <si>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</si>
  <si>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</si>
  <si>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cash, transfers from individuals, exchange credits, wires, card spending.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</si>
  <si>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</si>
  <si>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</si>
  <si>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Sample mobile check deposits reproduced from the transaction data.</t>
  </si>
  <si>
    <t>Match the payor, amount and date on each sample to the corresponding transaction row. Ask what relationship, if any, the payor has to the customer, and note any support that is missing or inconsistent.</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</si>
  <si>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</si>
  <si>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</si>
  <si>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</si>
  <si>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</si>
  <si>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</si>
  <si>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</si>
  <si>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</si>
  <si>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</si>
  <si>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</si>
  <si>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</si>
  <si>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</si>
  <si>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Cash deposit pattern</t>
  </si>
  <si>
    <t>Individual amounts against the $10,000 currency transaction reporting threshold; how many per week; how many different branches, cities and states; which days.</t>
  </si>
  <si>
    <t>Cash kept deliberately below a reporting threshold and spread across locations indicates structuring rather than convenience. Note deposits made where the customer does not live or work.</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</si>
  <si>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</si>
  <si>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</si>
  <si>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</si>
  <si>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</si>
  <si>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</si>
  <si>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</si>
  <si>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</si>
  <si>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</si>
  <si>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</si>
  <si>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</si>
  <si>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</si>
  <si>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</si>
  <si>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</si>
  <si>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</si>
  <si>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</si>
  <si>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</si>
  <si>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</si>
  <si>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</si>
  <si>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</si>
  <si>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</si>
  <si>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</si>
  <si>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</si>
  <si>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</si>
  <si>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</si>
  <si>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</si>
  <si>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</si>
  <si>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</si>
  <si>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</si>
  <si>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</si>
  <si>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</si>
  <si>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</si>
  <si>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</si>
  <si>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</si>
  <si>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</si>
  <si>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</si>
  <si>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</si>
  <si>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</si>
  <si>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</si>
  <si>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</si>
  <si>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</si>
  <si>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</si>
  <si>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</si>
  <si>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</si>
  <si>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</si>
  <si>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</si>
  <si>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</si>
  <si>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</si>
  <si>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</si>
  <si>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</si>
  <si>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</si>
  <si>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</si>
  <si>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</si>
  <si>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</si>
  <si>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</si>
  <si>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</si>
  <si>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</si>
  <si>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</si>
  <si>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</si>
  <si>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</si>
  <si>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</si>
  <si>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</si>
  <si>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</si>
  <si>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</si>
  <si>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</si>
  <si>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</si>
  <si>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</si>
  <si>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</si>
  <si>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</si>
  <si>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</si>
  <si>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</si>
  <si>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</si>
  <si>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</si>
  <si>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</si>
  <si>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</si>
  <si>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</si>
  <si>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</si>
  <si>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</si>
  <si>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</si>
  <si>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</si>
  <si>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</si>
  <si>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</si>
  <si>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</si>
  <si>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</si>
  <si>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</si>
  <si>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</si>
  <si>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</si>
  <si>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</si>
  <si>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</si>
  <si>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</si>
  <si>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</si>
  <si>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Sandra Whitfield</t>
  </si>
  <si>
    <t>615 Palisade Ave</t>
  </si>
  <si>
    <t>Jersey City, NJ 07307</t>
  </si>
  <si>
    <t>201-555-0187</t>
  </si>
  <si>
    <t>(201) 555-0187</t>
  </si>
  <si>
    <t>187-42-3391</t>
  </si>
  <si>
    <t>s.whitfield.nj@email.com</t>
  </si>
  <si>
    <t>Homemaker</t>
  </si>
  <si>
    <t>P2P</t>
  </si>
  <si>
    <t>Group 1</t>
  </si>
  <si>
    <t>Zelle Credit</t>
  </si>
  <si>
    <t>Arun Deshmukh</t>
  </si>
  <si>
    <t>Jersey City</t>
  </si>
  <si>
    <t>NJ</t>
  </si>
  <si>
    <t>NJ-JCY-01</t>
  </si>
  <si>
    <t>17:51</t>
  </si>
  <si>
    <t>Marisol Peña</t>
  </si>
  <si>
    <t>ACH</t>
  </si>
  <si>
    <t>Crypto Exchange Credit</t>
  </si>
  <si>
    <t>Binance.US</t>
  </si>
  <si>
    <t>Silvergate Exchange Network</t>
  </si>
  <si>
    <t>Binance.US withdrawal to linked bank account</t>
  </si>
  <si>
    <t>Kwame Boateng</t>
  </si>
  <si>
    <t>Group 3</t>
  </si>
  <si>
    <t>Equipment Advance</t>
  </si>
  <si>
    <t>Dmitri Volkov</t>
  </si>
  <si>
    <t>Various</t>
  </si>
  <si>
    <t>NJ-JCY-03</t>
  </si>
  <si>
    <t>11:05</t>
  </si>
  <si>
    <t>Ivan Sokolov</t>
  </si>
  <si>
    <t>Union City</t>
  </si>
  <si>
    <t>NJ-UNC-02</t>
  </si>
  <si>
    <t>17:32</t>
  </si>
  <si>
    <t>Leila Haddad</t>
  </si>
  <si>
    <t>ShopRite Groceries</t>
  </si>
  <si>
    <t>4147 8802 5561 9034</t>
  </si>
  <si>
    <t>Victor Nwosu</t>
  </si>
  <si>
    <t>Group 2</t>
  </si>
  <si>
    <t>Consultancy Fee</t>
  </si>
  <si>
    <t>Blue Harbour Holdings Ltd</t>
  </si>
  <si>
    <t>Caribbean Commercial Bank</t>
  </si>
  <si>
    <t>VG21BHL0000123456</t>
  </si>
  <si>
    <t>Consultancy</t>
  </si>
  <si>
    <t>Coinbase, Inc.</t>
  </si>
  <si>
    <t>Signature Bank</t>
  </si>
  <si>
    <t>Coinbase, Inc. withdrawal to linked bank account</t>
  </si>
  <si>
    <t>Grace Achebe</t>
  </si>
  <si>
    <t>Capital One</t>
  </si>
  <si>
    <t>Freight Charges</t>
  </si>
  <si>
    <t>Osei Mensah</t>
  </si>
  <si>
    <t>PSE&amp;G Utility Payment</t>
  </si>
  <si>
    <t>Hamid Qureshi</t>
  </si>
  <si>
    <t>Target</t>
  </si>
  <si>
    <t>Gloria Mendes</t>
  </si>
  <si>
    <t>Valley National</t>
  </si>
  <si>
    <t>Shell Gas</t>
  </si>
  <si>
    <t>Verizon Wireless</t>
  </si>
  <si>
    <t>Crypto.com</t>
  </si>
  <si>
    <t>Crypto.com withdrawal to linked bank account</t>
  </si>
  <si>
    <t>Dario Esposito</t>
  </si>
  <si>
    <t>M&amp;T Bank</t>
  </si>
  <si>
    <t>Costco Wholesale</t>
  </si>
  <si>
    <t>Yusuf Demir</t>
  </si>
  <si>
    <t>Netflix</t>
  </si>
  <si>
    <t>CVS Pharmacy</t>
  </si>
  <si>
    <t>Elena Marchetti</t>
  </si>
  <si>
    <t>Citizens Bank</t>
  </si>
  <si>
    <t>Samuel Okafor</t>
  </si>
  <si>
    <t>Commission Payment</t>
  </si>
  <si>
    <t>Yelena Kravets</t>
  </si>
  <si>
    <t>Priya Nandini</t>
  </si>
  <si>
    <t>Amazon Marketplace</t>
  </si>
  <si>
    <t>Dunkin'</t>
  </si>
  <si>
    <t>Tomasz Wisniewski</t>
  </si>
  <si>
    <t>Newark</t>
  </si>
  <si>
    <t>NJ-NWK-04</t>
  </si>
  <si>
    <t>12:17</t>
  </si>
  <si>
    <t>Rosa Villalobos</t>
  </si>
  <si>
    <t>NJ Transit</t>
  </si>
  <si>
    <t>Andrei Luca</t>
  </si>
  <si>
    <t>Home Depot</t>
  </si>
  <si>
    <t>Fatima Zaman</t>
  </si>
  <si>
    <t>Miguel Cardenas</t>
  </si>
  <si>
    <t>Olena Tkachuk</t>
  </si>
  <si>
    <t>Santander</t>
  </si>
  <si>
    <t>Trader Joe's</t>
  </si>
  <si>
    <t>Bashir Rahman</t>
  </si>
  <si>
    <t>Invoice Settlement</t>
  </si>
  <si>
    <t>Marcelo Trade Services S.A.</t>
  </si>
  <si>
    <t>Banco General S.A.</t>
  </si>
  <si>
    <t>PA45BGE0009871234</t>
  </si>
  <si>
    <t>Invoice</t>
  </si>
  <si>
    <t>Contract Settlement</t>
  </si>
  <si>
    <t>Rahim Qureshi</t>
  </si>
  <si>
    <t>Hector Ramirez</t>
  </si>
  <si>
    <t>Elizabeth</t>
  </si>
  <si>
    <t>NJ-ELZ-01</t>
  </si>
  <si>
    <t>9:13</t>
  </si>
  <si>
    <t>Uber</t>
  </si>
  <si>
    <t>Bayonne</t>
  </si>
  <si>
    <t>NJ-BAY-02</t>
  </si>
  <si>
    <t>10:02</t>
  </si>
  <si>
    <t>Hoboken</t>
  </si>
  <si>
    <t>NJ-HOB-01</t>
  </si>
  <si>
    <t>10:42</t>
  </si>
  <si>
    <t>Consignment Advance</t>
  </si>
  <si>
    <t>Tomas Herrera</t>
  </si>
  <si>
    <t>Paterson</t>
  </si>
  <si>
    <t>NJ-PAT-05</t>
  </si>
  <si>
    <t>15:50</t>
  </si>
  <si>
    <t>Brooklyn</t>
  </si>
  <si>
    <t>NY-BRK-06</t>
  </si>
  <si>
    <t>14:04</t>
  </si>
  <si>
    <t>Queens</t>
  </si>
  <si>
    <t>NY-QNS-02</t>
  </si>
  <si>
    <t>19:22</t>
  </si>
  <si>
    <t>13:01</t>
  </si>
  <si>
    <t>Advance for Goods</t>
  </si>
  <si>
    <t>Kyprion Aegis Trading Ltd</t>
  </si>
  <si>
    <t>Bank of Cyprus</t>
  </si>
  <si>
    <t>CY17BOC0090004567</t>
  </si>
  <si>
    <t>Goods advance</t>
  </si>
  <si>
    <t>10:47</t>
  </si>
  <si>
    <t>Logistics Fee</t>
  </si>
  <si>
    <t>Bogdan Iliev</t>
  </si>
  <si>
    <t>15:39</t>
  </si>
  <si>
    <t>Inventory Purchase</t>
  </si>
  <si>
    <t>Nourah Al-Fahim</t>
  </si>
  <si>
    <t>13:07</t>
  </si>
  <si>
    <t>12:16</t>
  </si>
  <si>
    <t>12:43</t>
  </si>
  <si>
    <t>Project Support</t>
  </si>
  <si>
    <t>Vantage Meridian Consulting Ltd</t>
  </si>
  <si>
    <t>VP Bank (BVI) Ltd</t>
  </si>
  <si>
    <t>VG88VMC0004455667</t>
  </si>
  <si>
    <t>Project</t>
  </si>
  <si>
    <t>Nadia Petrescu</t>
  </si>
  <si>
    <t>Machinery Deposit</t>
  </si>
  <si>
    <t>Sergey Morozov</t>
  </si>
  <si>
    <t>Shipment Advance</t>
  </si>
  <si>
    <t>Adeola Bankole</t>
  </si>
  <si>
    <t>Anita Varghese</t>
  </si>
  <si>
    <t>9:57</t>
  </si>
  <si>
    <t>18:26</t>
  </si>
  <si>
    <t>Trade Advance</t>
  </si>
  <si>
    <t>Costa Verde Global Inc</t>
  </si>
  <si>
    <t>Multibank Inc.</t>
  </si>
  <si>
    <t>PA62MLB0003344556</t>
  </si>
  <si>
    <t>Trade</t>
  </si>
  <si>
    <t>11:56</t>
  </si>
  <si>
    <t>Camille Toussaint</t>
  </si>
  <si>
    <t>16:04</t>
  </si>
  <si>
    <t>Vendor Settlement</t>
  </si>
  <si>
    <t>Milos Jovanovic</t>
  </si>
  <si>
    <t>Brokerage Fee</t>
  </si>
  <si>
    <t>Karim Belkacem</t>
  </si>
  <si>
    <t>19:16</t>
  </si>
  <si>
    <t>19:01</t>
  </si>
  <si>
    <t>Logistics Settlement</t>
  </si>
  <si>
    <t>Anatolia Bridge Enterprises Ltd</t>
  </si>
  <si>
    <t>Hellenic Bank</t>
  </si>
  <si>
    <t>CY93HEB0077889900</t>
  </si>
  <si>
    <t>Logistics</t>
  </si>
  <si>
    <t>14:36</t>
  </si>
  <si>
    <t>18:46</t>
  </si>
  <si>
    <t>Trade Deposit</t>
  </si>
  <si>
    <t>Zhen Wei Lim</t>
  </si>
  <si>
    <t>19:50</t>
  </si>
  <si>
    <t>9:53</t>
  </si>
  <si>
    <t>Peter Osei</t>
  </si>
  <si>
    <t>Equipment Purchase</t>
  </si>
  <si>
    <t>Silver Reef Ventures Ltd</t>
  </si>
  <si>
    <t>VG34SRV0011223344</t>
  </si>
  <si>
    <t>Equipment</t>
  </si>
  <si>
    <t>18:06</t>
  </si>
  <si>
    <t>10:49</t>
  </si>
  <si>
    <t>Consulting Retainer</t>
  </si>
  <si>
    <t>Ana Sofia Braga</t>
  </si>
  <si>
    <t>17:35</t>
  </si>
  <si>
    <t>17:52</t>
  </si>
  <si>
    <t>15:29</t>
  </si>
  <si>
    <t>Palma Azul Comercial S.A.</t>
  </si>
  <si>
    <t>PA19BGE0005566778</t>
  </si>
  <si>
    <t>Contract</t>
  </si>
  <si>
    <t>19:20</t>
  </si>
  <si>
    <t>Settlement Transfer</t>
  </si>
  <si>
    <t>Farid Nazarov</t>
  </si>
  <si>
    <t>18:42</t>
  </si>
  <si>
    <t>10:54</t>
  </si>
  <si>
    <t>17:33</t>
  </si>
  <si>
    <t>615 Palisade Ave, Jersey City, NJ 07307</t>
  </si>
  <si>
    <t>Road Town, Tortola, British Virgin Islands</t>
  </si>
  <si>
    <t>Panama City, Panama</t>
  </si>
  <si>
    <t>Limassol, Cyprus</t>
  </si>
  <si>
    <t>a.</t>
  </si>
  <si>
    <t>The customer's age and her address in Jersey City, NJ.</t>
  </si>
  <si>
    <t>b.</t>
  </si>
  <si>
    <t>Cash deposits of $1,000 to $2,500 placed up to three times a week at multiple branches, together with recurring credits from unrelated individuals, none of which fits a homemaker with no declared income.</t>
  </si>
  <si>
    <t>c.</t>
  </si>
  <si>
    <t>The use of a debit card for grocery purchases at ShopRite and Trader Joe's.</t>
  </si>
  <si>
    <t>2. Why is the customer's “Homemaker” status with no employer of record a critical piece of information in this investigation?</t>
  </si>
  <si>
    <t>It directly contradicts the volume and the sources of the incoming funds, suggesting the customer is not the true originator of the money.</t>
  </si>
  <si>
    <t>It explains why she receives gifts and financial support from friends and family.</t>
  </si>
  <si>
    <t>It indicates that the account should be closed immediately due to high risk.</t>
  </si>
  <si>
    <t>3. Thirty-six cash deposits of $1,000 to $2,500, all below the $10,000 reporting threshold and placed across ten branches on random days, are best described as:</t>
  </si>
  <si>
    <t>Normal household cash management by a family that prefers cash.</t>
  </si>
  <si>
    <t>Structuring of cash deposits supporting a funnel account typology.</t>
  </si>
  <si>
    <t>Elder financial exploitation.</t>
  </si>
  <si>
    <t>4. Which combination of factors regarding the eight outgoing wire transfers makes them most suspicious?</t>
  </si>
  <si>
    <t>The transfers were all sent on weekdays.</t>
  </si>
  <si>
    <t>The wire amounts are all rounded dollar figures.</t>
  </si>
  <si>
    <t>They are sent to entities with no corporate registry, website or public presence, located in the British Virgin Islands, Panama and Cyprus, with commercial narrations that have no connection to the customer's profile.</t>
  </si>
  <si>
    <t>Close the alert, as the wire narrations state plausible business reasons such as “Invoice Settlement” and “Consultancy Fee.”</t>
  </si>
  <si>
    <t>Contact the customer to ask for clarification on the source of the cash deposits.</t>
  </si>
  <si>
    <t>6. What is the total dollar amount of the cash deposits received over the six-month review period?</t>
  </si>
  <si>
    <t>d.</t>
  </si>
  <si>
    <t>7. Credits were received from virtual asset service providers. Which of the following was NOT a source of those credits?</t>
  </si>
  <si>
    <t>Coinbase</t>
  </si>
  <si>
    <t>Kraken</t>
  </si>
  <si>
    <t>8. The outgoing wire transfers were sent to beneficiaries located in which group of jurisdictions?</t>
  </si>
  <si>
    <t>Canada, Germany and the United Kingdom</t>
  </si>
  <si>
    <t>British Virgin Islands, Panama and Cyprus</t>
  </si>
  <si>
    <t>India, Brazil and Mexico</t>
  </si>
  <si>
    <t>Japan, Singapore and South Korea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</si>
</sst>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_(* #,##0.00_);_(* \(#,##0.00\);_(* &quot;-&quot;??_);_(@_)"/>
    <numFmt numFmtId="166" formatCode="&quot;$&quot;#,##0.00"/>
    <numFmt numFmtId="167"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ont>
    <font>
      <i/>
      <sz val="11"/>
      <color rgb="FF666666"/>
      <name val="Aptos"/>
    </font>
    <font>
      <sz val="11"/>
      <color theme="1"/>
      <name val="Aptos"/>
    </font>
    <font>
      <b/>
      <sz val="11"/>
      <color rgb="FFFFFFFF"/>
      <name val="Aptos"/>
    </font>
    <font>
      <b/>
      <sz val="11"/>
      <color rgb="FF17365D"/>
      <name val="Aptos"/>
    </font>
    <font>
      <b/>
      <sz val="11"/>
      <color theme="1"/>
      <name val="Aptos"/>
    </font>
    <font>
      <b/>
      <sz val="12"/>
      <color rgb="FF17365D"/>
      <name val="Aptos"/>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165" fontId="1" fillId="0" borderId="0" applyFont="0" applyFill="0" applyBorder="0" applyAlignment="0" applyProtection="0"/>
    <xf numFmtId="0" fontId="13" fillId="0" borderId="0" applyNumberFormat="0" applyFill="0" applyBorder="0" applyAlignment="0" applyProtection="0"/>
  </cellStyleXfs>
  <cellXfs count="148">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6"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5"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5"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20" fontId="0" fillId="0" borderId="0" xfId="0" applyNumberFormat="1"/>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165" fontId="0" fillId="4" borderId="0" xfId="1" applyFont="1" applyFill="1"/>
    <xf numFmtId="14" fontId="0" fillId="0" borderId="0" xfId="0" applyNumberFormat="1" applyAlignment="1">
      <alignment horizontal="left"/>
    </xf>
    <xf numFmtId="167"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31" fillId="0" borderId="35" xfId="0" applyFont="1" applyBorder="1" applyAlignment="1">
      <alignment horizontal="center" vertical="center"/>
    </xf>
    <xf numFmtId="0" fontId="28" fillId="0" borderId="35" xfId="0" applyFont="1" applyBorder="1" applyAlignment="1">
      <alignment vertical="center" wrapText="1"/>
    </xf>
    <xf numFmtId="0" fontId="28" fillId="0" borderId="32" xfId="0" applyFont="1" applyBorder="1" applyAlignment="1">
      <alignment wrapText="1"/>
    </xf>
    <xf numFmtId="0" fontId="32" fillId="9" borderId="31" xfId="0" applyFont="1" applyFill="1" applyBorder="1" applyAlignment="1">
      <alignment horizontal="center" vertical="center"/>
    </xf>
    <xf numFmtId="0" fontId="32" fillId="9" borderId="34" xfId="0" applyFont="1" applyFill="1" applyBorder="1" applyAlignment="1">
      <alignment horizontal="center" vertical="center"/>
    </xf>
    <xf numFmtId="164"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18" fillId="5" borderId="0" xfId="0" applyFont="1" applyFill="1" applyAlignment="1">
      <alignment vertical="center"/>
    </xf>
    <xf numFmtId="0" fontId="20" fillId="0" borderId="0" xfId="0" applyFont="1" applyAlignment="1">
      <alignment wrapText="1"/>
    </xf>
    <xf numFmtId="0" fontId="21" fillId="6" borderId="0" xfId="0" applyFont="1" applyFill="1"/>
    <xf numFmtId="0" fontId="22" fillId="7" borderId="0" xfId="0" applyFont="1" applyFill="1" applyAlignment="1">
      <alignment wrapText="1"/>
    </xf>
    <xf numFmtId="0" fontId="24" fillId="10" borderId="0" xfId="0" applyFont="1" applyFill="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19" fillId="0" borderId="0" xfId="0" applyFont="1" applyAlignment="1">
      <alignment horizontal="center"/>
    </xf>
    <xf numFmtId="0" fontId="25" fillId="11" borderId="0" xfId="0" applyFont="1" applyFill="1" applyAlignment="1">
      <alignment horizontal="center" vertical="center"/>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4</xdr:row>
      <xdr:rowOff>92286</xdr:rowOff>
    </xdr:from>
    <xdr:to>
      <xdr:col>3</xdr:col>
      <xdr:colOff>990600</xdr:colOff>
      <xdr:row>12</xdr:row>
      <xdr:rowOff>136312</xdr:rowOff>
    </xdr:to>
    <xdr:pic>
      <xdr:nvPicPr>
        <xdr:cNvPr id="4" name="Training Check 1" descr="TRAINING SAMPLE - NOT A NEGOTIABLE CHECK. Transactions row 22: Gloria Mendes, Valley National, $325.00, 03/24/2026." title="Training check sample 1">
          <a:extLst>
            <a:ext uri="{FF2B5EF4-FFF2-40B4-BE49-F238E27FC236}">
              <a16:creationId xmlns:a16="http://schemas.microsoft.com/office/drawing/2014/main" id="{3F131215-7CA7-4DDA-ACED-4B3344EDAE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400" y="1343236"/>
          <a:ext cx="4013200" cy="1872826"/>
        </a:xfrm>
        <a:prstGeom prst="rect">
          <a:avLst/>
        </a:prstGeom>
      </xdr:spPr>
    </xdr:pic>
    <xdr:clientData/>
  </xdr:twoCellAnchor>
  <xdr:twoCellAnchor editAs="oneCell">
    <xdr:from>
      <xdr:col>5</xdr:col>
      <xdr:colOff>25400</xdr:colOff>
      <xdr:row>4</xdr:row>
      <xdr:rowOff>92286</xdr:rowOff>
    </xdr:from>
    <xdr:to>
      <xdr:col>8</xdr:col>
      <xdr:colOff>990600</xdr:colOff>
      <xdr:row>12</xdr:row>
      <xdr:rowOff>136312</xdr:rowOff>
    </xdr:to>
    <xdr:pic>
      <xdr:nvPicPr>
        <xdr:cNvPr id="5" name="Training Check 2" descr="TRAINING SAMPLE - NOT A NEGOTIABLE CHECK. Transactions row 52: Hector Ramirez, Santander, $450.00, 05/04/2026." title="Training check sample 2">
          <a:extLst>
            <a:ext uri="{FF2B5EF4-FFF2-40B4-BE49-F238E27FC236}">
              <a16:creationId xmlns:a16="http://schemas.microsoft.com/office/drawing/2014/main" id="{32AC72AE-60FF-4A3D-5F86-4725895B4F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18000" y="1343236"/>
          <a:ext cx="4013200" cy="1872826"/>
        </a:xfrm>
        <a:prstGeom prst="rect">
          <a:avLst/>
        </a:prstGeom>
      </xdr:spPr>
    </xdr:pic>
    <xdr:clientData/>
  </xdr:twoCellAnchor>
  <xdr:twoCellAnchor editAs="oneCell">
    <xdr:from>
      <xdr:col>0</xdr:col>
      <xdr:colOff>25400</xdr:colOff>
      <xdr:row>15</xdr:row>
      <xdr:rowOff>92286</xdr:rowOff>
    </xdr:from>
    <xdr:to>
      <xdr:col>3</xdr:col>
      <xdr:colOff>990600</xdr:colOff>
      <xdr:row>23</xdr:row>
      <xdr:rowOff>136312</xdr:rowOff>
    </xdr:to>
    <xdr:pic>
      <xdr:nvPicPr>
        <xdr:cNvPr id="6" name="Training Check 3" descr="TRAINING SAMPLE - NOT A NEGOTIABLE CHECK. Transactions row 109: Anita Varghese, Citizens Bank, $500.00, 06/19/2026." title="Training check sample 3">
          <a:extLst>
            <a:ext uri="{FF2B5EF4-FFF2-40B4-BE49-F238E27FC236}">
              <a16:creationId xmlns:a16="http://schemas.microsoft.com/office/drawing/2014/main" id="{8331043F-A97E-0916-7D9C-2FFB9F47A2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400" y="4099136"/>
          <a:ext cx="4013200" cy="1872826"/>
        </a:xfrm>
        <a:prstGeom prst="rect">
          <a:avLst/>
        </a:prstGeom>
      </xdr:spPr>
    </xdr:pic>
    <xdr:clientData/>
  </xdr:twoCellAnchor>
  <xdr:twoCellAnchor editAs="oneCell">
    <xdr:from>
      <xdr:col>5</xdr:col>
      <xdr:colOff>25400</xdr:colOff>
      <xdr:row>15</xdr:row>
      <xdr:rowOff>92286</xdr:rowOff>
    </xdr:from>
    <xdr:to>
      <xdr:col>8</xdr:col>
      <xdr:colOff>990600</xdr:colOff>
      <xdr:row>23</xdr:row>
      <xdr:rowOff>136312</xdr:rowOff>
    </xdr:to>
    <xdr:pic>
      <xdr:nvPicPr>
        <xdr:cNvPr id="7" name="Training Check 4" descr="TRAINING SAMPLE - NOT A NEGOTIABLE CHECK. Transactions row 148: Peter Osei, M&amp;T Bank, $725.00, 07/26/2026." title="Training check sample 4">
          <a:extLst>
            <a:ext uri="{FF2B5EF4-FFF2-40B4-BE49-F238E27FC236}">
              <a16:creationId xmlns:a16="http://schemas.microsoft.com/office/drawing/2014/main" id="{BAA35C4B-4DE9-1EF5-6F4E-89FCC5F077F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18000" y="4099136"/>
          <a:ext cx="4013200" cy="18728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m.johnson.chi@e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2.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topLeftCell="A53" workbookViewId="0">
      <selection activeCell="D54" sqref="D54"/>
    </sheetView>
  </sheetViews>
  <sheetFormatPr defaultRowHeight="14.4" x14ac:dyDescent="0.3"/>
  <cols>
    <col min="1" max="1" width="8.6640625" customWidth="1"/>
    <col min="2" max="2" width="28.21875" customWidth="1"/>
    <col min="3" max="3" width="31.77734375" customWidth="1"/>
    <col min="4" max="4" width="63" customWidth="1"/>
  </cols>
  <sheetData>
    <row r="1" spans="1:4" ht="14.55" customHeight="1" x14ac:dyDescent="0.3">
      <c r="A1" s="95" t="s">
        <v>233</v>
      </c>
      <c r="B1" s="95"/>
      <c r="C1" s="95"/>
      <c r="D1" s="95"/>
    </row>
    <row r="2" spans="1:4" ht="43.5" customHeight="1" x14ac:dyDescent="0.3">
      <c r="A2" s="96" t="s">
        <v>234</v>
      </c>
      <c r="B2" s="96"/>
      <c r="C2" s="96"/>
      <c r="D2" s="96"/>
    </row>
    <row r="4" spans="1:4" ht="14.55" customHeight="1" x14ac:dyDescent="0.3">
      <c r="A4" s="97" t="s">
        <v>235</v>
      </c>
      <c r="B4" s="97"/>
      <c r="C4" s="97"/>
      <c r="D4" s="97"/>
    </row>
    <row r="5" spans="1:4" ht="58.05" customHeight="1" x14ac:dyDescent="0.3">
      <c r="A5" s="98" t="s">
        <v>236</v>
      </c>
      <c r="B5" s="98"/>
      <c r="C5" s="98"/>
      <c r="D5" s="98"/>
    </row>
    <row r="7" spans="1:4" ht="14.55" customHeight="1" x14ac:dyDescent="0.3">
      <c r="A7" s="97" t="s">
        <v>237</v>
      </c>
      <c r="B7" s="97"/>
      <c r="C7" s="97"/>
      <c r="D7" s="97"/>
    </row>
    <row r="8" spans="1:4" ht="28.05" customHeight="1" x14ac:dyDescent="0.3">
      <c r="A8" s="63" t="s">
        <v>187</v>
      </c>
      <c r="B8" s="64" t="s">
        <v>188</v>
      </c>
      <c r="C8" s="64" t="s">
        <v>238</v>
      </c>
      <c r="D8" s="65" t="s">
        <v>239</v>
      </c>
    </row>
    <row r="9" spans="1:4" ht="72" x14ac:dyDescent="0.3">
      <c r="A9" s="66">
        <v>1</v>
      </c>
      <c r="B9" s="92" t="s">
        <v>191</v>
      </c>
      <c r="C9" s="68" t="s">
        <v>240</v>
      </c>
      <c r="D9" s="69" t="s">
        <v>241</v>
      </c>
    </row>
    <row r="10" spans="1:4" ht="43.2" x14ac:dyDescent="0.3">
      <c r="A10" s="70">
        <v>2</v>
      </c>
      <c r="B10" s="93" t="s">
        <v>14</v>
      </c>
      <c r="C10" s="72" t="s">
        <v>242</v>
      </c>
      <c r="D10" s="73" t="s">
        <v>243</v>
      </c>
    </row>
    <row r="11" spans="1:4" ht="57.6" x14ac:dyDescent="0.3">
      <c r="A11" s="66">
        <v>3</v>
      </c>
      <c r="B11" s="92" t="s">
        <v>196</v>
      </c>
      <c r="C11" s="68" t="s">
        <v>244</v>
      </c>
      <c r="D11" s="69" t="s">
        <v>245</v>
      </c>
    </row>
    <row r="12" spans="1:4" ht="86.4" x14ac:dyDescent="0.3">
      <c r="A12" s="70">
        <v>4</v>
      </c>
      <c r="B12" s="93" t="s">
        <v>198</v>
      </c>
      <c r="C12" s="72" t="s">
        <v>246</v>
      </c>
      <c r="D12" s="73" t="s">
        <v>247</v>
      </c>
    </row>
    <row r="13" spans="1:4" ht="57.6" x14ac:dyDescent="0.3">
      <c r="A13" s="66">
        <v>5</v>
      </c>
      <c r="B13" s="92" t="s">
        <v>37</v>
      </c>
      <c r="C13" s="68" t="s">
        <v>248</v>
      </c>
      <c r="D13" s="69" t="s">
        <v>249</v>
      </c>
    </row>
    <row r="14" spans="1:4" ht="43.2" x14ac:dyDescent="0.3">
      <c r="A14" s="70">
        <v>6</v>
      </c>
      <c r="B14" s="93" t="s">
        <v>203</v>
      </c>
      <c r="C14" s="72" t="s">
        <v>250</v>
      </c>
      <c r="D14" s="73" t="s">
        <v>251</v>
      </c>
    </row>
    <row r="15" spans="1:4" ht="57.6" x14ac:dyDescent="0.3">
      <c r="A15" s="74">
        <v>7</v>
      </c>
      <c r="B15" s="94" t="s">
        <v>206</v>
      </c>
      <c r="C15" s="76" t="s">
        <v>252</v>
      </c>
      <c r="D15" s="77" t="s">
        <v>253</v>
      </c>
    </row>
    <row r="17" spans="1:4" ht="14.55" customHeight="1" x14ac:dyDescent="0.3">
      <c r="A17" s="97" t="s">
        <v>254</v>
      </c>
      <c r="B17" s="97"/>
      <c r="C17" s="97"/>
      <c r="D17" s="97"/>
    </row>
    <row r="18" spans="1:4" ht="28.95" customHeight="1" x14ac:dyDescent="0.3">
      <c r="A18" s="98" t="s">
        <v>255</v>
      </c>
      <c r="B18" s="98"/>
      <c r="C18" s="98"/>
      <c r="D18" s="98"/>
    </row>
    <row r="19" spans="1:4" ht="28.05" customHeight="1" x14ac:dyDescent="0.3">
      <c r="A19" s="63" t="s">
        <v>256</v>
      </c>
      <c r="B19" s="64" t="s">
        <v>257</v>
      </c>
      <c r="C19" s="64" t="s">
        <v>258</v>
      </c>
      <c r="D19" s="65" t="s">
        <v>259</v>
      </c>
    </row>
    <row r="20" spans="1:4" ht="43.2" x14ac:dyDescent="0.3">
      <c r="A20" s="66">
        <v>1</v>
      </c>
      <c r="B20" s="92" t="s">
        <v>260</v>
      </c>
      <c r="C20" s="68" t="s">
        <v>261</v>
      </c>
      <c r="D20" s="69" t="s">
        <v>262</v>
      </c>
    </row>
    <row r="21" spans="1:4" ht="72" x14ac:dyDescent="0.3">
      <c r="A21" s="70">
        <v>2</v>
      </c>
      <c r="B21" s="93" t="s">
        <v>263</v>
      </c>
      <c r="C21" s="72" t="s">
        <v>264</v>
      </c>
      <c r="D21" s="73" t="s">
        <v>265</v>
      </c>
    </row>
    <row r="22" spans="1:4" ht="57.6" x14ac:dyDescent="0.3">
      <c r="A22" s="66">
        <v>3</v>
      </c>
      <c r="B22" s="92" t="s">
        <v>266</v>
      </c>
      <c r="C22" s="68" t="s">
        <v>267</v>
      </c>
      <c r="D22" s="69" t="s">
        <v>268</v>
      </c>
    </row>
    <row r="23" spans="1:4" ht="57.6" x14ac:dyDescent="0.3">
      <c r="A23" s="70">
        <v>4</v>
      </c>
      <c r="B23" s="93" t="s">
        <v>269</v>
      </c>
      <c r="C23" s="72" t="s">
        <v>270</v>
      </c>
      <c r="D23" s="73" t="s">
        <v>271</v>
      </c>
    </row>
    <row r="24" spans="1:4" ht="43.2" x14ac:dyDescent="0.3">
      <c r="A24" s="66">
        <v>5</v>
      </c>
      <c r="B24" s="92" t="s">
        <v>272</v>
      </c>
      <c r="C24" s="68" t="s">
        <v>273</v>
      </c>
      <c r="D24" s="69" t="s">
        <v>274</v>
      </c>
    </row>
    <row r="25" spans="1:4" ht="57.6" x14ac:dyDescent="0.3">
      <c r="A25" s="70">
        <v>6</v>
      </c>
      <c r="B25" s="93" t="s">
        <v>275</v>
      </c>
      <c r="C25" s="72" t="s">
        <v>276</v>
      </c>
      <c r="D25" s="73" t="s">
        <v>277</v>
      </c>
    </row>
    <row r="26" spans="1:4" ht="72" x14ac:dyDescent="0.3">
      <c r="A26" s="66">
        <v>7</v>
      </c>
      <c r="B26" s="92" t="s">
        <v>278</v>
      </c>
      <c r="C26" s="68" t="s">
        <v>279</v>
      </c>
      <c r="D26" s="69" t="s">
        <v>280</v>
      </c>
    </row>
    <row r="27" spans="1:4" ht="43.2" x14ac:dyDescent="0.3">
      <c r="A27" s="70">
        <v>8</v>
      </c>
      <c r="B27" s="93" t="s">
        <v>281</v>
      </c>
      <c r="C27" s="72" t="s">
        <v>282</v>
      </c>
      <c r="D27" s="73" t="s">
        <v>283</v>
      </c>
    </row>
    <row r="28" spans="1:4" ht="72" x14ac:dyDescent="0.3">
      <c r="A28" s="74">
        <v>9</v>
      </c>
      <c r="B28" s="94" t="s">
        <v>284</v>
      </c>
      <c r="C28" s="76" t="s">
        <v>285</v>
      </c>
      <c r="D28" s="77" t="s">
        <v>286</v>
      </c>
    </row>
    <row r="30" spans="1:4" ht="14.55" customHeight="1" x14ac:dyDescent="0.3">
      <c r="A30" s="97" t="s">
        <v>287</v>
      </c>
      <c r="B30" s="97"/>
      <c r="C30" s="97"/>
      <c r="D30" s="97"/>
    </row>
    <row r="31" spans="1:4" ht="43.5" customHeight="1" x14ac:dyDescent="0.3">
      <c r="A31" s="98" t="s">
        <v>288</v>
      </c>
      <c r="B31" s="98"/>
      <c r="C31" s="98"/>
      <c r="D31" s="98"/>
    </row>
    <row r="32" spans="1:4" ht="28.05" customHeight="1" x14ac:dyDescent="0.3">
      <c r="A32" s="63" t="s">
        <v>289</v>
      </c>
      <c r="B32" s="64" t="s">
        <v>290</v>
      </c>
      <c r="C32" s="64" t="s">
        <v>291</v>
      </c>
      <c r="D32" s="65" t="s">
        <v>292</v>
      </c>
    </row>
    <row r="33" spans="1:4" ht="28.8" x14ac:dyDescent="0.3">
      <c r="A33" s="66">
        <v>1</v>
      </c>
      <c r="B33" s="92" t="s">
        <v>293</v>
      </c>
      <c r="C33" s="68" t="s">
        <v>294</v>
      </c>
      <c r="D33" s="69" t="s">
        <v>295</v>
      </c>
    </row>
    <row r="34" spans="1:4" ht="28.8" x14ac:dyDescent="0.3">
      <c r="A34" s="70">
        <v>2</v>
      </c>
      <c r="B34" s="93" t="s">
        <v>296</v>
      </c>
      <c r="C34" s="72" t="s">
        <v>297</v>
      </c>
      <c r="D34" s="73" t="s">
        <v>298</v>
      </c>
    </row>
    <row r="35" spans="1:4" ht="57.6" x14ac:dyDescent="0.3">
      <c r="A35" s="66">
        <v>3</v>
      </c>
      <c r="B35" s="92" t="s">
        <v>299</v>
      </c>
      <c r="C35" s="68" t="s">
        <v>300</v>
      </c>
      <c r="D35" s="69" t="s">
        <v>301</v>
      </c>
    </row>
    <row r="36" spans="1:4" ht="43.2" x14ac:dyDescent="0.3">
      <c r="A36" s="70">
        <v>4</v>
      </c>
      <c r="B36" s="93" t="s">
        <v>302</v>
      </c>
      <c r="C36" s="72" t="s">
        <v>303</v>
      </c>
      <c r="D36" s="73" t="s">
        <v>304</v>
      </c>
    </row>
    <row r="37" spans="1:4" ht="57.6" x14ac:dyDescent="0.3">
      <c r="A37" s="66">
        <v>5</v>
      </c>
      <c r="B37" s="92" t="s">
        <v>305</v>
      </c>
      <c r="C37" s="68" t="s">
        <v>306</v>
      </c>
      <c r="D37" s="69" t="s">
        <v>307</v>
      </c>
    </row>
    <row r="38" spans="1:4" ht="43.2" x14ac:dyDescent="0.3">
      <c r="A38" s="70">
        <v>6</v>
      </c>
      <c r="B38" s="93" t="s">
        <v>308</v>
      </c>
      <c r="C38" s="72" t="s">
        <v>309</v>
      </c>
      <c r="D38" s="73" t="s">
        <v>310</v>
      </c>
    </row>
    <row r="39" spans="1:4" ht="43.2" x14ac:dyDescent="0.3">
      <c r="A39" s="66">
        <v>7</v>
      </c>
      <c r="B39" s="92" t="s">
        <v>311</v>
      </c>
      <c r="C39" s="68" t="s">
        <v>312</v>
      </c>
      <c r="D39" s="69" t="s">
        <v>313</v>
      </c>
    </row>
    <row r="40" spans="1:4" ht="28.8" x14ac:dyDescent="0.3">
      <c r="A40" s="74">
        <v>8</v>
      </c>
      <c r="B40" s="94" t="s">
        <v>314</v>
      </c>
      <c r="C40" s="76" t="s">
        <v>315</v>
      </c>
      <c r="D40" s="77" t="s">
        <v>316</v>
      </c>
    </row>
    <row r="41" spans="1:4" ht="43.5" customHeight="1" x14ac:dyDescent="0.3">
      <c r="A41" s="99" t="s">
        <v>317</v>
      </c>
      <c r="B41" s="99"/>
      <c r="C41" s="99"/>
      <c r="D41" s="99"/>
    </row>
    <row r="43" spans="1:4" ht="14.55" customHeight="1" x14ac:dyDescent="0.3">
      <c r="A43" s="97" t="s">
        <v>318</v>
      </c>
      <c r="B43" s="97"/>
      <c r="C43" s="97"/>
      <c r="D43" s="97"/>
    </row>
    <row r="44" spans="1:4" ht="28.95" customHeight="1" x14ac:dyDescent="0.3">
      <c r="A44" s="98" t="s">
        <v>319</v>
      </c>
      <c r="B44" s="98"/>
      <c r="C44" s="98"/>
      <c r="D44" s="98"/>
    </row>
    <row r="45" spans="1:4" ht="28.05" customHeight="1" x14ac:dyDescent="0.3">
      <c r="A45" s="63" t="s">
        <v>256</v>
      </c>
      <c r="B45" s="64" t="s">
        <v>320</v>
      </c>
      <c r="C45" s="64" t="s">
        <v>321</v>
      </c>
      <c r="D45" s="65" t="s">
        <v>322</v>
      </c>
    </row>
    <row r="46" spans="1:4" ht="28.8" x14ac:dyDescent="0.3">
      <c r="A46" s="66">
        <v>1</v>
      </c>
      <c r="B46" s="92" t="s">
        <v>96</v>
      </c>
      <c r="C46" s="68" t="s">
        <v>323</v>
      </c>
      <c r="D46" s="69" t="s">
        <v>324</v>
      </c>
    </row>
    <row r="47" spans="1:4" ht="28.8" x14ac:dyDescent="0.3">
      <c r="A47" s="70">
        <v>2</v>
      </c>
      <c r="B47" s="93" t="s">
        <v>325</v>
      </c>
      <c r="C47" s="72" t="s">
        <v>326</v>
      </c>
      <c r="D47" s="73" t="s">
        <v>327</v>
      </c>
    </row>
    <row r="48" spans="1:4" ht="28.8" x14ac:dyDescent="0.3">
      <c r="A48" s="66">
        <v>3</v>
      </c>
      <c r="B48" s="92" t="s">
        <v>98</v>
      </c>
      <c r="C48" s="68" t="s">
        <v>328</v>
      </c>
      <c r="D48" s="69" t="s">
        <v>329</v>
      </c>
    </row>
    <row r="49" spans="1:4" ht="28.8" x14ac:dyDescent="0.3">
      <c r="A49" s="70">
        <v>4</v>
      </c>
      <c r="B49" s="93" t="s">
        <v>330</v>
      </c>
      <c r="C49" s="72" t="s">
        <v>331</v>
      </c>
      <c r="D49" s="73" t="s">
        <v>332</v>
      </c>
    </row>
    <row r="50" spans="1:4" ht="57.6" x14ac:dyDescent="0.3">
      <c r="A50" s="66">
        <v>5</v>
      </c>
      <c r="B50" s="92" t="s">
        <v>333</v>
      </c>
      <c r="C50" s="68" t="s">
        <v>334</v>
      </c>
      <c r="D50" s="69" t="s">
        <v>335</v>
      </c>
    </row>
    <row r="51" spans="1:4" ht="28.8" x14ac:dyDescent="0.3">
      <c r="A51" s="70">
        <v>6</v>
      </c>
      <c r="B51" s="93" t="s">
        <v>336</v>
      </c>
      <c r="C51" s="72" t="s">
        <v>337</v>
      </c>
      <c r="D51" s="73" t="s">
        <v>338</v>
      </c>
    </row>
    <row r="52" spans="1:4" ht="28.8" x14ac:dyDescent="0.3">
      <c r="A52" s="66">
        <v>7</v>
      </c>
      <c r="B52" s="92" t="s">
        <v>339</v>
      </c>
      <c r="C52" s="68" t="s">
        <v>340</v>
      </c>
      <c r="D52" s="69" t="s">
        <v>341</v>
      </c>
    </row>
    <row r="53" spans="1:4" ht="57.6" x14ac:dyDescent="0.3">
      <c r="A53" s="70">
        <v>8</v>
      </c>
      <c r="B53" s="93" t="s">
        <v>342</v>
      </c>
      <c r="C53" s="72" t="s">
        <v>343</v>
      </c>
      <c r="D53" s="73" t="s">
        <v>344</v>
      </c>
    </row>
    <row r="54" spans="1:4" ht="57.6" x14ac:dyDescent="0.3">
      <c r="A54" s="66">
        <v>9</v>
      </c>
      <c r="B54" s="92" t="s">
        <v>345</v>
      </c>
      <c r="C54" s="68" t="s">
        <v>346</v>
      </c>
      <c r="D54" s="69" t="s">
        <v>347</v>
      </c>
    </row>
    <row r="55" spans="1:4" ht="28.8" x14ac:dyDescent="0.3">
      <c r="A55" s="70">
        <v>10</v>
      </c>
      <c r="B55" s="93" t="s">
        <v>348</v>
      </c>
      <c r="C55" s="72" t="s">
        <v>349</v>
      </c>
      <c r="D55" s="73" t="s">
        <v>350</v>
      </c>
    </row>
    <row r="56" spans="1:4" ht="43.2" x14ac:dyDescent="0.3">
      <c r="A56" s="74">
        <v>11</v>
      </c>
      <c r="B56" s="94" t="s">
        <v>351</v>
      </c>
      <c r="C56" s="76" t="s">
        <v>352</v>
      </c>
      <c r="D56" s="77" t="s">
        <v>353</v>
      </c>
    </row>
    <row r="58" spans="1:4" ht="14.55" customHeight="1" x14ac:dyDescent="0.3">
      <c r="A58" s="97" t="s">
        <v>354</v>
      </c>
      <c r="B58" s="97"/>
      <c r="C58" s="97"/>
      <c r="D58" s="97"/>
    </row>
    <row r="59" spans="1:4" ht="58.05" customHeight="1" x14ac:dyDescent="0.3">
      <c r="A59" s="99" t="s">
        <v>355</v>
      </c>
      <c r="B59" s="99"/>
      <c r="C59" s="99"/>
      <c r="D59" s="99"/>
    </row>
  </sheetData>
  <mergeCells count="14">
    <mergeCell ref="A43:D43"/>
    <mergeCell ref="A44:D44"/>
    <mergeCell ref="A58:D58"/>
    <mergeCell ref="A59:D59"/>
    <mergeCell ref="A17:D17"/>
    <mergeCell ref="A18:D18"/>
    <mergeCell ref="A30:D30"/>
    <mergeCell ref="A31:D31"/>
    <mergeCell ref="A41:D41"/>
    <mergeCell ref="A1:D1"/>
    <mergeCell ref="A2:D2"/>
    <mergeCell ref="A4:D4"/>
    <mergeCell ref="A5:D5"/>
    <mergeCell ref="A7: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tabSelected="1" topLeftCell="A23" workbookViewId="0">
      <selection activeCell="D36" sqref="D36"/>
    </sheetView>
  </sheetViews>
  <sheetFormatPr defaultRowHeight="14.4" x14ac:dyDescent="0.3"/>
  <cols>
    <col min="1" max="1" width="8.77734375" customWidth="1"/>
    <col min="2" max="2" width="28.21875" customWidth="1"/>
    <col min="3" max="3" width="31.77734375" customWidth="1"/>
    <col min="4" max="4" width="63" customWidth="1"/>
  </cols>
  <sheetData>
    <row r="1" spans="1:4" ht="31.95" customHeight="1" x14ac:dyDescent="0.3">
      <c r="A1" s="95" t="s">
        <v>185</v>
      </c>
      <c r="B1" s="95"/>
      <c r="C1" s="95"/>
      <c r="D1" s="95"/>
    </row>
    <row r="2" spans="1:4" ht="28.05" customHeight="1" x14ac:dyDescent="0.3">
      <c r="A2" s="96" t="s">
        <v>223</v>
      </c>
      <c r="B2" s="96"/>
      <c r="C2" s="96"/>
      <c r="D2" s="96"/>
    </row>
    <row r="4" spans="1:4" ht="15.6" x14ac:dyDescent="0.3">
      <c r="A4" s="97" t="s">
        <v>186</v>
      </c>
      <c r="B4" s="97"/>
      <c r="C4" s="97"/>
      <c r="D4" s="97"/>
    </row>
    <row r="5" spans="1:4" ht="36.450000000000003" customHeight="1" x14ac:dyDescent="0.3">
      <c r="A5" s="98" t="s">
        <v>218</v>
      </c>
      <c r="B5" s="98"/>
      <c r="C5" s="98"/>
      <c r="D5" s="98"/>
    </row>
    <row r="7" spans="1:4" ht="28.05" customHeight="1" x14ac:dyDescent="0.3">
      <c r="A7" s="63" t="s">
        <v>187</v>
      </c>
      <c r="B7" s="64" t="s">
        <v>188</v>
      </c>
      <c r="C7" s="64" t="s">
        <v>189</v>
      </c>
      <c r="D7" s="65" t="s">
        <v>190</v>
      </c>
    </row>
    <row r="8" spans="1:4" ht="43.2" x14ac:dyDescent="0.3">
      <c r="A8" s="66">
        <v>1</v>
      </c>
      <c r="B8" s="67" t="s">
        <v>191</v>
      </c>
      <c r="C8" s="68" t="s">
        <v>192</v>
      </c>
      <c r="D8" s="69" t="s">
        <v>193</v>
      </c>
    </row>
    <row r="9" spans="1:4" ht="43.2" x14ac:dyDescent="0.3">
      <c r="A9" s="70">
        <v>2</v>
      </c>
      <c r="B9" s="71" t="s">
        <v>14</v>
      </c>
      <c r="C9" s="72" t="s">
        <v>194</v>
      </c>
      <c r="D9" s="73" t="s">
        <v>195</v>
      </c>
    </row>
    <row r="10" spans="1:4" ht="43.2" x14ac:dyDescent="0.3">
      <c r="A10" s="66">
        <v>3</v>
      </c>
      <c r="B10" s="67" t="s">
        <v>196</v>
      </c>
      <c r="C10" s="68" t="s">
        <v>197</v>
      </c>
      <c r="D10" s="69" t="s">
        <v>231</v>
      </c>
    </row>
    <row r="11" spans="1:4" ht="43.2" x14ac:dyDescent="0.3">
      <c r="A11" s="70">
        <v>4</v>
      </c>
      <c r="B11" s="71" t="s">
        <v>198</v>
      </c>
      <c r="C11" s="72" t="s">
        <v>199</v>
      </c>
      <c r="D11" s="73" t="s">
        <v>200</v>
      </c>
    </row>
    <row r="12" spans="1:4" ht="43.2" x14ac:dyDescent="0.3">
      <c r="A12" s="66">
        <v>5</v>
      </c>
      <c r="B12" s="67" t="s">
        <v>37</v>
      </c>
      <c r="C12" s="68" t="s">
        <v>201</v>
      </c>
      <c r="D12" s="69" t="s">
        <v>202</v>
      </c>
    </row>
    <row r="13" spans="1:4" ht="43.2" x14ac:dyDescent="0.3">
      <c r="A13" s="70">
        <v>6</v>
      </c>
      <c r="B13" s="71" t="s">
        <v>203</v>
      </c>
      <c r="C13" s="72" t="s">
        <v>204</v>
      </c>
      <c r="D13" s="73" t="s">
        <v>205</v>
      </c>
    </row>
    <row r="14" spans="1:4" ht="43.2" x14ac:dyDescent="0.3">
      <c r="A14" s="66">
        <v>7</v>
      </c>
      <c r="B14" s="67" t="s">
        <v>206</v>
      </c>
      <c r="C14" s="68" t="s">
        <v>207</v>
      </c>
      <c r="D14" s="69" t="s">
        <v>208</v>
      </c>
    </row>
    <row r="15" spans="1:4" ht="86.4" x14ac:dyDescent="0.3">
      <c r="A15" s="66">
        <v>9</v>
      </c>
      <c r="B15" s="67" t="s">
        <v>209</v>
      </c>
      <c r="C15" s="68" t="s">
        <v>210</v>
      </c>
      <c r="D15" s="69" t="s">
        <v>232</v>
      </c>
    </row>
    <row r="16" spans="1:4" ht="57.6" x14ac:dyDescent="0.3">
      <c r="A16" s="70">
        <v>10</v>
      </c>
      <c r="B16" s="71" t="s">
        <v>211</v>
      </c>
      <c r="C16" s="72" t="s">
        <v>212</v>
      </c>
      <c r="D16" s="73" t="s">
        <v>213</v>
      </c>
    </row>
    <row r="17" spans="1:4" ht="28.8" x14ac:dyDescent="0.3">
      <c r="A17" s="74">
        <v>11</v>
      </c>
      <c r="B17" s="75" t="s">
        <v>214</v>
      </c>
      <c r="C17" s="76" t="s">
        <v>215</v>
      </c>
      <c r="D17" s="77" t="s">
        <v>219</v>
      </c>
    </row>
    <row r="19" spans="1:4" ht="15.6" x14ac:dyDescent="0.3">
      <c r="A19" s="97" t="s">
        <v>216</v>
      </c>
      <c r="B19" s="97"/>
      <c r="C19" s="97"/>
      <c r="D19" s="97"/>
    </row>
    <row r="20" spans="1:4" x14ac:dyDescent="0.3">
      <c r="A20" s="99" t="s">
        <v>217</v>
      </c>
      <c r="B20" s="99"/>
      <c r="C20" s="99"/>
      <c r="D20" s="99"/>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defaultRowHeight="14.4" x14ac:dyDescent="0.3"/>
  <cols>
    <col min="1" max="1" width="28.77734375" customWidth="1"/>
    <col min="2" max="2" width="15.77734375" bestFit="1" customWidth="1"/>
    <col min="3" max="3" width="6.44140625" bestFit="1" customWidth="1"/>
    <col min="4" max="4" width="33.21875" bestFit="1" customWidth="1"/>
    <col min="5" max="5" width="25.21875" bestFit="1" customWidth="1"/>
  </cols>
  <sheetData>
    <row r="1" spans="1:5" ht="21" x14ac:dyDescent="0.4">
      <c r="B1" s="42" t="s">
        <v>356</v>
      </c>
    </row>
    <row r="2" spans="1:5" x14ac:dyDescent="0.3">
      <c r="A2" s="100" t="s">
        <v>0</v>
      </c>
      <c r="B2" s="101"/>
      <c r="C2" s="102"/>
      <c r="D2" s="103" t="s">
        <v>1</v>
      </c>
      <c r="E2" s="104"/>
    </row>
    <row r="3" spans="1:5" x14ac:dyDescent="0.3">
      <c r="A3" t="s">
        <v>2</v>
      </c>
      <c r="B3" t="s">
        <v>357</v>
      </c>
      <c r="D3" t="s">
        <v>3</v>
      </c>
      <c r="E3" s="1">
        <v>43628</v>
      </c>
    </row>
    <row r="4" spans="1:5" x14ac:dyDescent="0.3">
      <c r="B4" t="s">
        <v>358</v>
      </c>
      <c r="D4" t="s">
        <v>4</v>
      </c>
      <c r="E4" t="s">
        <v>359</v>
      </c>
    </row>
    <row r="5" spans="1:5" x14ac:dyDescent="0.3">
      <c r="B5" t="s">
        <v>5</v>
      </c>
    </row>
    <row r="6" spans="1:5" x14ac:dyDescent="0.3">
      <c r="D6" s="103" t="s">
        <v>6</v>
      </c>
      <c r="E6" s="104"/>
    </row>
    <row r="7" spans="1:5" x14ac:dyDescent="0.3">
      <c r="D7" t="s">
        <v>7</v>
      </c>
      <c r="E7" t="s">
        <v>360</v>
      </c>
    </row>
    <row r="8" spans="1:5" x14ac:dyDescent="0.3">
      <c r="A8" t="s">
        <v>8</v>
      </c>
      <c r="B8" t="s">
        <v>361</v>
      </c>
      <c r="D8" t="s">
        <v>9</v>
      </c>
      <c r="E8" s="57" t="s">
        <v>362</v>
      </c>
    </row>
    <row r="9" spans="1:5" x14ac:dyDescent="0.3">
      <c r="A9" t="s">
        <v>10</v>
      </c>
      <c r="B9" s="61">
        <v>30763</v>
      </c>
    </row>
    <row r="10" spans="1:5" x14ac:dyDescent="0.3">
      <c r="A10" t="s">
        <v>11</v>
      </c>
      <c r="B10" t="s">
        <v>363</v>
      </c>
    </row>
    <row r="11" spans="1:5" x14ac:dyDescent="0.3">
      <c r="A11" t="s">
        <v>12</v>
      </c>
      <c r="B11" t="s">
        <v>13</v>
      </c>
    </row>
    <row r="16" spans="1:5" x14ac:dyDescent="0.3">
      <c r="A16" s="43" t="s">
        <v>14</v>
      </c>
      <c r="B16" s="44" t="s">
        <v>15</v>
      </c>
      <c r="C16" s="44" t="s">
        <v>16</v>
      </c>
      <c r="D16" s="44" t="s">
        <v>17</v>
      </c>
      <c r="E16" s="45" t="s">
        <v>18</v>
      </c>
    </row>
    <row r="17" spans="1:5" x14ac:dyDescent="0.3">
      <c r="A17" s="40">
        <v>2015550187001</v>
      </c>
      <c r="B17" t="s">
        <v>19</v>
      </c>
      <c r="C17" t="s">
        <v>20</v>
      </c>
      <c r="D17" s="1">
        <v>43628</v>
      </c>
    </row>
    <row r="18" spans="1:5" x14ac:dyDescent="0.3">
      <c r="A18" s="40">
        <v>2015550187002</v>
      </c>
      <c r="B18" t="s">
        <v>21</v>
      </c>
      <c r="C18" t="s">
        <v>20</v>
      </c>
      <c r="D18" s="1">
        <v>43628</v>
      </c>
    </row>
    <row r="20" spans="1:5" x14ac:dyDescent="0.3">
      <c r="A20" s="100" t="s">
        <v>22</v>
      </c>
      <c r="B20" s="101"/>
      <c r="C20" s="101"/>
      <c r="D20" s="101"/>
      <c r="E20" s="104"/>
    </row>
    <row r="21" spans="1:5" x14ac:dyDescent="0.3">
      <c r="A21" t="s">
        <v>23</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defaultRowHeight="14.4" x14ac:dyDescent="0.3"/>
  <cols>
    <col min="1" max="1" width="8.21875" bestFit="1" customWidth="1"/>
    <col min="2" max="2" width="12.77734375" bestFit="1" customWidth="1"/>
    <col min="3" max="3" width="16.77734375" bestFit="1" customWidth="1"/>
    <col min="4" max="4" width="15.77734375" bestFit="1" customWidth="1"/>
    <col min="5" max="5" width="26.5546875" bestFit="1" customWidth="1"/>
    <col min="6" max="6" width="6.44140625" bestFit="1" customWidth="1"/>
    <col min="7" max="7" width="10.44140625" bestFit="1" customWidth="1"/>
    <col min="8" max="8" width="11.5546875" bestFit="1" customWidth="1"/>
  </cols>
  <sheetData>
    <row r="1" spans="1:8" ht="21.6" thickBot="1" x14ac:dyDescent="0.45">
      <c r="C1" s="42" t="s">
        <v>356</v>
      </c>
    </row>
    <row r="2" spans="1:8" x14ac:dyDescent="0.3">
      <c r="A2" s="46" t="s">
        <v>24</v>
      </c>
      <c r="B2" s="47" t="s">
        <v>25</v>
      </c>
      <c r="C2" s="48" t="s">
        <v>26</v>
      </c>
      <c r="D2" s="46" t="s">
        <v>27</v>
      </c>
      <c r="E2" s="46" t="s">
        <v>28</v>
      </c>
      <c r="F2" s="46" t="s">
        <v>16</v>
      </c>
      <c r="G2" s="49" t="s">
        <v>17</v>
      </c>
      <c r="H2" s="49" t="s">
        <v>29</v>
      </c>
    </row>
    <row r="3" spans="1:8" x14ac:dyDescent="0.3">
      <c r="A3" t="s">
        <v>19</v>
      </c>
      <c r="B3" t="s">
        <v>30</v>
      </c>
      <c r="C3" s="40">
        <v>2015550187001</v>
      </c>
      <c r="D3" t="s">
        <v>356</v>
      </c>
      <c r="E3">
        <v>8</v>
      </c>
      <c r="F3" t="s">
        <v>20</v>
      </c>
      <c r="G3" s="1">
        <v>43628</v>
      </c>
    </row>
    <row r="4" spans="1:8" x14ac:dyDescent="0.3">
      <c r="A4" t="s">
        <v>21</v>
      </c>
      <c r="B4" t="s">
        <v>30</v>
      </c>
      <c r="C4" s="40">
        <v>2015550187002</v>
      </c>
      <c r="D4" t="s">
        <v>356</v>
      </c>
      <c r="E4">
        <v>0</v>
      </c>
      <c r="F4" t="s">
        <v>20</v>
      </c>
      <c r="G4" s="1">
        <v>43628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13"/>
  <sheetViews>
    <sheetView showGridLines="0" workbookViewId="0">
      <selection activeCell="C16" sqref="C16"/>
    </sheetView>
  </sheetViews>
  <sheetFormatPr defaultRowHeight="14.4" x14ac:dyDescent="0.3"/>
  <cols>
    <col min="1" max="1" width="15.21875" bestFit="1" customWidth="1"/>
    <col min="2" max="2" width="11.21875" bestFit="1" customWidth="1"/>
    <col min="3" max="3" width="16.77734375" style="40" bestFit="1" customWidth="1"/>
    <col min="4" max="4" width="17.44140625" style="41" customWidth="1"/>
    <col min="5" max="5" width="14.21875" customWidth="1"/>
    <col min="6" max="6" width="23" customWidth="1"/>
  </cols>
  <sheetData>
    <row r="1" spans="1:6" x14ac:dyDescent="0.3">
      <c r="A1" s="50" t="s">
        <v>31</v>
      </c>
      <c r="B1" s="1">
        <v>46266</v>
      </c>
      <c r="C1" s="1"/>
    </row>
    <row r="3" spans="1:6" x14ac:dyDescent="0.3">
      <c r="A3" s="51" t="s">
        <v>32</v>
      </c>
      <c r="B3" s="52" t="s">
        <v>33</v>
      </c>
      <c r="C3" s="53" t="s">
        <v>24</v>
      </c>
      <c r="D3" s="54" t="s">
        <v>34</v>
      </c>
      <c r="E3" s="55"/>
      <c r="F3" s="55" t="s">
        <v>15</v>
      </c>
    </row>
    <row r="4" spans="1:6" x14ac:dyDescent="0.3">
      <c r="A4" t="s">
        <v>35</v>
      </c>
      <c r="B4" s="1">
        <v>46097</v>
      </c>
      <c r="C4" s="40">
        <v>2015550187001</v>
      </c>
      <c r="D4" s="41">
        <v>-6500</v>
      </c>
      <c r="E4" t="s">
        <v>36</v>
      </c>
      <c r="F4" t="s">
        <v>37</v>
      </c>
    </row>
    <row r="5" spans="1:6" x14ac:dyDescent="0.3">
      <c r="A5" t="s">
        <v>35</v>
      </c>
      <c r="B5" s="1">
        <v>46141</v>
      </c>
      <c r="C5" s="40">
        <v>2015550187001</v>
      </c>
      <c r="D5" s="41">
        <v>-7500</v>
      </c>
      <c r="E5" t="s">
        <v>36</v>
      </c>
      <c r="F5" t="s">
        <v>37</v>
      </c>
    </row>
    <row r="6" spans="1:6" x14ac:dyDescent="0.3">
      <c r="A6" t="s">
        <v>35</v>
      </c>
      <c r="B6" s="1">
        <v>46160</v>
      </c>
      <c r="C6" s="40">
        <v>2015550187001</v>
      </c>
      <c r="D6" s="41">
        <v>-8000</v>
      </c>
      <c r="E6" t="s">
        <v>36</v>
      </c>
      <c r="F6" t="s">
        <v>37</v>
      </c>
    </row>
    <row r="7" spans="1:6" x14ac:dyDescent="0.3">
      <c r="A7" t="s">
        <v>35</v>
      </c>
      <c r="B7" s="1">
        <v>46174</v>
      </c>
      <c r="C7" s="40">
        <v>2015550187001</v>
      </c>
      <c r="D7" s="41">
        <v>-9000</v>
      </c>
      <c r="E7" t="s">
        <v>36</v>
      </c>
      <c r="F7" t="s">
        <v>37</v>
      </c>
    </row>
    <row r="8" spans="1:6" x14ac:dyDescent="0.3">
      <c r="A8" t="s">
        <v>35</v>
      </c>
      <c r="B8" s="1">
        <v>46202</v>
      </c>
      <c r="C8" s="40">
        <v>2015550187001</v>
      </c>
      <c r="D8" s="41">
        <v>-8500</v>
      </c>
      <c r="E8" t="s">
        <v>36</v>
      </c>
      <c r="F8" t="s">
        <v>37</v>
      </c>
    </row>
    <row r="9" spans="1:6" x14ac:dyDescent="0.3">
      <c r="A9" t="s">
        <v>35</v>
      </c>
      <c r="B9" s="1">
        <v>46218</v>
      </c>
      <c r="C9" s="40">
        <v>2015550187001</v>
      </c>
      <c r="D9" s="41">
        <v>-9500</v>
      </c>
      <c r="E9" t="s">
        <v>36</v>
      </c>
      <c r="F9" t="s">
        <v>37</v>
      </c>
    </row>
    <row r="10" spans="1:6" x14ac:dyDescent="0.3">
      <c r="A10" t="s">
        <v>35</v>
      </c>
      <c r="B10" s="1">
        <v>46231</v>
      </c>
      <c r="C10" s="40">
        <v>2015550187001</v>
      </c>
      <c r="D10" s="41">
        <v>-9000</v>
      </c>
      <c r="E10" t="s">
        <v>36</v>
      </c>
      <c r="F10" t="s">
        <v>37</v>
      </c>
    </row>
    <row r="11" spans="1:6" x14ac:dyDescent="0.3">
      <c r="A11" t="s">
        <v>35</v>
      </c>
      <c r="B11" s="1">
        <v>46249</v>
      </c>
      <c r="C11" s="40">
        <v>2015550187001</v>
      </c>
      <c r="D11" s="41">
        <v>-10000</v>
      </c>
      <c r="E11" t="s">
        <v>36</v>
      </c>
      <c r="F11" t="s">
        <v>37</v>
      </c>
    </row>
    <row r="13" spans="1:6" x14ac:dyDescent="0.3">
      <c r="D13" s="41">
        <f>SUM(D4:D11)</f>
        <v>-68000</v>
      </c>
      <c r="E13">
        <f>SUM(E4:E11)</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181"/>
  <sheetViews>
    <sheetView workbookViewId="0">
      <pane ySplit="1" topLeftCell="A2" activePane="bottomLeft" state="frozen"/>
      <selection pane="bottomLeft" activeCell="H39" sqref="H39"/>
    </sheetView>
  </sheetViews>
  <sheetFormatPr defaultRowHeight="14.4" x14ac:dyDescent="0.3"/>
  <cols>
    <col min="1" max="1" width="15.77734375" bestFit="1" customWidth="1"/>
    <col min="2" max="2" width="16.77734375" style="40" bestFit="1" customWidth="1"/>
    <col min="3" max="3" width="6.44140625" bestFit="1" customWidth="1"/>
    <col min="4" max="4" width="15" style="41" bestFit="1" customWidth="1"/>
    <col min="5" max="5" width="10.77734375" bestFit="1" customWidth="1"/>
    <col min="6" max="7" width="10.5546875" style="41" bestFit="1" customWidth="1"/>
    <col min="8" max="8" width="20.5546875" bestFit="1" customWidth="1"/>
    <col min="9" max="9" width="6.5546875" bestFit="1" customWidth="1"/>
    <col min="10" max="10" width="9.44140625" bestFit="1" customWidth="1"/>
    <col min="11" max="11" width="29.21875" bestFit="1" customWidth="1"/>
    <col min="12" max="12" width="22" customWidth="1"/>
    <col min="13" max="13" width="11.554687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5546875" bestFit="1" customWidth="1"/>
    <col min="21" max="21" width="11.77734375" bestFit="1" customWidth="1"/>
    <col min="22" max="22" width="18.5546875" bestFit="1" customWidth="1"/>
    <col min="23" max="23" width="15.44140625" bestFit="1" customWidth="1"/>
    <col min="24" max="24" width="25.21875" bestFit="1" customWidth="1"/>
    <col min="25" max="25" width="17.5546875" bestFit="1" customWidth="1"/>
    <col min="26" max="26" width="17.21875" bestFit="1" customWidth="1"/>
    <col min="27" max="27" width="20.21875" bestFit="1" customWidth="1"/>
    <col min="28" max="28" width="18.44140625" bestFit="1" customWidth="1"/>
  </cols>
  <sheetData>
    <row r="1" spans="1:28" x14ac:dyDescent="0.3">
      <c r="A1" t="s">
        <v>38</v>
      </c>
      <c r="B1" s="40" t="s">
        <v>24</v>
      </c>
      <c r="C1" t="s">
        <v>39</v>
      </c>
      <c r="D1" s="41" t="s">
        <v>40</v>
      </c>
      <c r="E1" t="s">
        <v>33</v>
      </c>
      <c r="F1" s="41" t="s">
        <v>41</v>
      </c>
      <c r="G1" s="41" t="s">
        <v>42</v>
      </c>
      <c r="H1" t="s">
        <v>15</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row>
    <row r="2" spans="1:28" x14ac:dyDescent="0.3">
      <c r="A2" t="s">
        <v>356</v>
      </c>
      <c r="B2" s="40">
        <v>2015550187001</v>
      </c>
      <c r="C2" t="s">
        <v>184</v>
      </c>
      <c r="D2" s="62">
        <v>2375</v>
      </c>
      <c r="E2" s="1">
        <v>46082</v>
      </c>
      <c r="F2" s="41">
        <v>225</v>
      </c>
      <c r="G2" s="60">
        <v>0</v>
      </c>
      <c r="H2" t="s">
        <v>364</v>
      </c>
      <c r="I2" t="s">
        <v>66</v>
      </c>
      <c r="J2" t="s">
        <v>365</v>
      </c>
      <c r="K2" t="s">
        <v>366</v>
      </c>
      <c r="U2" s="1">
        <v>46082</v>
      </c>
      <c r="V2" t="s">
        <v>367</v>
      </c>
      <c r="W2" t="s">
        <v>76</v>
      </c>
    </row>
    <row r="3" spans="1:28" x14ac:dyDescent="0.3">
      <c r="A3" t="s">
        <v>356</v>
      </c>
      <c r="B3" s="40">
        <v>2015550187001</v>
      </c>
      <c r="C3" t="s">
        <v>184</v>
      </c>
      <c r="D3" s="62">
        <f t="shared" ref="D3:D34" si="0">D2+F3-G3</f>
        <v>3525</v>
      </c>
      <c r="E3" s="1">
        <v>46086</v>
      </c>
      <c r="F3" s="41">
        <v>1150</v>
      </c>
      <c r="G3" s="60">
        <v>0</v>
      </c>
      <c r="H3" t="s">
        <v>65</v>
      </c>
      <c r="I3" t="s">
        <v>66</v>
      </c>
      <c r="J3" t="s">
        <v>365</v>
      </c>
      <c r="K3" t="s">
        <v>73</v>
      </c>
      <c r="N3" t="s">
        <v>368</v>
      </c>
      <c r="O3" t="s">
        <v>369</v>
      </c>
      <c r="Q3" t="s">
        <v>370</v>
      </c>
      <c r="R3" t="s">
        <v>74</v>
      </c>
      <c r="T3" s="56" t="s">
        <v>371</v>
      </c>
      <c r="U3" s="1">
        <v>46086</v>
      </c>
      <c r="V3" t="s">
        <v>68</v>
      </c>
      <c r="W3" t="s">
        <v>69</v>
      </c>
    </row>
    <row r="4" spans="1:28" x14ac:dyDescent="0.3">
      <c r="A4" t="s">
        <v>356</v>
      </c>
      <c r="B4" s="40">
        <v>2015550187001</v>
      </c>
      <c r="C4" t="s">
        <v>184</v>
      </c>
      <c r="D4" s="62">
        <f t="shared" si="0"/>
        <v>3775</v>
      </c>
      <c r="E4" s="1">
        <v>46086</v>
      </c>
      <c r="F4" s="41">
        <v>250</v>
      </c>
      <c r="G4" s="60">
        <v>0</v>
      </c>
      <c r="H4" t="s">
        <v>364</v>
      </c>
      <c r="I4" t="s">
        <v>66</v>
      </c>
      <c r="J4" t="s">
        <v>365</v>
      </c>
      <c r="K4" t="s">
        <v>366</v>
      </c>
      <c r="U4" s="1">
        <v>46086</v>
      </c>
      <c r="V4" t="s">
        <v>372</v>
      </c>
      <c r="W4" t="s">
        <v>81</v>
      </c>
    </row>
    <row r="5" spans="1:28" x14ac:dyDescent="0.3">
      <c r="A5" t="s">
        <v>356</v>
      </c>
      <c r="B5" s="40">
        <v>2015550187001</v>
      </c>
      <c r="C5" t="s">
        <v>184</v>
      </c>
      <c r="D5" s="62">
        <f t="shared" si="0"/>
        <v>5050</v>
      </c>
      <c r="E5" s="1">
        <v>46088</v>
      </c>
      <c r="F5" s="41">
        <v>1275</v>
      </c>
      <c r="G5" s="60">
        <v>0</v>
      </c>
      <c r="H5" t="s">
        <v>373</v>
      </c>
      <c r="I5" t="s">
        <v>66</v>
      </c>
      <c r="J5" t="s">
        <v>365</v>
      </c>
      <c r="K5" t="s">
        <v>374</v>
      </c>
      <c r="U5" s="1">
        <v>46088</v>
      </c>
      <c r="V5" t="s">
        <v>375</v>
      </c>
      <c r="W5" t="s">
        <v>376</v>
      </c>
      <c r="AB5" t="s">
        <v>377</v>
      </c>
    </row>
    <row r="6" spans="1:28" x14ac:dyDescent="0.3">
      <c r="A6" t="s">
        <v>356</v>
      </c>
      <c r="B6" s="40">
        <v>2015550187001</v>
      </c>
      <c r="C6" t="s">
        <v>184</v>
      </c>
      <c r="D6" s="62">
        <f t="shared" si="0"/>
        <v>5425</v>
      </c>
      <c r="E6" s="1">
        <v>46089</v>
      </c>
      <c r="F6" s="41">
        <v>375</v>
      </c>
      <c r="G6" s="60">
        <v>0</v>
      </c>
      <c r="H6" t="s">
        <v>364</v>
      </c>
      <c r="I6" t="s">
        <v>66</v>
      </c>
      <c r="J6" t="s">
        <v>365</v>
      </c>
      <c r="K6" t="s">
        <v>366</v>
      </c>
      <c r="U6" s="1">
        <v>46089</v>
      </c>
      <c r="V6" t="s">
        <v>378</v>
      </c>
      <c r="W6" t="s">
        <v>72</v>
      </c>
    </row>
    <row r="7" spans="1:28" x14ac:dyDescent="0.3">
      <c r="A7" t="s">
        <v>356</v>
      </c>
      <c r="B7" s="40">
        <v>2015550187001</v>
      </c>
      <c r="C7" t="s">
        <v>184</v>
      </c>
      <c r="D7" s="62">
        <f t="shared" si="0"/>
        <v>3225</v>
      </c>
      <c r="E7" s="1">
        <v>46089</v>
      </c>
      <c r="F7" s="41">
        <v>0</v>
      </c>
      <c r="G7" s="60">
        <v>2200</v>
      </c>
      <c r="H7" t="s">
        <v>373</v>
      </c>
      <c r="I7" t="s">
        <v>36</v>
      </c>
      <c r="J7" t="s">
        <v>379</v>
      </c>
      <c r="K7" t="s">
        <v>380</v>
      </c>
      <c r="U7" s="1">
        <v>46089</v>
      </c>
      <c r="V7" t="s">
        <v>356</v>
      </c>
      <c r="W7" t="s">
        <v>81</v>
      </c>
      <c r="X7">
        <v>2015550187001</v>
      </c>
      <c r="Y7" t="s">
        <v>381</v>
      </c>
      <c r="Z7" t="s">
        <v>382</v>
      </c>
      <c r="AB7" t="s">
        <v>380</v>
      </c>
    </row>
    <row r="8" spans="1:28" x14ac:dyDescent="0.3">
      <c r="A8" t="s">
        <v>356</v>
      </c>
      <c r="B8" s="40">
        <v>2015550187001</v>
      </c>
      <c r="C8" t="s">
        <v>184</v>
      </c>
      <c r="D8" s="62">
        <f t="shared" si="0"/>
        <v>5625</v>
      </c>
      <c r="E8" s="1">
        <v>46092</v>
      </c>
      <c r="F8" s="41">
        <v>2400</v>
      </c>
      <c r="G8" s="60">
        <v>0</v>
      </c>
      <c r="H8" t="s">
        <v>65</v>
      </c>
      <c r="I8" t="s">
        <v>66</v>
      </c>
      <c r="J8" t="s">
        <v>365</v>
      </c>
      <c r="K8" t="s">
        <v>67</v>
      </c>
      <c r="N8" t="s">
        <v>368</v>
      </c>
      <c r="O8" t="s">
        <v>369</v>
      </c>
      <c r="Q8" t="s">
        <v>383</v>
      </c>
      <c r="T8" s="56" t="s">
        <v>384</v>
      </c>
      <c r="U8" s="1">
        <v>46092</v>
      </c>
      <c r="V8" t="s">
        <v>68</v>
      </c>
      <c r="W8" t="s">
        <v>69</v>
      </c>
    </row>
    <row r="9" spans="1:28" x14ac:dyDescent="0.3">
      <c r="A9" t="s">
        <v>356</v>
      </c>
      <c r="B9" s="40">
        <v>2015550187001</v>
      </c>
      <c r="C9" t="s">
        <v>184</v>
      </c>
      <c r="D9" s="62">
        <f t="shared" si="0"/>
        <v>6025</v>
      </c>
      <c r="E9" s="1">
        <v>46092</v>
      </c>
      <c r="F9" s="41">
        <v>400</v>
      </c>
      <c r="G9" s="60">
        <v>0</v>
      </c>
      <c r="H9" t="s">
        <v>364</v>
      </c>
      <c r="I9" t="s">
        <v>66</v>
      </c>
      <c r="J9" t="s">
        <v>365</v>
      </c>
      <c r="K9" t="s">
        <v>366</v>
      </c>
      <c r="U9" s="1">
        <v>46092</v>
      </c>
      <c r="V9" t="s">
        <v>385</v>
      </c>
      <c r="W9" t="s">
        <v>77</v>
      </c>
    </row>
    <row r="10" spans="1:28" x14ac:dyDescent="0.3">
      <c r="A10" t="s">
        <v>356</v>
      </c>
      <c r="B10" s="40">
        <v>2015550187001</v>
      </c>
      <c r="C10" t="s">
        <v>184</v>
      </c>
      <c r="D10" s="62">
        <f t="shared" si="0"/>
        <v>7725</v>
      </c>
      <c r="E10" s="1">
        <v>46094</v>
      </c>
      <c r="F10" s="41">
        <v>1700</v>
      </c>
      <c r="G10" s="60">
        <v>0</v>
      </c>
      <c r="H10" t="s">
        <v>65</v>
      </c>
      <c r="I10" t="s">
        <v>66</v>
      </c>
      <c r="J10" t="s">
        <v>365</v>
      </c>
      <c r="K10" t="s">
        <v>67</v>
      </c>
      <c r="N10" t="s">
        <v>386</v>
      </c>
      <c r="O10" t="s">
        <v>369</v>
      </c>
      <c r="Q10" t="s">
        <v>387</v>
      </c>
      <c r="T10" s="56" t="s">
        <v>388</v>
      </c>
      <c r="U10" s="1">
        <v>46094</v>
      </c>
      <c r="V10" t="s">
        <v>68</v>
      </c>
      <c r="W10" t="s">
        <v>69</v>
      </c>
    </row>
    <row r="11" spans="1:28" x14ac:dyDescent="0.3">
      <c r="A11" t="s">
        <v>356</v>
      </c>
      <c r="B11" s="40">
        <v>2015550187001</v>
      </c>
      <c r="C11" t="s">
        <v>184</v>
      </c>
      <c r="D11" s="62">
        <f t="shared" si="0"/>
        <v>8050</v>
      </c>
      <c r="E11" s="1">
        <v>46094</v>
      </c>
      <c r="F11" s="41">
        <v>325</v>
      </c>
      <c r="G11" s="60">
        <v>0</v>
      </c>
      <c r="H11" t="s">
        <v>364</v>
      </c>
      <c r="I11" t="s">
        <v>66</v>
      </c>
      <c r="J11" t="s">
        <v>365</v>
      </c>
      <c r="K11" t="s">
        <v>366</v>
      </c>
      <c r="U11" s="1">
        <v>46094</v>
      </c>
      <c r="V11" t="s">
        <v>389</v>
      </c>
      <c r="W11" t="s">
        <v>80</v>
      </c>
    </row>
    <row r="12" spans="1:28" x14ac:dyDescent="0.3">
      <c r="A12" t="s">
        <v>356</v>
      </c>
      <c r="B12" s="40">
        <v>2015550187001</v>
      </c>
      <c r="C12" t="s">
        <v>184</v>
      </c>
      <c r="D12" s="62">
        <f t="shared" si="0"/>
        <v>7907</v>
      </c>
      <c r="E12" s="1">
        <v>46095</v>
      </c>
      <c r="F12" s="41">
        <v>0</v>
      </c>
      <c r="G12" s="60">
        <v>143</v>
      </c>
      <c r="H12" t="s">
        <v>63</v>
      </c>
      <c r="I12" t="s">
        <v>36</v>
      </c>
      <c r="J12" t="s">
        <v>64</v>
      </c>
      <c r="K12" t="s">
        <v>390</v>
      </c>
      <c r="L12" t="s">
        <v>391</v>
      </c>
      <c r="U12" s="1">
        <v>46095</v>
      </c>
    </row>
    <row r="13" spans="1:28" x14ac:dyDescent="0.3">
      <c r="A13" t="s">
        <v>356</v>
      </c>
      <c r="B13" s="40">
        <v>2015550187001</v>
      </c>
      <c r="C13" t="s">
        <v>184</v>
      </c>
      <c r="D13" s="62">
        <f t="shared" si="0"/>
        <v>8182</v>
      </c>
      <c r="E13" s="1">
        <v>46097</v>
      </c>
      <c r="F13" s="41">
        <v>275</v>
      </c>
      <c r="G13" s="60">
        <v>0</v>
      </c>
      <c r="H13" t="s">
        <v>364</v>
      </c>
      <c r="I13" t="s">
        <v>66</v>
      </c>
      <c r="J13" t="s">
        <v>365</v>
      </c>
      <c r="K13" t="s">
        <v>366</v>
      </c>
      <c r="U13" s="1">
        <v>46097</v>
      </c>
      <c r="V13" t="s">
        <v>392</v>
      </c>
      <c r="W13" t="s">
        <v>79</v>
      </c>
    </row>
    <row r="14" spans="1:28" x14ac:dyDescent="0.3">
      <c r="A14" t="s">
        <v>356</v>
      </c>
      <c r="B14" s="40">
        <v>2015550187001</v>
      </c>
      <c r="C14" t="s">
        <v>184</v>
      </c>
      <c r="D14" s="62">
        <f t="shared" si="0"/>
        <v>1682</v>
      </c>
      <c r="E14" s="1">
        <v>46097</v>
      </c>
      <c r="F14" s="41">
        <v>0</v>
      </c>
      <c r="G14" s="60">
        <v>6500</v>
      </c>
      <c r="H14" t="s">
        <v>37</v>
      </c>
      <c r="I14" t="s">
        <v>36</v>
      </c>
      <c r="J14" t="s">
        <v>393</v>
      </c>
      <c r="K14" t="s">
        <v>394</v>
      </c>
      <c r="U14" s="1">
        <v>46097</v>
      </c>
      <c r="V14" t="s">
        <v>356</v>
      </c>
      <c r="W14" t="s">
        <v>81</v>
      </c>
      <c r="X14">
        <v>2015550187001</v>
      </c>
      <c r="Y14" t="s">
        <v>395</v>
      </c>
      <c r="Z14" t="s">
        <v>396</v>
      </c>
      <c r="AA14" t="s">
        <v>397</v>
      </c>
      <c r="AB14" t="s">
        <v>398</v>
      </c>
    </row>
    <row r="15" spans="1:28" x14ac:dyDescent="0.3">
      <c r="A15" t="s">
        <v>356</v>
      </c>
      <c r="B15" s="40">
        <v>2015550187001</v>
      </c>
      <c r="C15" t="s">
        <v>184</v>
      </c>
      <c r="D15" s="62">
        <f t="shared" si="0"/>
        <v>3182</v>
      </c>
      <c r="E15" s="1">
        <v>46099</v>
      </c>
      <c r="F15" s="41">
        <v>1500</v>
      </c>
      <c r="G15" s="60">
        <v>0</v>
      </c>
      <c r="H15" t="s">
        <v>373</v>
      </c>
      <c r="I15" t="s">
        <v>66</v>
      </c>
      <c r="J15" t="s">
        <v>365</v>
      </c>
      <c r="K15" t="s">
        <v>374</v>
      </c>
      <c r="U15" s="1">
        <v>46099</v>
      </c>
      <c r="V15" t="s">
        <v>399</v>
      </c>
      <c r="W15" t="s">
        <v>400</v>
      </c>
      <c r="AB15" t="s">
        <v>401</v>
      </c>
    </row>
    <row r="16" spans="1:28" x14ac:dyDescent="0.3">
      <c r="A16" t="s">
        <v>356</v>
      </c>
      <c r="B16" s="40">
        <v>2015550187001</v>
      </c>
      <c r="C16" t="s">
        <v>184</v>
      </c>
      <c r="D16" s="62">
        <f t="shared" si="0"/>
        <v>3857</v>
      </c>
      <c r="E16" s="1">
        <v>46100</v>
      </c>
      <c r="F16" s="41">
        <v>675</v>
      </c>
      <c r="G16" s="60">
        <v>0</v>
      </c>
      <c r="H16" t="s">
        <v>364</v>
      </c>
      <c r="I16" t="s">
        <v>66</v>
      </c>
      <c r="J16" t="s">
        <v>365</v>
      </c>
      <c r="K16" t="s">
        <v>366</v>
      </c>
      <c r="U16" s="1">
        <v>46100</v>
      </c>
      <c r="V16" t="s">
        <v>402</v>
      </c>
      <c r="W16" t="s">
        <v>403</v>
      </c>
    </row>
    <row r="17" spans="1:28" x14ac:dyDescent="0.3">
      <c r="A17" t="s">
        <v>356</v>
      </c>
      <c r="B17" s="40">
        <v>2015550187001</v>
      </c>
      <c r="C17" t="s">
        <v>184</v>
      </c>
      <c r="D17" s="62">
        <f t="shared" si="0"/>
        <v>1257</v>
      </c>
      <c r="E17" s="1">
        <v>46102</v>
      </c>
      <c r="F17" s="41">
        <v>0</v>
      </c>
      <c r="G17" s="60">
        <v>2600</v>
      </c>
      <c r="H17" t="s">
        <v>373</v>
      </c>
      <c r="I17" t="s">
        <v>36</v>
      </c>
      <c r="J17" t="s">
        <v>379</v>
      </c>
      <c r="K17" t="s">
        <v>404</v>
      </c>
      <c r="U17" s="1">
        <v>46102</v>
      </c>
      <c r="V17" t="s">
        <v>356</v>
      </c>
      <c r="W17" t="s">
        <v>81</v>
      </c>
      <c r="X17">
        <v>2015550187001</v>
      </c>
      <c r="Y17" t="s">
        <v>405</v>
      </c>
      <c r="Z17" t="s">
        <v>382</v>
      </c>
      <c r="AB17" t="s">
        <v>404</v>
      </c>
    </row>
    <row r="18" spans="1:28" x14ac:dyDescent="0.3">
      <c r="A18" t="s">
        <v>356</v>
      </c>
      <c r="B18" s="40">
        <v>2015550187001</v>
      </c>
      <c r="C18" t="s">
        <v>184</v>
      </c>
      <c r="D18" s="62">
        <f t="shared" si="0"/>
        <v>1220</v>
      </c>
      <c r="E18" s="1">
        <v>46102</v>
      </c>
      <c r="F18" s="41">
        <v>0</v>
      </c>
      <c r="G18" s="60">
        <v>37</v>
      </c>
      <c r="H18" t="s">
        <v>63</v>
      </c>
      <c r="I18" t="s">
        <v>36</v>
      </c>
      <c r="J18" t="s">
        <v>64</v>
      </c>
      <c r="K18" t="s">
        <v>75</v>
      </c>
      <c r="L18" t="s">
        <v>391</v>
      </c>
      <c r="U18" s="1">
        <v>46102</v>
      </c>
    </row>
    <row r="19" spans="1:28" x14ac:dyDescent="0.3">
      <c r="A19" t="s">
        <v>356</v>
      </c>
      <c r="B19" s="40">
        <v>2015550187001</v>
      </c>
      <c r="C19" t="s">
        <v>184</v>
      </c>
      <c r="D19" s="62">
        <f t="shared" si="0"/>
        <v>1030</v>
      </c>
      <c r="E19" s="1">
        <v>46103</v>
      </c>
      <c r="F19" s="41">
        <v>0</v>
      </c>
      <c r="G19" s="60">
        <v>190</v>
      </c>
      <c r="H19" t="s">
        <v>63</v>
      </c>
      <c r="I19" t="s">
        <v>36</v>
      </c>
      <c r="J19" t="s">
        <v>64</v>
      </c>
      <c r="K19" t="s">
        <v>406</v>
      </c>
      <c r="L19" t="s">
        <v>391</v>
      </c>
      <c r="U19" s="1">
        <v>46103</v>
      </c>
    </row>
    <row r="20" spans="1:28" x14ac:dyDescent="0.3">
      <c r="A20" t="s">
        <v>356</v>
      </c>
      <c r="B20" s="40">
        <v>2015550187001</v>
      </c>
      <c r="C20" t="s">
        <v>184</v>
      </c>
      <c r="D20" s="62">
        <f t="shared" si="0"/>
        <v>1755</v>
      </c>
      <c r="E20" s="1">
        <v>46104</v>
      </c>
      <c r="F20" s="41">
        <v>725</v>
      </c>
      <c r="G20" s="60">
        <v>0</v>
      </c>
      <c r="H20" t="s">
        <v>364</v>
      </c>
      <c r="I20" t="s">
        <v>66</v>
      </c>
      <c r="J20" t="s">
        <v>365</v>
      </c>
      <c r="K20" t="s">
        <v>366</v>
      </c>
      <c r="U20" s="1">
        <v>46104</v>
      </c>
      <c r="V20" t="s">
        <v>407</v>
      </c>
      <c r="W20" t="s">
        <v>76</v>
      </c>
    </row>
    <row r="21" spans="1:28" x14ac:dyDescent="0.3">
      <c r="A21" t="s">
        <v>356</v>
      </c>
      <c r="B21" s="40">
        <v>2015550187001</v>
      </c>
      <c r="C21" t="s">
        <v>184</v>
      </c>
      <c r="D21" s="62">
        <f t="shared" si="0"/>
        <v>1660</v>
      </c>
      <c r="E21" s="1">
        <v>46104</v>
      </c>
      <c r="F21" s="41">
        <v>0</v>
      </c>
      <c r="G21" s="60">
        <v>95</v>
      </c>
      <c r="H21" t="s">
        <v>63</v>
      </c>
      <c r="I21" t="s">
        <v>36</v>
      </c>
      <c r="J21" t="s">
        <v>64</v>
      </c>
      <c r="K21" t="s">
        <v>408</v>
      </c>
      <c r="L21" t="s">
        <v>391</v>
      </c>
      <c r="U21" s="1">
        <v>46104</v>
      </c>
    </row>
    <row r="22" spans="1:28" x14ac:dyDescent="0.3">
      <c r="A22" t="s">
        <v>356</v>
      </c>
      <c r="B22" s="40">
        <v>2015550187001</v>
      </c>
      <c r="C22" t="s">
        <v>184</v>
      </c>
      <c r="D22" s="62">
        <f t="shared" si="0"/>
        <v>1985</v>
      </c>
      <c r="E22" s="1">
        <v>46105</v>
      </c>
      <c r="F22" s="41">
        <v>325</v>
      </c>
      <c r="G22" s="60">
        <v>0</v>
      </c>
      <c r="H22" t="s">
        <v>70</v>
      </c>
      <c r="I22" t="s">
        <v>66</v>
      </c>
      <c r="J22" t="s">
        <v>365</v>
      </c>
      <c r="K22" t="s">
        <v>71</v>
      </c>
      <c r="U22" s="1">
        <v>46105</v>
      </c>
      <c r="V22" t="s">
        <v>409</v>
      </c>
      <c r="W22" t="s">
        <v>410</v>
      </c>
    </row>
    <row r="23" spans="1:28" x14ac:dyDescent="0.3">
      <c r="A23" t="s">
        <v>356</v>
      </c>
      <c r="B23" s="40">
        <v>2015550187001</v>
      </c>
      <c r="C23" t="s">
        <v>184</v>
      </c>
      <c r="D23" s="62">
        <f t="shared" si="0"/>
        <v>1939</v>
      </c>
      <c r="E23" s="1">
        <v>46108</v>
      </c>
      <c r="F23" s="41">
        <v>0</v>
      </c>
      <c r="G23" s="60">
        <v>46</v>
      </c>
      <c r="H23" t="s">
        <v>63</v>
      </c>
      <c r="I23" t="s">
        <v>36</v>
      </c>
      <c r="J23" t="s">
        <v>64</v>
      </c>
      <c r="K23" t="s">
        <v>411</v>
      </c>
      <c r="L23" t="s">
        <v>391</v>
      </c>
      <c r="U23" s="1">
        <v>46108</v>
      </c>
    </row>
    <row r="24" spans="1:28" x14ac:dyDescent="0.3">
      <c r="A24" t="s">
        <v>356</v>
      </c>
      <c r="B24" s="40">
        <v>2015550187001</v>
      </c>
      <c r="C24" t="s">
        <v>184</v>
      </c>
      <c r="D24" s="62">
        <f t="shared" si="0"/>
        <v>1818</v>
      </c>
      <c r="E24" s="1">
        <v>46112</v>
      </c>
      <c r="F24" s="41">
        <v>0</v>
      </c>
      <c r="G24" s="60">
        <v>121</v>
      </c>
      <c r="H24" t="s">
        <v>63</v>
      </c>
      <c r="I24" t="s">
        <v>36</v>
      </c>
      <c r="J24" t="s">
        <v>64</v>
      </c>
      <c r="K24" t="s">
        <v>412</v>
      </c>
      <c r="L24" t="s">
        <v>391</v>
      </c>
      <c r="U24" s="1">
        <v>46112</v>
      </c>
    </row>
    <row r="25" spans="1:28" x14ac:dyDescent="0.3">
      <c r="A25" t="s">
        <v>356</v>
      </c>
      <c r="B25" s="40">
        <v>2015550187001</v>
      </c>
      <c r="C25" t="s">
        <v>184</v>
      </c>
      <c r="D25" s="62">
        <f t="shared" si="0"/>
        <v>3268</v>
      </c>
      <c r="E25" s="1">
        <v>46113</v>
      </c>
      <c r="F25" s="41">
        <v>1450</v>
      </c>
      <c r="G25" s="60">
        <v>0</v>
      </c>
      <c r="H25" t="s">
        <v>373</v>
      </c>
      <c r="I25" t="s">
        <v>66</v>
      </c>
      <c r="J25" t="s">
        <v>365</v>
      </c>
      <c r="K25" t="s">
        <v>374</v>
      </c>
      <c r="U25" s="1">
        <v>46113</v>
      </c>
      <c r="V25" t="s">
        <v>413</v>
      </c>
      <c r="W25" t="s">
        <v>400</v>
      </c>
      <c r="AB25" t="s">
        <v>414</v>
      </c>
    </row>
    <row r="26" spans="1:28" x14ac:dyDescent="0.3">
      <c r="A26" t="s">
        <v>356</v>
      </c>
      <c r="B26" s="40">
        <v>2015550187001</v>
      </c>
      <c r="C26" t="s">
        <v>184</v>
      </c>
      <c r="D26" s="62">
        <f t="shared" si="0"/>
        <v>3643</v>
      </c>
      <c r="E26" s="1">
        <v>46115</v>
      </c>
      <c r="F26" s="41">
        <v>375</v>
      </c>
      <c r="G26" s="60">
        <v>0</v>
      </c>
      <c r="H26" t="s">
        <v>364</v>
      </c>
      <c r="I26" t="s">
        <v>66</v>
      </c>
      <c r="J26" t="s">
        <v>365</v>
      </c>
      <c r="K26" t="s">
        <v>366</v>
      </c>
      <c r="U26" s="1">
        <v>46115</v>
      </c>
      <c r="V26" t="s">
        <v>415</v>
      </c>
      <c r="W26" t="s">
        <v>416</v>
      </c>
    </row>
    <row r="27" spans="1:28" x14ac:dyDescent="0.3">
      <c r="A27" t="s">
        <v>356</v>
      </c>
      <c r="B27" s="40">
        <v>2015550187001</v>
      </c>
      <c r="C27" t="s">
        <v>184</v>
      </c>
      <c r="D27" s="62">
        <f t="shared" si="0"/>
        <v>3440</v>
      </c>
      <c r="E27" s="1">
        <v>46115</v>
      </c>
      <c r="F27" s="41">
        <v>0</v>
      </c>
      <c r="G27" s="60">
        <v>203</v>
      </c>
      <c r="H27" t="s">
        <v>63</v>
      </c>
      <c r="I27" t="s">
        <v>36</v>
      </c>
      <c r="J27" t="s">
        <v>64</v>
      </c>
      <c r="K27" t="s">
        <v>417</v>
      </c>
      <c r="L27" t="s">
        <v>391</v>
      </c>
      <c r="U27" s="1">
        <v>46115</v>
      </c>
    </row>
    <row r="28" spans="1:28" x14ac:dyDescent="0.3">
      <c r="A28" t="s">
        <v>356</v>
      </c>
      <c r="B28" s="40">
        <v>2015550187001</v>
      </c>
      <c r="C28" t="s">
        <v>184</v>
      </c>
      <c r="D28" s="62">
        <f t="shared" si="0"/>
        <v>3815</v>
      </c>
      <c r="E28" s="1">
        <v>46116</v>
      </c>
      <c r="F28" s="41">
        <v>375</v>
      </c>
      <c r="G28" s="60">
        <v>0</v>
      </c>
      <c r="H28" t="s">
        <v>364</v>
      </c>
      <c r="I28" t="s">
        <v>66</v>
      </c>
      <c r="J28" t="s">
        <v>365</v>
      </c>
      <c r="K28" t="s">
        <v>366</v>
      </c>
      <c r="U28" s="1">
        <v>46116</v>
      </c>
      <c r="V28" t="s">
        <v>418</v>
      </c>
      <c r="W28" t="s">
        <v>410</v>
      </c>
    </row>
    <row r="29" spans="1:28" x14ac:dyDescent="0.3">
      <c r="A29" t="s">
        <v>356</v>
      </c>
      <c r="B29" s="40">
        <v>2015550187001</v>
      </c>
      <c r="C29" t="s">
        <v>184</v>
      </c>
      <c r="D29" s="62">
        <f t="shared" si="0"/>
        <v>3792</v>
      </c>
      <c r="E29" s="1">
        <v>46116</v>
      </c>
      <c r="F29" s="41">
        <v>0</v>
      </c>
      <c r="G29" s="60">
        <v>23</v>
      </c>
      <c r="H29" t="s">
        <v>63</v>
      </c>
      <c r="I29" t="s">
        <v>36</v>
      </c>
      <c r="J29" t="s">
        <v>64</v>
      </c>
      <c r="K29" t="s">
        <v>419</v>
      </c>
      <c r="L29" t="s">
        <v>391</v>
      </c>
      <c r="U29" s="1">
        <v>46116</v>
      </c>
    </row>
    <row r="30" spans="1:28" x14ac:dyDescent="0.3">
      <c r="A30" t="s">
        <v>356</v>
      </c>
      <c r="B30" s="40">
        <v>2015550187001</v>
      </c>
      <c r="C30" t="s">
        <v>184</v>
      </c>
      <c r="D30" s="62">
        <f t="shared" si="0"/>
        <v>3759</v>
      </c>
      <c r="E30" s="1">
        <v>46117</v>
      </c>
      <c r="F30" s="41">
        <v>0</v>
      </c>
      <c r="G30" s="60">
        <v>33</v>
      </c>
      <c r="H30" t="s">
        <v>63</v>
      </c>
      <c r="I30" t="s">
        <v>36</v>
      </c>
      <c r="J30" t="s">
        <v>64</v>
      </c>
      <c r="K30" t="s">
        <v>420</v>
      </c>
      <c r="L30" t="s">
        <v>391</v>
      </c>
      <c r="U30" s="1">
        <v>46117</v>
      </c>
    </row>
    <row r="31" spans="1:28" x14ac:dyDescent="0.3">
      <c r="A31" t="s">
        <v>356</v>
      </c>
      <c r="B31" s="40">
        <v>2015550187001</v>
      </c>
      <c r="C31" t="s">
        <v>184</v>
      </c>
      <c r="D31" s="62">
        <f t="shared" si="0"/>
        <v>4384</v>
      </c>
      <c r="E31" s="1">
        <v>46119</v>
      </c>
      <c r="F31" s="41">
        <v>625</v>
      </c>
      <c r="G31" s="60">
        <v>0</v>
      </c>
      <c r="H31" t="s">
        <v>364</v>
      </c>
      <c r="I31" t="s">
        <v>66</v>
      </c>
      <c r="J31" t="s">
        <v>365</v>
      </c>
      <c r="K31" t="s">
        <v>366</v>
      </c>
      <c r="U31" s="1">
        <v>46119</v>
      </c>
      <c r="V31" t="s">
        <v>421</v>
      </c>
      <c r="W31" t="s">
        <v>422</v>
      </c>
    </row>
    <row r="32" spans="1:28" x14ac:dyDescent="0.3">
      <c r="A32" t="s">
        <v>356</v>
      </c>
      <c r="B32" s="40">
        <v>2015550187001</v>
      </c>
      <c r="C32" t="s">
        <v>184</v>
      </c>
      <c r="D32" s="62">
        <f t="shared" si="0"/>
        <v>4909</v>
      </c>
      <c r="E32" s="1">
        <v>46121</v>
      </c>
      <c r="F32" s="41">
        <v>525</v>
      </c>
      <c r="G32" s="60">
        <v>0</v>
      </c>
      <c r="H32" t="s">
        <v>364</v>
      </c>
      <c r="I32" t="s">
        <v>66</v>
      </c>
      <c r="J32" t="s">
        <v>365</v>
      </c>
      <c r="K32" t="s">
        <v>366</v>
      </c>
      <c r="U32" s="1">
        <v>46121</v>
      </c>
      <c r="V32" t="s">
        <v>423</v>
      </c>
      <c r="W32" t="s">
        <v>81</v>
      </c>
    </row>
    <row r="33" spans="1:28" x14ac:dyDescent="0.3">
      <c r="A33" t="s">
        <v>356</v>
      </c>
      <c r="B33" s="40">
        <v>2015550187001</v>
      </c>
      <c r="C33" t="s">
        <v>184</v>
      </c>
      <c r="D33" s="62">
        <f t="shared" si="0"/>
        <v>6309</v>
      </c>
      <c r="E33" s="1">
        <v>46121</v>
      </c>
      <c r="F33" s="41">
        <v>1400</v>
      </c>
      <c r="G33" s="60">
        <v>0</v>
      </c>
      <c r="H33" t="s">
        <v>373</v>
      </c>
      <c r="I33" t="s">
        <v>66</v>
      </c>
      <c r="J33" t="s">
        <v>365</v>
      </c>
      <c r="K33" t="s">
        <v>374</v>
      </c>
      <c r="U33" s="1">
        <v>46121</v>
      </c>
      <c r="V33" t="s">
        <v>375</v>
      </c>
      <c r="W33" t="s">
        <v>376</v>
      </c>
      <c r="AB33" t="s">
        <v>377</v>
      </c>
    </row>
    <row r="34" spans="1:28" x14ac:dyDescent="0.3">
      <c r="A34" t="s">
        <v>356</v>
      </c>
      <c r="B34" s="40">
        <v>2015550187001</v>
      </c>
      <c r="C34" t="s">
        <v>184</v>
      </c>
      <c r="D34" s="62">
        <f t="shared" si="0"/>
        <v>3309</v>
      </c>
      <c r="E34" s="1">
        <v>46121</v>
      </c>
      <c r="F34" s="41">
        <v>0</v>
      </c>
      <c r="G34" s="60">
        <v>3000</v>
      </c>
      <c r="H34" t="s">
        <v>373</v>
      </c>
      <c r="I34" t="s">
        <v>36</v>
      </c>
      <c r="J34" t="s">
        <v>379</v>
      </c>
      <c r="K34" t="s">
        <v>424</v>
      </c>
      <c r="U34" s="1">
        <v>46121</v>
      </c>
      <c r="V34" t="s">
        <v>356</v>
      </c>
      <c r="W34" t="s">
        <v>81</v>
      </c>
      <c r="X34">
        <v>2015550187001</v>
      </c>
      <c r="Y34" t="s">
        <v>425</v>
      </c>
      <c r="Z34" t="s">
        <v>382</v>
      </c>
      <c r="AB34" t="s">
        <v>424</v>
      </c>
    </row>
    <row r="35" spans="1:28" x14ac:dyDescent="0.3">
      <c r="A35" t="s">
        <v>356</v>
      </c>
      <c r="B35" s="40">
        <v>2015550187001</v>
      </c>
      <c r="C35" t="s">
        <v>184</v>
      </c>
      <c r="D35" s="62">
        <f t="shared" ref="D35:D66" si="1">D34+F35-G35</f>
        <v>4059</v>
      </c>
      <c r="E35" s="1">
        <v>46125</v>
      </c>
      <c r="F35" s="41">
        <v>750</v>
      </c>
      <c r="G35" s="60">
        <v>0</v>
      </c>
      <c r="H35" t="s">
        <v>364</v>
      </c>
      <c r="I35" t="s">
        <v>66</v>
      </c>
      <c r="J35" t="s">
        <v>365</v>
      </c>
      <c r="K35" t="s">
        <v>366</v>
      </c>
      <c r="U35" s="1">
        <v>46125</v>
      </c>
      <c r="V35" t="s">
        <v>426</v>
      </c>
      <c r="W35" t="s">
        <v>72</v>
      </c>
    </row>
    <row r="36" spans="1:28" x14ac:dyDescent="0.3">
      <c r="A36" t="s">
        <v>356</v>
      </c>
      <c r="B36" s="40">
        <v>2015550187001</v>
      </c>
      <c r="C36" t="s">
        <v>184</v>
      </c>
      <c r="D36" s="62">
        <f t="shared" si="1"/>
        <v>3978</v>
      </c>
      <c r="E36" s="1">
        <v>46125</v>
      </c>
      <c r="F36" s="41">
        <v>0</v>
      </c>
      <c r="G36" s="60">
        <v>81</v>
      </c>
      <c r="H36" t="s">
        <v>63</v>
      </c>
      <c r="I36" t="s">
        <v>36</v>
      </c>
      <c r="J36" t="s">
        <v>64</v>
      </c>
      <c r="K36" t="s">
        <v>427</v>
      </c>
      <c r="L36" t="s">
        <v>391</v>
      </c>
      <c r="U36" s="1">
        <v>46125</v>
      </c>
    </row>
    <row r="37" spans="1:28" x14ac:dyDescent="0.3">
      <c r="A37" t="s">
        <v>356</v>
      </c>
      <c r="B37" s="40">
        <v>2015550187001</v>
      </c>
      <c r="C37" t="s">
        <v>184</v>
      </c>
      <c r="D37" s="62">
        <f t="shared" si="1"/>
        <v>3964</v>
      </c>
      <c r="E37" s="1">
        <v>46126</v>
      </c>
      <c r="F37" s="41">
        <v>0</v>
      </c>
      <c r="G37" s="60">
        <v>14</v>
      </c>
      <c r="H37" t="s">
        <v>63</v>
      </c>
      <c r="I37" t="s">
        <v>36</v>
      </c>
      <c r="J37" t="s">
        <v>64</v>
      </c>
      <c r="K37" t="s">
        <v>428</v>
      </c>
      <c r="L37" t="s">
        <v>391</v>
      </c>
      <c r="U37" s="1">
        <v>46126</v>
      </c>
    </row>
    <row r="38" spans="1:28" x14ac:dyDescent="0.3">
      <c r="A38" t="s">
        <v>356</v>
      </c>
      <c r="B38" s="40">
        <v>2015550187001</v>
      </c>
      <c r="C38" t="s">
        <v>184</v>
      </c>
      <c r="D38" s="62">
        <f t="shared" si="1"/>
        <v>4614</v>
      </c>
      <c r="E38" s="1">
        <v>46128</v>
      </c>
      <c r="F38" s="41">
        <v>650</v>
      </c>
      <c r="G38" s="60">
        <v>0</v>
      </c>
      <c r="H38" t="s">
        <v>364</v>
      </c>
      <c r="I38" t="s">
        <v>66</v>
      </c>
      <c r="J38" t="s">
        <v>365</v>
      </c>
      <c r="K38" t="s">
        <v>366</v>
      </c>
      <c r="U38" s="1">
        <v>46128</v>
      </c>
      <c r="V38" t="s">
        <v>429</v>
      </c>
      <c r="W38" t="s">
        <v>80</v>
      </c>
    </row>
    <row r="39" spans="1:28" x14ac:dyDescent="0.3">
      <c r="A39" t="s">
        <v>356</v>
      </c>
      <c r="B39" s="40">
        <v>2015550187001</v>
      </c>
      <c r="C39" t="s">
        <v>184</v>
      </c>
      <c r="D39" s="62">
        <f t="shared" si="1"/>
        <v>6264</v>
      </c>
      <c r="E39" s="1">
        <v>46130</v>
      </c>
      <c r="F39" s="41">
        <v>1650</v>
      </c>
      <c r="G39" s="60">
        <v>0</v>
      </c>
      <c r="H39" t="s">
        <v>65</v>
      </c>
      <c r="I39" t="s">
        <v>66</v>
      </c>
      <c r="J39" t="s">
        <v>365</v>
      </c>
      <c r="K39" t="s">
        <v>73</v>
      </c>
      <c r="N39" t="s">
        <v>430</v>
      </c>
      <c r="O39" t="s">
        <v>369</v>
      </c>
      <c r="Q39" t="s">
        <v>431</v>
      </c>
      <c r="R39" t="s">
        <v>78</v>
      </c>
      <c r="T39" s="56" t="s">
        <v>432</v>
      </c>
      <c r="U39" s="1">
        <v>46130</v>
      </c>
      <c r="V39" t="s">
        <v>68</v>
      </c>
      <c r="W39" t="s">
        <v>69</v>
      </c>
    </row>
    <row r="40" spans="1:28" x14ac:dyDescent="0.3">
      <c r="A40" t="s">
        <v>356</v>
      </c>
      <c r="B40" s="40">
        <v>2015550187001</v>
      </c>
      <c r="C40" t="s">
        <v>184</v>
      </c>
      <c r="D40" s="62">
        <f t="shared" si="1"/>
        <v>6639</v>
      </c>
      <c r="E40" s="1">
        <v>46130</v>
      </c>
      <c r="F40" s="41">
        <v>375</v>
      </c>
      <c r="G40" s="60">
        <v>0</v>
      </c>
      <c r="H40" t="s">
        <v>364</v>
      </c>
      <c r="I40" t="s">
        <v>66</v>
      </c>
      <c r="J40" t="s">
        <v>365</v>
      </c>
      <c r="K40" t="s">
        <v>366</v>
      </c>
      <c r="U40" s="1">
        <v>46130</v>
      </c>
      <c r="V40" t="s">
        <v>433</v>
      </c>
      <c r="W40" t="s">
        <v>76</v>
      </c>
    </row>
    <row r="41" spans="1:28" x14ac:dyDescent="0.3">
      <c r="A41" t="s">
        <v>356</v>
      </c>
      <c r="B41" s="40">
        <v>2015550187001</v>
      </c>
      <c r="C41" t="s">
        <v>184</v>
      </c>
      <c r="D41" s="62">
        <f t="shared" si="1"/>
        <v>6615</v>
      </c>
      <c r="E41" s="1">
        <v>46131</v>
      </c>
      <c r="F41" s="41">
        <v>0</v>
      </c>
      <c r="G41" s="60">
        <v>24</v>
      </c>
      <c r="H41" t="s">
        <v>63</v>
      </c>
      <c r="I41" t="s">
        <v>36</v>
      </c>
      <c r="J41" t="s">
        <v>64</v>
      </c>
      <c r="K41" t="s">
        <v>434</v>
      </c>
      <c r="L41" t="s">
        <v>391</v>
      </c>
      <c r="U41" s="1">
        <v>46131</v>
      </c>
    </row>
    <row r="42" spans="1:28" x14ac:dyDescent="0.3">
      <c r="A42" t="s">
        <v>356</v>
      </c>
      <c r="B42" s="40">
        <v>2015550187001</v>
      </c>
      <c r="C42" t="s">
        <v>184</v>
      </c>
      <c r="D42" s="62">
        <f t="shared" si="1"/>
        <v>7440</v>
      </c>
      <c r="E42" s="1">
        <v>46134</v>
      </c>
      <c r="F42" s="41">
        <v>825</v>
      </c>
      <c r="G42" s="60">
        <v>0</v>
      </c>
      <c r="H42" t="s">
        <v>364</v>
      </c>
      <c r="I42" t="s">
        <v>66</v>
      </c>
      <c r="J42" t="s">
        <v>365</v>
      </c>
      <c r="K42" t="s">
        <v>366</v>
      </c>
      <c r="U42" s="1">
        <v>46134</v>
      </c>
      <c r="V42" t="s">
        <v>435</v>
      </c>
      <c r="W42" t="s">
        <v>79</v>
      </c>
    </row>
    <row r="43" spans="1:28" x14ac:dyDescent="0.3">
      <c r="A43" t="s">
        <v>356</v>
      </c>
      <c r="B43" s="40">
        <v>2015550187001</v>
      </c>
      <c r="C43" t="s">
        <v>184</v>
      </c>
      <c r="D43" s="62">
        <f t="shared" si="1"/>
        <v>7300</v>
      </c>
      <c r="E43" s="1">
        <v>46134</v>
      </c>
      <c r="F43" s="41">
        <v>0</v>
      </c>
      <c r="G43" s="60">
        <v>140</v>
      </c>
      <c r="H43" t="s">
        <v>63</v>
      </c>
      <c r="I43" t="s">
        <v>36</v>
      </c>
      <c r="J43" t="s">
        <v>64</v>
      </c>
      <c r="K43" t="s">
        <v>436</v>
      </c>
      <c r="L43" t="s">
        <v>391</v>
      </c>
      <c r="U43" s="1">
        <v>46134</v>
      </c>
    </row>
    <row r="44" spans="1:28" x14ac:dyDescent="0.3">
      <c r="A44" t="s">
        <v>356</v>
      </c>
      <c r="B44" s="40">
        <v>2015550187001</v>
      </c>
      <c r="C44" t="s">
        <v>184</v>
      </c>
      <c r="D44" s="62">
        <f t="shared" si="1"/>
        <v>7875</v>
      </c>
      <c r="E44" s="1">
        <v>46135</v>
      </c>
      <c r="F44" s="41">
        <v>575</v>
      </c>
      <c r="G44" s="60">
        <v>0</v>
      </c>
      <c r="H44" t="s">
        <v>364</v>
      </c>
      <c r="I44" t="s">
        <v>66</v>
      </c>
      <c r="J44" t="s">
        <v>365</v>
      </c>
      <c r="K44" t="s">
        <v>366</v>
      </c>
      <c r="U44" s="1">
        <v>46135</v>
      </c>
      <c r="V44" t="s">
        <v>437</v>
      </c>
      <c r="W44" t="s">
        <v>77</v>
      </c>
    </row>
    <row r="45" spans="1:28" x14ac:dyDescent="0.3">
      <c r="A45" t="s">
        <v>356</v>
      </c>
      <c r="B45" s="40">
        <v>2015550187001</v>
      </c>
      <c r="C45" t="s">
        <v>184</v>
      </c>
      <c r="D45" s="62">
        <f t="shared" si="1"/>
        <v>8525</v>
      </c>
      <c r="E45" s="1">
        <v>46138</v>
      </c>
      <c r="F45" s="41">
        <v>650</v>
      </c>
      <c r="G45" s="60">
        <v>0</v>
      </c>
      <c r="H45" t="s">
        <v>364</v>
      </c>
      <c r="I45" t="s">
        <v>66</v>
      </c>
      <c r="J45" t="s">
        <v>365</v>
      </c>
      <c r="K45" t="s">
        <v>366</v>
      </c>
      <c r="U45" s="1">
        <v>46138</v>
      </c>
      <c r="V45" t="s">
        <v>438</v>
      </c>
      <c r="W45" t="s">
        <v>403</v>
      </c>
    </row>
    <row r="46" spans="1:28" x14ac:dyDescent="0.3">
      <c r="A46" t="s">
        <v>356</v>
      </c>
      <c r="B46" s="40">
        <v>2015550187001</v>
      </c>
      <c r="C46" t="s">
        <v>184</v>
      </c>
      <c r="D46" s="62">
        <f t="shared" si="1"/>
        <v>9400</v>
      </c>
      <c r="E46" s="1">
        <v>46139</v>
      </c>
      <c r="F46" s="41">
        <v>875</v>
      </c>
      <c r="G46" s="60">
        <v>0</v>
      </c>
      <c r="H46" t="s">
        <v>364</v>
      </c>
      <c r="I46" t="s">
        <v>66</v>
      </c>
      <c r="J46" t="s">
        <v>365</v>
      </c>
      <c r="K46" t="s">
        <v>366</v>
      </c>
      <c r="U46" s="1">
        <v>46139</v>
      </c>
      <c r="V46" t="s">
        <v>439</v>
      </c>
      <c r="W46" t="s">
        <v>440</v>
      </c>
    </row>
    <row r="47" spans="1:28" x14ac:dyDescent="0.3">
      <c r="A47" t="s">
        <v>356</v>
      </c>
      <c r="B47" s="40">
        <v>2015550187001</v>
      </c>
      <c r="C47" t="s">
        <v>184</v>
      </c>
      <c r="D47" s="62">
        <f t="shared" si="1"/>
        <v>10625</v>
      </c>
      <c r="E47" s="1">
        <v>46139</v>
      </c>
      <c r="F47" s="41">
        <v>1225</v>
      </c>
      <c r="G47" s="60">
        <v>0</v>
      </c>
      <c r="H47" t="s">
        <v>373</v>
      </c>
      <c r="I47" t="s">
        <v>66</v>
      </c>
      <c r="J47" t="s">
        <v>365</v>
      </c>
      <c r="K47" t="s">
        <v>374</v>
      </c>
      <c r="U47" s="1">
        <v>46139</v>
      </c>
      <c r="V47" t="s">
        <v>399</v>
      </c>
      <c r="W47" t="s">
        <v>400</v>
      </c>
      <c r="AB47" t="s">
        <v>401</v>
      </c>
    </row>
    <row r="48" spans="1:28" x14ac:dyDescent="0.3">
      <c r="A48" t="s">
        <v>356</v>
      </c>
      <c r="B48" s="40">
        <v>2015550187001</v>
      </c>
      <c r="C48" t="s">
        <v>184</v>
      </c>
      <c r="D48" s="62">
        <f t="shared" si="1"/>
        <v>10528</v>
      </c>
      <c r="E48" s="1">
        <v>46140</v>
      </c>
      <c r="F48" s="41">
        <v>0</v>
      </c>
      <c r="G48" s="60">
        <v>97</v>
      </c>
      <c r="H48" t="s">
        <v>63</v>
      </c>
      <c r="I48" t="s">
        <v>36</v>
      </c>
      <c r="J48" t="s">
        <v>64</v>
      </c>
      <c r="K48" t="s">
        <v>441</v>
      </c>
      <c r="L48" t="s">
        <v>391</v>
      </c>
      <c r="U48" s="1">
        <v>46140</v>
      </c>
    </row>
    <row r="49" spans="1:28" x14ac:dyDescent="0.3">
      <c r="A49" t="s">
        <v>356</v>
      </c>
      <c r="B49" s="40">
        <v>2015550187001</v>
      </c>
      <c r="C49" t="s">
        <v>184</v>
      </c>
      <c r="D49" s="62">
        <f t="shared" si="1"/>
        <v>10903</v>
      </c>
      <c r="E49" s="1">
        <v>46141</v>
      </c>
      <c r="F49" s="41">
        <v>375</v>
      </c>
      <c r="G49" s="60">
        <v>0</v>
      </c>
      <c r="H49" t="s">
        <v>364</v>
      </c>
      <c r="I49" t="s">
        <v>66</v>
      </c>
      <c r="J49" t="s">
        <v>365</v>
      </c>
      <c r="K49" t="s">
        <v>366</v>
      </c>
      <c r="U49" s="1">
        <v>46141</v>
      </c>
      <c r="V49" t="s">
        <v>442</v>
      </c>
      <c r="W49" t="s">
        <v>76</v>
      </c>
    </row>
    <row r="50" spans="1:28" x14ac:dyDescent="0.3">
      <c r="A50" t="s">
        <v>356</v>
      </c>
      <c r="B50" s="40">
        <v>2015550187001</v>
      </c>
      <c r="C50" t="s">
        <v>184</v>
      </c>
      <c r="D50" s="62">
        <f t="shared" si="1"/>
        <v>3403</v>
      </c>
      <c r="E50" s="1">
        <v>46141</v>
      </c>
      <c r="F50" s="41">
        <v>0</v>
      </c>
      <c r="G50" s="60">
        <v>7500</v>
      </c>
      <c r="H50" t="s">
        <v>37</v>
      </c>
      <c r="I50" t="s">
        <v>36</v>
      </c>
      <c r="J50" t="s">
        <v>393</v>
      </c>
      <c r="K50" t="s">
        <v>443</v>
      </c>
      <c r="U50" s="1">
        <v>46141</v>
      </c>
      <c r="V50" t="s">
        <v>356</v>
      </c>
      <c r="W50" t="s">
        <v>81</v>
      </c>
      <c r="X50">
        <v>2015550187001</v>
      </c>
      <c r="Y50" t="s">
        <v>444</v>
      </c>
      <c r="Z50" t="s">
        <v>445</v>
      </c>
      <c r="AA50" t="s">
        <v>446</v>
      </c>
      <c r="AB50" t="s">
        <v>447</v>
      </c>
    </row>
    <row r="51" spans="1:28" x14ac:dyDescent="0.3">
      <c r="A51" t="s">
        <v>356</v>
      </c>
      <c r="B51" s="40">
        <v>2015550187001</v>
      </c>
      <c r="C51" t="s">
        <v>184</v>
      </c>
      <c r="D51" s="62">
        <f t="shared" si="1"/>
        <v>1003</v>
      </c>
      <c r="E51" s="1">
        <v>46143</v>
      </c>
      <c r="F51" s="41">
        <v>0</v>
      </c>
      <c r="G51" s="60">
        <v>2400</v>
      </c>
      <c r="H51" t="s">
        <v>373</v>
      </c>
      <c r="I51" t="s">
        <v>36</v>
      </c>
      <c r="J51" t="s">
        <v>379</v>
      </c>
      <c r="K51" t="s">
        <v>448</v>
      </c>
      <c r="U51" s="1">
        <v>46143</v>
      </c>
      <c r="V51" t="s">
        <v>356</v>
      </c>
      <c r="W51" t="s">
        <v>81</v>
      </c>
      <c r="X51">
        <v>2015550187001</v>
      </c>
      <c r="Y51" t="s">
        <v>449</v>
      </c>
      <c r="Z51" t="s">
        <v>382</v>
      </c>
      <c r="AB51" t="s">
        <v>448</v>
      </c>
    </row>
    <row r="52" spans="1:28" x14ac:dyDescent="0.3">
      <c r="A52" t="s">
        <v>356</v>
      </c>
      <c r="B52" s="40">
        <v>2015550187001</v>
      </c>
      <c r="C52" t="s">
        <v>184</v>
      </c>
      <c r="D52" s="62">
        <f t="shared" si="1"/>
        <v>1453</v>
      </c>
      <c r="E52" s="1">
        <v>46146</v>
      </c>
      <c r="F52" s="41">
        <v>450</v>
      </c>
      <c r="G52" s="60">
        <v>0</v>
      </c>
      <c r="H52" t="s">
        <v>70</v>
      </c>
      <c r="I52" t="s">
        <v>66</v>
      </c>
      <c r="J52" t="s">
        <v>365</v>
      </c>
      <c r="K52" t="s">
        <v>71</v>
      </c>
      <c r="U52" s="1">
        <v>46146</v>
      </c>
      <c r="V52" t="s">
        <v>450</v>
      </c>
      <c r="W52" t="s">
        <v>440</v>
      </c>
    </row>
    <row r="53" spans="1:28" x14ac:dyDescent="0.3">
      <c r="A53" t="s">
        <v>356</v>
      </c>
      <c r="B53" s="40">
        <v>2015550187001</v>
      </c>
      <c r="C53" t="s">
        <v>184</v>
      </c>
      <c r="D53" s="62">
        <f t="shared" si="1"/>
        <v>2703</v>
      </c>
      <c r="E53" s="1">
        <v>46147</v>
      </c>
      <c r="F53" s="41">
        <v>1250</v>
      </c>
      <c r="G53" s="60">
        <v>0</v>
      </c>
      <c r="H53" t="s">
        <v>65</v>
      </c>
      <c r="I53" t="s">
        <v>66</v>
      </c>
      <c r="J53" t="s">
        <v>365</v>
      </c>
      <c r="K53" t="s">
        <v>67</v>
      </c>
      <c r="N53" t="s">
        <v>451</v>
      </c>
      <c r="O53" t="s">
        <v>369</v>
      </c>
      <c r="Q53" t="s">
        <v>452</v>
      </c>
      <c r="T53" s="56" t="s">
        <v>453</v>
      </c>
      <c r="U53" s="1">
        <v>46147</v>
      </c>
      <c r="V53" t="s">
        <v>68</v>
      </c>
      <c r="W53" t="s">
        <v>69</v>
      </c>
    </row>
    <row r="54" spans="1:28" x14ac:dyDescent="0.3">
      <c r="A54" t="s">
        <v>356</v>
      </c>
      <c r="B54" s="40">
        <v>2015550187001</v>
      </c>
      <c r="C54" t="s">
        <v>184</v>
      </c>
      <c r="D54" s="62">
        <f t="shared" si="1"/>
        <v>3603</v>
      </c>
      <c r="E54" s="1">
        <v>46147</v>
      </c>
      <c r="F54" s="41">
        <v>900</v>
      </c>
      <c r="G54" s="60">
        <v>0</v>
      </c>
      <c r="H54" t="s">
        <v>364</v>
      </c>
      <c r="I54" t="s">
        <v>66</v>
      </c>
      <c r="J54" t="s">
        <v>365</v>
      </c>
      <c r="K54" t="s">
        <v>366</v>
      </c>
      <c r="U54" s="1">
        <v>46147</v>
      </c>
      <c r="V54" t="s">
        <v>367</v>
      </c>
      <c r="W54" t="s">
        <v>76</v>
      </c>
    </row>
    <row r="55" spans="1:28" x14ac:dyDescent="0.3">
      <c r="A55" t="s">
        <v>356</v>
      </c>
      <c r="B55" s="40">
        <v>2015550187001</v>
      </c>
      <c r="C55" t="s">
        <v>184</v>
      </c>
      <c r="D55" s="62">
        <f t="shared" si="1"/>
        <v>3571</v>
      </c>
      <c r="E55" s="1">
        <v>46147</v>
      </c>
      <c r="F55" s="41">
        <v>0</v>
      </c>
      <c r="G55" s="60">
        <v>32</v>
      </c>
      <c r="H55" t="s">
        <v>63</v>
      </c>
      <c r="I55" t="s">
        <v>36</v>
      </c>
      <c r="J55" t="s">
        <v>64</v>
      </c>
      <c r="K55" t="s">
        <v>454</v>
      </c>
      <c r="L55" t="s">
        <v>391</v>
      </c>
      <c r="U55" s="1">
        <v>46147</v>
      </c>
    </row>
    <row r="56" spans="1:28" x14ac:dyDescent="0.3">
      <c r="A56" t="s">
        <v>356</v>
      </c>
      <c r="B56" s="40">
        <v>2015550187001</v>
      </c>
      <c r="C56" t="s">
        <v>184</v>
      </c>
      <c r="D56" s="62">
        <f t="shared" si="1"/>
        <v>3422</v>
      </c>
      <c r="E56" s="1">
        <v>46148</v>
      </c>
      <c r="F56" s="41">
        <v>0</v>
      </c>
      <c r="G56" s="60">
        <v>149</v>
      </c>
      <c r="H56" t="s">
        <v>63</v>
      </c>
      <c r="I56" t="s">
        <v>36</v>
      </c>
      <c r="J56" t="s">
        <v>64</v>
      </c>
      <c r="K56" t="s">
        <v>390</v>
      </c>
      <c r="L56" t="s">
        <v>391</v>
      </c>
      <c r="U56" s="1">
        <v>46148</v>
      </c>
    </row>
    <row r="57" spans="1:28" x14ac:dyDescent="0.3">
      <c r="A57" t="s">
        <v>356</v>
      </c>
      <c r="B57" s="40">
        <v>2015550187001</v>
      </c>
      <c r="C57" t="s">
        <v>184</v>
      </c>
      <c r="D57" s="62">
        <f t="shared" si="1"/>
        <v>5922</v>
      </c>
      <c r="E57" s="1">
        <v>46149</v>
      </c>
      <c r="F57" s="41">
        <v>2500</v>
      </c>
      <c r="G57" s="60">
        <v>0</v>
      </c>
      <c r="H57" t="s">
        <v>65</v>
      </c>
      <c r="I57" t="s">
        <v>66</v>
      </c>
      <c r="J57" t="s">
        <v>365</v>
      </c>
      <c r="K57" t="s">
        <v>73</v>
      </c>
      <c r="N57" t="s">
        <v>455</v>
      </c>
      <c r="O57" t="s">
        <v>369</v>
      </c>
      <c r="Q57" t="s">
        <v>456</v>
      </c>
      <c r="R57" t="s">
        <v>82</v>
      </c>
      <c r="T57" s="56" t="s">
        <v>457</v>
      </c>
      <c r="U57" s="1">
        <v>46149</v>
      </c>
      <c r="V57" t="s">
        <v>68</v>
      </c>
      <c r="W57" t="s">
        <v>69</v>
      </c>
    </row>
    <row r="58" spans="1:28" x14ac:dyDescent="0.3">
      <c r="A58" t="s">
        <v>356</v>
      </c>
      <c r="B58" s="40">
        <v>2015550187001</v>
      </c>
      <c r="C58" t="s">
        <v>184</v>
      </c>
      <c r="D58" s="62">
        <f t="shared" si="1"/>
        <v>5888</v>
      </c>
      <c r="E58" s="1">
        <v>46149</v>
      </c>
      <c r="F58" s="41">
        <v>0</v>
      </c>
      <c r="G58" s="60">
        <v>34</v>
      </c>
      <c r="H58" t="s">
        <v>63</v>
      </c>
      <c r="I58" t="s">
        <v>36</v>
      </c>
      <c r="J58" t="s">
        <v>64</v>
      </c>
      <c r="K58" t="s">
        <v>75</v>
      </c>
      <c r="L58" t="s">
        <v>391</v>
      </c>
      <c r="U58" s="1">
        <v>46149</v>
      </c>
    </row>
    <row r="59" spans="1:28" x14ac:dyDescent="0.3">
      <c r="A59" t="s">
        <v>356</v>
      </c>
      <c r="B59" s="40">
        <v>2015550187001</v>
      </c>
      <c r="C59" t="s">
        <v>184</v>
      </c>
      <c r="D59" s="62">
        <f t="shared" si="1"/>
        <v>5697</v>
      </c>
      <c r="E59" s="1">
        <v>46149</v>
      </c>
      <c r="F59" s="41">
        <v>0</v>
      </c>
      <c r="G59" s="60">
        <v>191</v>
      </c>
      <c r="H59" t="s">
        <v>63</v>
      </c>
      <c r="I59" t="s">
        <v>36</v>
      </c>
      <c r="J59" t="s">
        <v>64</v>
      </c>
      <c r="K59" t="s">
        <v>406</v>
      </c>
      <c r="L59" t="s">
        <v>391</v>
      </c>
      <c r="U59" s="1">
        <v>46149</v>
      </c>
    </row>
    <row r="60" spans="1:28" x14ac:dyDescent="0.3">
      <c r="A60" t="s">
        <v>356</v>
      </c>
      <c r="B60" s="40">
        <v>2015550187001</v>
      </c>
      <c r="C60" t="s">
        <v>184</v>
      </c>
      <c r="D60" s="62">
        <f t="shared" si="1"/>
        <v>7297</v>
      </c>
      <c r="E60" s="1">
        <v>46150</v>
      </c>
      <c r="F60" s="41">
        <v>1600</v>
      </c>
      <c r="G60" s="60">
        <v>0</v>
      </c>
      <c r="H60" t="s">
        <v>65</v>
      </c>
      <c r="I60" t="s">
        <v>66</v>
      </c>
      <c r="J60" t="s">
        <v>365</v>
      </c>
      <c r="K60" t="s">
        <v>67</v>
      </c>
      <c r="N60" t="s">
        <v>458</v>
      </c>
      <c r="O60" t="s">
        <v>369</v>
      </c>
      <c r="Q60" t="s">
        <v>459</v>
      </c>
      <c r="T60" s="56" t="s">
        <v>460</v>
      </c>
      <c r="U60" s="1">
        <v>46150</v>
      </c>
      <c r="V60" t="s">
        <v>68</v>
      </c>
      <c r="W60" t="s">
        <v>69</v>
      </c>
    </row>
    <row r="61" spans="1:28" x14ac:dyDescent="0.3">
      <c r="A61" t="s">
        <v>356</v>
      </c>
      <c r="B61" s="40">
        <v>2015550187001</v>
      </c>
      <c r="C61" t="s">
        <v>184</v>
      </c>
      <c r="D61" s="62">
        <f t="shared" si="1"/>
        <v>7201</v>
      </c>
      <c r="E61" s="1">
        <v>46150</v>
      </c>
      <c r="F61" s="41">
        <v>0</v>
      </c>
      <c r="G61" s="60">
        <v>96</v>
      </c>
      <c r="H61" t="s">
        <v>63</v>
      </c>
      <c r="I61" t="s">
        <v>36</v>
      </c>
      <c r="J61" t="s">
        <v>64</v>
      </c>
      <c r="K61" t="s">
        <v>408</v>
      </c>
      <c r="L61" t="s">
        <v>391</v>
      </c>
      <c r="U61" s="1">
        <v>46150</v>
      </c>
    </row>
    <row r="62" spans="1:28" x14ac:dyDescent="0.3">
      <c r="A62" t="s">
        <v>356</v>
      </c>
      <c r="B62" s="40">
        <v>2015550187001</v>
      </c>
      <c r="C62" t="s">
        <v>184</v>
      </c>
      <c r="D62" s="62">
        <f t="shared" si="1"/>
        <v>8626</v>
      </c>
      <c r="E62" s="1">
        <v>46151</v>
      </c>
      <c r="F62" s="41">
        <v>1425</v>
      </c>
      <c r="G62" s="60">
        <v>0</v>
      </c>
      <c r="H62" t="s">
        <v>373</v>
      </c>
      <c r="I62" t="s">
        <v>66</v>
      </c>
      <c r="J62" t="s">
        <v>365</v>
      </c>
      <c r="K62" t="s">
        <v>374</v>
      </c>
      <c r="U62" s="1">
        <v>46151</v>
      </c>
      <c r="V62" t="s">
        <v>413</v>
      </c>
      <c r="W62" t="s">
        <v>400</v>
      </c>
      <c r="AB62" t="s">
        <v>414</v>
      </c>
    </row>
    <row r="63" spans="1:28" x14ac:dyDescent="0.3">
      <c r="A63" t="s">
        <v>356</v>
      </c>
      <c r="B63" s="40">
        <v>2015550187001</v>
      </c>
      <c r="C63" t="s">
        <v>184</v>
      </c>
      <c r="D63" s="62">
        <f t="shared" si="1"/>
        <v>8576</v>
      </c>
      <c r="E63" s="1">
        <v>46151</v>
      </c>
      <c r="F63" s="41">
        <v>0</v>
      </c>
      <c r="G63" s="60">
        <v>50</v>
      </c>
      <c r="H63" t="s">
        <v>63</v>
      </c>
      <c r="I63" t="s">
        <v>36</v>
      </c>
      <c r="J63" t="s">
        <v>64</v>
      </c>
      <c r="K63" t="s">
        <v>411</v>
      </c>
      <c r="L63" t="s">
        <v>391</v>
      </c>
      <c r="U63" s="1">
        <v>46151</v>
      </c>
    </row>
    <row r="64" spans="1:28" x14ac:dyDescent="0.3">
      <c r="A64" t="s">
        <v>356</v>
      </c>
      <c r="B64" s="40">
        <v>2015550187001</v>
      </c>
      <c r="C64" t="s">
        <v>184</v>
      </c>
      <c r="D64" s="62">
        <f t="shared" si="1"/>
        <v>8449</v>
      </c>
      <c r="E64" s="1">
        <v>46151</v>
      </c>
      <c r="F64" s="41">
        <v>0</v>
      </c>
      <c r="G64" s="60">
        <v>127</v>
      </c>
      <c r="H64" t="s">
        <v>63</v>
      </c>
      <c r="I64" t="s">
        <v>36</v>
      </c>
      <c r="J64" t="s">
        <v>64</v>
      </c>
      <c r="K64" t="s">
        <v>412</v>
      </c>
      <c r="L64" t="s">
        <v>391</v>
      </c>
      <c r="U64" s="1">
        <v>46151</v>
      </c>
    </row>
    <row r="65" spans="1:28" x14ac:dyDescent="0.3">
      <c r="A65" t="s">
        <v>356</v>
      </c>
      <c r="B65" s="40">
        <v>2015550187001</v>
      </c>
      <c r="C65" t="s">
        <v>184</v>
      </c>
      <c r="D65" s="62">
        <f t="shared" si="1"/>
        <v>5649</v>
      </c>
      <c r="E65" s="1">
        <v>46152</v>
      </c>
      <c r="F65" s="41">
        <v>0</v>
      </c>
      <c r="G65" s="60">
        <v>2800</v>
      </c>
      <c r="H65" t="s">
        <v>373</v>
      </c>
      <c r="I65" t="s">
        <v>36</v>
      </c>
      <c r="J65" t="s">
        <v>379</v>
      </c>
      <c r="K65" t="s">
        <v>461</v>
      </c>
      <c r="U65" s="1">
        <v>46152</v>
      </c>
      <c r="V65" t="s">
        <v>356</v>
      </c>
      <c r="W65" t="s">
        <v>81</v>
      </c>
      <c r="X65">
        <v>2015550187001</v>
      </c>
      <c r="Y65" t="s">
        <v>462</v>
      </c>
      <c r="Z65" t="s">
        <v>382</v>
      </c>
      <c r="AB65" t="s">
        <v>461</v>
      </c>
    </row>
    <row r="66" spans="1:28" x14ac:dyDescent="0.3">
      <c r="A66" t="s">
        <v>356</v>
      </c>
      <c r="B66" s="40">
        <v>2015550187001</v>
      </c>
      <c r="C66" t="s">
        <v>184</v>
      </c>
      <c r="D66" s="62">
        <f t="shared" si="1"/>
        <v>7249</v>
      </c>
      <c r="E66" s="1">
        <v>46153</v>
      </c>
      <c r="F66" s="41">
        <v>1600</v>
      </c>
      <c r="G66" s="60">
        <v>0</v>
      </c>
      <c r="H66" t="s">
        <v>65</v>
      </c>
      <c r="I66" t="s">
        <v>66</v>
      </c>
      <c r="J66" t="s">
        <v>365</v>
      </c>
      <c r="K66" t="s">
        <v>73</v>
      </c>
      <c r="N66" t="s">
        <v>463</v>
      </c>
      <c r="O66" t="s">
        <v>369</v>
      </c>
      <c r="Q66" t="s">
        <v>464</v>
      </c>
      <c r="R66" t="s">
        <v>74</v>
      </c>
      <c r="T66" s="56" t="s">
        <v>465</v>
      </c>
      <c r="U66" s="1">
        <v>46153</v>
      </c>
      <c r="V66" t="s">
        <v>68</v>
      </c>
      <c r="W66" t="s">
        <v>69</v>
      </c>
    </row>
    <row r="67" spans="1:28" x14ac:dyDescent="0.3">
      <c r="A67" t="s">
        <v>356</v>
      </c>
      <c r="B67" s="40">
        <v>2015550187001</v>
      </c>
      <c r="C67" t="s">
        <v>184</v>
      </c>
      <c r="D67" s="62">
        <f t="shared" ref="D67:D98" si="2">D66+F67-G67</f>
        <v>7524</v>
      </c>
      <c r="E67" s="1">
        <v>46155</v>
      </c>
      <c r="F67" s="41">
        <v>275</v>
      </c>
      <c r="G67" s="60">
        <v>0</v>
      </c>
      <c r="H67" t="s">
        <v>364</v>
      </c>
      <c r="I67" t="s">
        <v>66</v>
      </c>
      <c r="J67" t="s">
        <v>365</v>
      </c>
      <c r="K67" t="s">
        <v>366</v>
      </c>
      <c r="U67" s="1">
        <v>46155</v>
      </c>
      <c r="V67" t="s">
        <v>372</v>
      </c>
      <c r="W67" t="s">
        <v>81</v>
      </c>
    </row>
    <row r="68" spans="1:28" x14ac:dyDescent="0.3">
      <c r="A68" t="s">
        <v>356</v>
      </c>
      <c r="B68" s="40">
        <v>2015550187001</v>
      </c>
      <c r="C68" t="s">
        <v>184</v>
      </c>
      <c r="D68" s="62">
        <f t="shared" si="2"/>
        <v>9274</v>
      </c>
      <c r="E68" s="1">
        <v>46157</v>
      </c>
      <c r="F68" s="41">
        <v>1750</v>
      </c>
      <c r="G68" s="60">
        <v>0</v>
      </c>
      <c r="H68" t="s">
        <v>65</v>
      </c>
      <c r="I68" t="s">
        <v>66</v>
      </c>
      <c r="J68" t="s">
        <v>365</v>
      </c>
      <c r="K68" t="s">
        <v>67</v>
      </c>
      <c r="N68" t="s">
        <v>466</v>
      </c>
      <c r="O68" t="s">
        <v>83</v>
      </c>
      <c r="Q68" t="s">
        <v>467</v>
      </c>
      <c r="T68" s="56" t="s">
        <v>468</v>
      </c>
      <c r="U68" s="1">
        <v>46157</v>
      </c>
      <c r="V68" t="s">
        <v>68</v>
      </c>
      <c r="W68" t="s">
        <v>69</v>
      </c>
    </row>
    <row r="69" spans="1:28" x14ac:dyDescent="0.3">
      <c r="A69" t="s">
        <v>356</v>
      </c>
      <c r="B69" s="40">
        <v>2015550187001</v>
      </c>
      <c r="C69" t="s">
        <v>184</v>
      </c>
      <c r="D69" s="62">
        <f t="shared" si="2"/>
        <v>9068</v>
      </c>
      <c r="E69" s="1">
        <v>46157</v>
      </c>
      <c r="F69" s="41">
        <v>0</v>
      </c>
      <c r="G69" s="60">
        <v>206</v>
      </c>
      <c r="H69" t="s">
        <v>63</v>
      </c>
      <c r="I69" t="s">
        <v>36</v>
      </c>
      <c r="J69" t="s">
        <v>64</v>
      </c>
      <c r="K69" t="s">
        <v>417</v>
      </c>
      <c r="L69" t="s">
        <v>391</v>
      </c>
      <c r="U69" s="1">
        <v>46157</v>
      </c>
    </row>
    <row r="70" spans="1:28" x14ac:dyDescent="0.3">
      <c r="A70" t="s">
        <v>356</v>
      </c>
      <c r="B70" s="40">
        <v>2015550187001</v>
      </c>
      <c r="C70" t="s">
        <v>184</v>
      </c>
      <c r="D70" s="62">
        <f t="shared" si="2"/>
        <v>10268</v>
      </c>
      <c r="E70" s="1">
        <v>46158</v>
      </c>
      <c r="F70" s="41">
        <v>1200</v>
      </c>
      <c r="G70" s="60">
        <v>0</v>
      </c>
      <c r="H70" t="s">
        <v>65</v>
      </c>
      <c r="I70" t="s">
        <v>66</v>
      </c>
      <c r="J70" t="s">
        <v>365</v>
      </c>
      <c r="K70" t="s">
        <v>73</v>
      </c>
      <c r="N70" t="s">
        <v>469</v>
      </c>
      <c r="O70" t="s">
        <v>83</v>
      </c>
      <c r="Q70" t="s">
        <v>470</v>
      </c>
      <c r="R70" t="s">
        <v>78</v>
      </c>
      <c r="T70" s="56" t="s">
        <v>471</v>
      </c>
      <c r="U70" s="1">
        <v>46158</v>
      </c>
      <c r="V70" t="s">
        <v>68</v>
      </c>
      <c r="W70" t="s">
        <v>69</v>
      </c>
    </row>
    <row r="71" spans="1:28" x14ac:dyDescent="0.3">
      <c r="A71" t="s">
        <v>356</v>
      </c>
      <c r="B71" s="40">
        <v>2015550187001</v>
      </c>
      <c r="C71" t="s">
        <v>184</v>
      </c>
      <c r="D71" s="62">
        <f t="shared" si="2"/>
        <v>10993</v>
      </c>
      <c r="E71" s="1">
        <v>46158</v>
      </c>
      <c r="F71" s="41">
        <v>725</v>
      </c>
      <c r="G71" s="60">
        <v>0</v>
      </c>
      <c r="H71" t="s">
        <v>364</v>
      </c>
      <c r="I71" t="s">
        <v>66</v>
      </c>
      <c r="J71" t="s">
        <v>365</v>
      </c>
      <c r="K71" t="s">
        <v>366</v>
      </c>
      <c r="U71" s="1">
        <v>46158</v>
      </c>
      <c r="V71" t="s">
        <v>378</v>
      </c>
      <c r="W71" t="s">
        <v>72</v>
      </c>
    </row>
    <row r="72" spans="1:28" x14ac:dyDescent="0.3">
      <c r="A72" t="s">
        <v>356</v>
      </c>
      <c r="B72" s="40">
        <v>2015550187001</v>
      </c>
      <c r="C72" t="s">
        <v>184</v>
      </c>
      <c r="D72" s="62">
        <f t="shared" si="2"/>
        <v>12493</v>
      </c>
      <c r="E72" s="1">
        <v>46159</v>
      </c>
      <c r="F72" s="41">
        <v>1500</v>
      </c>
      <c r="G72" s="60">
        <v>0</v>
      </c>
      <c r="H72" t="s">
        <v>373</v>
      </c>
      <c r="I72" t="s">
        <v>66</v>
      </c>
      <c r="J72" t="s">
        <v>365</v>
      </c>
      <c r="K72" t="s">
        <v>374</v>
      </c>
      <c r="U72" s="1">
        <v>46159</v>
      </c>
      <c r="V72" t="s">
        <v>375</v>
      </c>
      <c r="W72" t="s">
        <v>376</v>
      </c>
      <c r="AB72" t="s">
        <v>377</v>
      </c>
    </row>
    <row r="73" spans="1:28" x14ac:dyDescent="0.3">
      <c r="A73" t="s">
        <v>356</v>
      </c>
      <c r="B73" s="40">
        <v>2015550187001</v>
      </c>
      <c r="C73" t="s">
        <v>184</v>
      </c>
      <c r="D73" s="62">
        <f t="shared" si="2"/>
        <v>14093</v>
      </c>
      <c r="E73" s="1">
        <v>46160</v>
      </c>
      <c r="F73" s="41">
        <v>1600</v>
      </c>
      <c r="G73" s="60">
        <v>0</v>
      </c>
      <c r="H73" t="s">
        <v>65</v>
      </c>
      <c r="I73" t="s">
        <v>66</v>
      </c>
      <c r="J73" t="s">
        <v>365</v>
      </c>
      <c r="K73" t="s">
        <v>73</v>
      </c>
      <c r="N73" t="s">
        <v>368</v>
      </c>
      <c r="O73" t="s">
        <v>369</v>
      </c>
      <c r="Q73" t="s">
        <v>370</v>
      </c>
      <c r="R73" t="s">
        <v>74</v>
      </c>
      <c r="T73" s="56" t="s">
        <v>472</v>
      </c>
      <c r="U73" s="1">
        <v>46160</v>
      </c>
      <c r="V73" t="s">
        <v>68</v>
      </c>
      <c r="W73" t="s">
        <v>69</v>
      </c>
    </row>
    <row r="74" spans="1:28" x14ac:dyDescent="0.3">
      <c r="A74" t="s">
        <v>356</v>
      </c>
      <c r="B74" s="40">
        <v>2015550187001</v>
      </c>
      <c r="C74" t="s">
        <v>184</v>
      </c>
      <c r="D74" s="62">
        <f t="shared" si="2"/>
        <v>6093</v>
      </c>
      <c r="E74" s="1">
        <v>46160</v>
      </c>
      <c r="F74" s="41">
        <v>0</v>
      </c>
      <c r="G74" s="60">
        <v>8000</v>
      </c>
      <c r="H74" t="s">
        <v>37</v>
      </c>
      <c r="I74" t="s">
        <v>36</v>
      </c>
      <c r="J74" t="s">
        <v>393</v>
      </c>
      <c r="K74" t="s">
        <v>473</v>
      </c>
      <c r="U74" s="1">
        <v>46160</v>
      </c>
      <c r="V74" t="s">
        <v>356</v>
      </c>
      <c r="W74" t="s">
        <v>81</v>
      </c>
      <c r="X74">
        <v>2015550187001</v>
      </c>
      <c r="Y74" t="s">
        <v>474</v>
      </c>
      <c r="Z74" t="s">
        <v>475</v>
      </c>
      <c r="AA74" t="s">
        <v>476</v>
      </c>
      <c r="AB74" t="s">
        <v>477</v>
      </c>
    </row>
    <row r="75" spans="1:28" x14ac:dyDescent="0.3">
      <c r="A75" t="s">
        <v>356</v>
      </c>
      <c r="B75" s="40">
        <v>2015550187001</v>
      </c>
      <c r="C75" t="s">
        <v>184</v>
      </c>
      <c r="D75" s="62">
        <f t="shared" si="2"/>
        <v>7943</v>
      </c>
      <c r="E75" s="1">
        <v>46162</v>
      </c>
      <c r="F75" s="41">
        <v>1850</v>
      </c>
      <c r="G75" s="60">
        <v>0</v>
      </c>
      <c r="H75" t="s">
        <v>65</v>
      </c>
      <c r="I75" t="s">
        <v>66</v>
      </c>
      <c r="J75" t="s">
        <v>365</v>
      </c>
      <c r="K75" t="s">
        <v>67</v>
      </c>
      <c r="N75" t="s">
        <v>368</v>
      </c>
      <c r="O75" t="s">
        <v>369</v>
      </c>
      <c r="Q75" t="s">
        <v>383</v>
      </c>
      <c r="T75" s="56" t="s">
        <v>478</v>
      </c>
      <c r="U75" s="1">
        <v>46162</v>
      </c>
      <c r="V75" t="s">
        <v>68</v>
      </c>
      <c r="W75" t="s">
        <v>69</v>
      </c>
    </row>
    <row r="76" spans="1:28" x14ac:dyDescent="0.3">
      <c r="A76" t="s">
        <v>356</v>
      </c>
      <c r="B76" s="40">
        <v>2015550187001</v>
      </c>
      <c r="C76" t="s">
        <v>184</v>
      </c>
      <c r="D76" s="62">
        <f t="shared" si="2"/>
        <v>8493</v>
      </c>
      <c r="E76" s="1">
        <v>46162</v>
      </c>
      <c r="F76" s="41">
        <v>550</v>
      </c>
      <c r="G76" s="60">
        <v>0</v>
      </c>
      <c r="H76" t="s">
        <v>364</v>
      </c>
      <c r="I76" t="s">
        <v>66</v>
      </c>
      <c r="J76" t="s">
        <v>365</v>
      </c>
      <c r="K76" t="s">
        <v>366</v>
      </c>
      <c r="U76" s="1">
        <v>46162</v>
      </c>
      <c r="V76" t="s">
        <v>385</v>
      </c>
      <c r="W76" t="s">
        <v>77</v>
      </c>
    </row>
    <row r="77" spans="1:28" x14ac:dyDescent="0.3">
      <c r="A77" t="s">
        <v>356</v>
      </c>
      <c r="B77" s="40">
        <v>2015550187001</v>
      </c>
      <c r="C77" t="s">
        <v>184</v>
      </c>
      <c r="D77" s="62">
        <f t="shared" si="2"/>
        <v>6293</v>
      </c>
      <c r="E77" s="1">
        <v>46162</v>
      </c>
      <c r="F77" s="41">
        <v>0</v>
      </c>
      <c r="G77" s="60">
        <v>2200</v>
      </c>
      <c r="H77" t="s">
        <v>373</v>
      </c>
      <c r="I77" t="s">
        <v>36</v>
      </c>
      <c r="J77" t="s">
        <v>379</v>
      </c>
      <c r="K77" t="s">
        <v>479</v>
      </c>
      <c r="U77" s="1">
        <v>46162</v>
      </c>
      <c r="V77" t="s">
        <v>356</v>
      </c>
      <c r="W77" t="s">
        <v>81</v>
      </c>
      <c r="X77">
        <v>2015550187001</v>
      </c>
      <c r="Y77" t="s">
        <v>480</v>
      </c>
      <c r="Z77" t="s">
        <v>382</v>
      </c>
      <c r="AB77" t="s">
        <v>479</v>
      </c>
    </row>
    <row r="78" spans="1:28" x14ac:dyDescent="0.3">
      <c r="A78" t="s">
        <v>356</v>
      </c>
      <c r="B78" s="40">
        <v>2015550187001</v>
      </c>
      <c r="C78" t="s">
        <v>184</v>
      </c>
      <c r="D78" s="62">
        <f t="shared" si="2"/>
        <v>6276</v>
      </c>
      <c r="E78" s="1">
        <v>46163</v>
      </c>
      <c r="F78" s="41">
        <v>0</v>
      </c>
      <c r="G78" s="60">
        <v>17</v>
      </c>
      <c r="H78" t="s">
        <v>63</v>
      </c>
      <c r="I78" t="s">
        <v>36</v>
      </c>
      <c r="J78" t="s">
        <v>64</v>
      </c>
      <c r="K78" t="s">
        <v>419</v>
      </c>
      <c r="L78" t="s">
        <v>391</v>
      </c>
      <c r="U78" s="1">
        <v>46163</v>
      </c>
    </row>
    <row r="79" spans="1:28" x14ac:dyDescent="0.3">
      <c r="A79" t="s">
        <v>356</v>
      </c>
      <c r="B79" s="40">
        <v>2015550187001</v>
      </c>
      <c r="C79" t="s">
        <v>184</v>
      </c>
      <c r="D79" s="62">
        <f t="shared" si="2"/>
        <v>7276</v>
      </c>
      <c r="E79" s="1">
        <v>46165</v>
      </c>
      <c r="F79" s="41">
        <v>1000</v>
      </c>
      <c r="G79" s="60">
        <v>0</v>
      </c>
      <c r="H79" t="s">
        <v>65</v>
      </c>
      <c r="I79" t="s">
        <v>66</v>
      </c>
      <c r="J79" t="s">
        <v>365</v>
      </c>
      <c r="K79" t="s">
        <v>67</v>
      </c>
      <c r="N79" t="s">
        <v>386</v>
      </c>
      <c r="O79" t="s">
        <v>369</v>
      </c>
      <c r="Q79" t="s">
        <v>387</v>
      </c>
      <c r="T79" s="56" t="s">
        <v>481</v>
      </c>
      <c r="U79" s="1">
        <v>46165</v>
      </c>
      <c r="V79" t="s">
        <v>68</v>
      </c>
      <c r="W79" t="s">
        <v>69</v>
      </c>
    </row>
    <row r="80" spans="1:28" x14ac:dyDescent="0.3">
      <c r="A80" t="s">
        <v>356</v>
      </c>
      <c r="B80" s="40">
        <v>2015550187001</v>
      </c>
      <c r="C80" t="s">
        <v>184</v>
      </c>
      <c r="D80" s="62">
        <f t="shared" si="2"/>
        <v>4076</v>
      </c>
      <c r="E80" s="1">
        <v>46165</v>
      </c>
      <c r="F80" s="41">
        <v>0</v>
      </c>
      <c r="G80" s="60">
        <v>3200</v>
      </c>
      <c r="H80" t="s">
        <v>373</v>
      </c>
      <c r="I80" t="s">
        <v>36</v>
      </c>
      <c r="J80" t="s">
        <v>379</v>
      </c>
      <c r="K80" t="s">
        <v>482</v>
      </c>
      <c r="U80" s="1">
        <v>46165</v>
      </c>
      <c r="V80" t="s">
        <v>356</v>
      </c>
      <c r="W80" t="s">
        <v>81</v>
      </c>
      <c r="X80">
        <v>2015550187001</v>
      </c>
      <c r="Y80" t="s">
        <v>483</v>
      </c>
      <c r="Z80" t="s">
        <v>382</v>
      </c>
      <c r="AB80" t="s">
        <v>482</v>
      </c>
    </row>
    <row r="81" spans="1:28" x14ac:dyDescent="0.3">
      <c r="A81" t="s">
        <v>356</v>
      </c>
      <c r="B81" s="40">
        <v>2015550187001</v>
      </c>
      <c r="C81" t="s">
        <v>184</v>
      </c>
      <c r="D81" s="62">
        <f t="shared" si="2"/>
        <v>4901</v>
      </c>
      <c r="E81" s="1">
        <v>46166</v>
      </c>
      <c r="F81" s="41">
        <v>825</v>
      </c>
      <c r="G81" s="60">
        <v>0</v>
      </c>
      <c r="H81" t="s">
        <v>364</v>
      </c>
      <c r="I81" t="s">
        <v>66</v>
      </c>
      <c r="J81" t="s">
        <v>365</v>
      </c>
      <c r="K81" t="s">
        <v>366</v>
      </c>
      <c r="U81" s="1">
        <v>46166</v>
      </c>
      <c r="V81" t="s">
        <v>389</v>
      </c>
      <c r="W81" t="s">
        <v>80</v>
      </c>
    </row>
    <row r="82" spans="1:28" x14ac:dyDescent="0.3">
      <c r="A82" t="s">
        <v>356</v>
      </c>
      <c r="B82" s="40">
        <v>2015550187001</v>
      </c>
      <c r="C82" t="s">
        <v>184</v>
      </c>
      <c r="D82" s="62">
        <f t="shared" si="2"/>
        <v>5676</v>
      </c>
      <c r="E82" s="1">
        <v>46167</v>
      </c>
      <c r="F82" s="41">
        <v>775</v>
      </c>
      <c r="G82" s="60">
        <v>0</v>
      </c>
      <c r="H82" t="s">
        <v>364</v>
      </c>
      <c r="I82" t="s">
        <v>66</v>
      </c>
      <c r="J82" t="s">
        <v>365</v>
      </c>
      <c r="K82" t="s">
        <v>366</v>
      </c>
      <c r="U82" s="1">
        <v>46167</v>
      </c>
      <c r="V82" t="s">
        <v>392</v>
      </c>
      <c r="W82" t="s">
        <v>79</v>
      </c>
    </row>
    <row r="83" spans="1:28" x14ac:dyDescent="0.3">
      <c r="A83" t="s">
        <v>356</v>
      </c>
      <c r="B83" s="40">
        <v>2015550187001</v>
      </c>
      <c r="C83" t="s">
        <v>184</v>
      </c>
      <c r="D83" s="62">
        <f t="shared" si="2"/>
        <v>7226</v>
      </c>
      <c r="E83" s="1">
        <v>46169</v>
      </c>
      <c r="F83" s="41">
        <v>1550</v>
      </c>
      <c r="G83" s="60">
        <v>0</v>
      </c>
      <c r="H83" t="s">
        <v>65</v>
      </c>
      <c r="I83" t="s">
        <v>66</v>
      </c>
      <c r="J83" t="s">
        <v>365</v>
      </c>
      <c r="K83" t="s">
        <v>73</v>
      </c>
      <c r="N83" t="s">
        <v>430</v>
      </c>
      <c r="O83" t="s">
        <v>369</v>
      </c>
      <c r="Q83" t="s">
        <v>431</v>
      </c>
      <c r="R83" t="s">
        <v>78</v>
      </c>
      <c r="T83" s="56" t="s">
        <v>484</v>
      </c>
      <c r="U83" s="1">
        <v>46169</v>
      </c>
      <c r="V83" t="s">
        <v>68</v>
      </c>
      <c r="W83" t="s">
        <v>69</v>
      </c>
    </row>
    <row r="84" spans="1:28" x14ac:dyDescent="0.3">
      <c r="A84" t="s">
        <v>356</v>
      </c>
      <c r="B84" s="40">
        <v>2015550187001</v>
      </c>
      <c r="C84" t="s">
        <v>184</v>
      </c>
      <c r="D84" s="62">
        <f t="shared" si="2"/>
        <v>7192</v>
      </c>
      <c r="E84" s="1">
        <v>46169</v>
      </c>
      <c r="F84" s="41">
        <v>0</v>
      </c>
      <c r="G84" s="60">
        <v>34</v>
      </c>
      <c r="H84" t="s">
        <v>63</v>
      </c>
      <c r="I84" t="s">
        <v>36</v>
      </c>
      <c r="J84" t="s">
        <v>64</v>
      </c>
      <c r="K84" t="s">
        <v>420</v>
      </c>
      <c r="L84" t="s">
        <v>391</v>
      </c>
      <c r="U84" s="1">
        <v>46169</v>
      </c>
    </row>
    <row r="85" spans="1:28" x14ac:dyDescent="0.3">
      <c r="A85" t="s">
        <v>356</v>
      </c>
      <c r="B85" s="40">
        <v>2015550187001</v>
      </c>
      <c r="C85" t="s">
        <v>184</v>
      </c>
      <c r="D85" s="62">
        <f t="shared" si="2"/>
        <v>7110</v>
      </c>
      <c r="E85" s="1">
        <v>46169</v>
      </c>
      <c r="F85" s="41">
        <v>0</v>
      </c>
      <c r="G85" s="60">
        <v>82</v>
      </c>
      <c r="H85" t="s">
        <v>63</v>
      </c>
      <c r="I85" t="s">
        <v>36</v>
      </c>
      <c r="J85" t="s">
        <v>64</v>
      </c>
      <c r="K85" t="s">
        <v>427</v>
      </c>
      <c r="L85" t="s">
        <v>391</v>
      </c>
      <c r="U85" s="1">
        <v>46169</v>
      </c>
    </row>
    <row r="86" spans="1:28" x14ac:dyDescent="0.3">
      <c r="A86" t="s">
        <v>356</v>
      </c>
      <c r="B86" s="40">
        <v>2015550187001</v>
      </c>
      <c r="C86" t="s">
        <v>184</v>
      </c>
      <c r="D86" s="62">
        <f t="shared" si="2"/>
        <v>8260</v>
      </c>
      <c r="E86" s="1">
        <v>46170</v>
      </c>
      <c r="F86" s="41">
        <v>1150</v>
      </c>
      <c r="G86" s="60">
        <v>0</v>
      </c>
      <c r="H86" t="s">
        <v>65</v>
      </c>
      <c r="I86" t="s">
        <v>66</v>
      </c>
      <c r="J86" t="s">
        <v>365</v>
      </c>
      <c r="K86" t="s">
        <v>67</v>
      </c>
      <c r="N86" t="s">
        <v>451</v>
      </c>
      <c r="O86" t="s">
        <v>369</v>
      </c>
      <c r="Q86" t="s">
        <v>452</v>
      </c>
      <c r="T86" s="56" t="s">
        <v>485</v>
      </c>
      <c r="U86" s="1">
        <v>46170</v>
      </c>
      <c r="V86" t="s">
        <v>68</v>
      </c>
      <c r="W86" t="s">
        <v>69</v>
      </c>
    </row>
    <row r="87" spans="1:28" x14ac:dyDescent="0.3">
      <c r="A87" t="s">
        <v>356</v>
      </c>
      <c r="B87" s="40">
        <v>2015550187001</v>
      </c>
      <c r="C87" t="s">
        <v>184</v>
      </c>
      <c r="D87" s="62">
        <f t="shared" si="2"/>
        <v>8510</v>
      </c>
      <c r="E87" s="1">
        <v>46170</v>
      </c>
      <c r="F87" s="41">
        <v>250</v>
      </c>
      <c r="G87" s="60">
        <v>0</v>
      </c>
      <c r="H87" t="s">
        <v>364</v>
      </c>
      <c r="I87" t="s">
        <v>66</v>
      </c>
      <c r="J87" t="s">
        <v>365</v>
      </c>
      <c r="K87" t="s">
        <v>366</v>
      </c>
      <c r="U87" s="1">
        <v>46170</v>
      </c>
      <c r="V87" t="s">
        <v>402</v>
      </c>
      <c r="W87" t="s">
        <v>403</v>
      </c>
    </row>
    <row r="88" spans="1:28" x14ac:dyDescent="0.3">
      <c r="A88" t="s">
        <v>356</v>
      </c>
      <c r="B88" s="40">
        <v>2015550187001</v>
      </c>
      <c r="C88" t="s">
        <v>184</v>
      </c>
      <c r="D88" s="62">
        <f t="shared" si="2"/>
        <v>8493</v>
      </c>
      <c r="E88" s="1">
        <v>46170</v>
      </c>
      <c r="F88" s="41">
        <v>0</v>
      </c>
      <c r="G88" s="60">
        <v>17</v>
      </c>
      <c r="H88" t="s">
        <v>63</v>
      </c>
      <c r="I88" t="s">
        <v>36</v>
      </c>
      <c r="J88" t="s">
        <v>64</v>
      </c>
      <c r="K88" t="s">
        <v>428</v>
      </c>
      <c r="L88" t="s">
        <v>391</v>
      </c>
      <c r="U88" s="1">
        <v>46170</v>
      </c>
    </row>
    <row r="89" spans="1:28" x14ac:dyDescent="0.3">
      <c r="A89" t="s">
        <v>356</v>
      </c>
      <c r="B89" s="40">
        <v>2015550187001</v>
      </c>
      <c r="C89" t="s">
        <v>184</v>
      </c>
      <c r="D89" s="62">
        <f t="shared" si="2"/>
        <v>10943</v>
      </c>
      <c r="E89" s="1">
        <v>46172</v>
      </c>
      <c r="F89" s="41">
        <v>2450</v>
      </c>
      <c r="G89" s="60">
        <v>0</v>
      </c>
      <c r="H89" t="s">
        <v>65</v>
      </c>
      <c r="I89" t="s">
        <v>66</v>
      </c>
      <c r="J89" t="s">
        <v>365</v>
      </c>
      <c r="K89" t="s">
        <v>73</v>
      </c>
      <c r="N89" t="s">
        <v>455</v>
      </c>
      <c r="O89" t="s">
        <v>369</v>
      </c>
      <c r="Q89" t="s">
        <v>456</v>
      </c>
      <c r="R89" t="s">
        <v>82</v>
      </c>
      <c r="T89" s="56" t="s">
        <v>486</v>
      </c>
      <c r="U89" s="1">
        <v>46172</v>
      </c>
      <c r="V89" t="s">
        <v>68</v>
      </c>
      <c r="W89" t="s">
        <v>69</v>
      </c>
    </row>
    <row r="90" spans="1:28" x14ac:dyDescent="0.3">
      <c r="A90" t="s">
        <v>356</v>
      </c>
      <c r="B90" s="40">
        <v>2015550187001</v>
      </c>
      <c r="C90" t="s">
        <v>184</v>
      </c>
      <c r="D90" s="62">
        <f t="shared" si="2"/>
        <v>11793</v>
      </c>
      <c r="E90" s="1">
        <v>46173</v>
      </c>
      <c r="F90" s="41">
        <v>850</v>
      </c>
      <c r="G90" s="60">
        <v>0</v>
      </c>
      <c r="H90" t="s">
        <v>364</v>
      </c>
      <c r="I90" t="s">
        <v>66</v>
      </c>
      <c r="J90" t="s">
        <v>365</v>
      </c>
      <c r="K90" t="s">
        <v>366</v>
      </c>
      <c r="U90" s="1">
        <v>46173</v>
      </c>
      <c r="V90" t="s">
        <v>407</v>
      </c>
      <c r="W90" t="s">
        <v>76</v>
      </c>
    </row>
    <row r="91" spans="1:28" x14ac:dyDescent="0.3">
      <c r="A91" t="s">
        <v>356</v>
      </c>
      <c r="B91" s="40">
        <v>2015550187001</v>
      </c>
      <c r="C91" t="s">
        <v>184</v>
      </c>
      <c r="D91" s="62">
        <f t="shared" si="2"/>
        <v>13068</v>
      </c>
      <c r="E91" s="1">
        <v>46173</v>
      </c>
      <c r="F91" s="41">
        <v>1275</v>
      </c>
      <c r="G91" s="60">
        <v>0</v>
      </c>
      <c r="H91" t="s">
        <v>373</v>
      </c>
      <c r="I91" t="s">
        <v>66</v>
      </c>
      <c r="J91" t="s">
        <v>365</v>
      </c>
      <c r="K91" t="s">
        <v>374</v>
      </c>
      <c r="U91" s="1">
        <v>46173</v>
      </c>
      <c r="V91" t="s">
        <v>399</v>
      </c>
      <c r="W91" t="s">
        <v>400</v>
      </c>
      <c r="AB91" t="s">
        <v>401</v>
      </c>
    </row>
    <row r="92" spans="1:28" x14ac:dyDescent="0.3">
      <c r="A92" t="s">
        <v>356</v>
      </c>
      <c r="B92" s="40">
        <v>2015550187001</v>
      </c>
      <c r="C92" t="s">
        <v>184</v>
      </c>
      <c r="D92" s="62">
        <f t="shared" si="2"/>
        <v>4068</v>
      </c>
      <c r="E92" s="1">
        <v>46174</v>
      </c>
      <c r="F92" s="41">
        <v>0</v>
      </c>
      <c r="G92" s="60">
        <v>9000</v>
      </c>
      <c r="H92" t="s">
        <v>37</v>
      </c>
      <c r="I92" t="s">
        <v>36</v>
      </c>
      <c r="J92" t="s">
        <v>393</v>
      </c>
      <c r="K92" t="s">
        <v>487</v>
      </c>
      <c r="U92" s="1">
        <v>46174</v>
      </c>
      <c r="V92" t="s">
        <v>356</v>
      </c>
      <c r="W92" t="s">
        <v>81</v>
      </c>
      <c r="X92">
        <v>2015550187001</v>
      </c>
      <c r="Y92" t="s">
        <v>488</v>
      </c>
      <c r="Z92" t="s">
        <v>489</v>
      </c>
      <c r="AA92" t="s">
        <v>490</v>
      </c>
      <c r="AB92" t="s">
        <v>491</v>
      </c>
    </row>
    <row r="93" spans="1:28" x14ac:dyDescent="0.3">
      <c r="A93" t="s">
        <v>356</v>
      </c>
      <c r="B93" s="40">
        <v>2015550187001</v>
      </c>
      <c r="C93" t="s">
        <v>184</v>
      </c>
      <c r="D93" s="62">
        <f t="shared" si="2"/>
        <v>4568</v>
      </c>
      <c r="E93" s="1">
        <v>46175</v>
      </c>
      <c r="F93" s="41">
        <v>500</v>
      </c>
      <c r="G93" s="60">
        <v>0</v>
      </c>
      <c r="H93" t="s">
        <v>364</v>
      </c>
      <c r="I93" t="s">
        <v>66</v>
      </c>
      <c r="J93" t="s">
        <v>365</v>
      </c>
      <c r="K93" t="s">
        <v>366</v>
      </c>
      <c r="U93" s="1">
        <v>46175</v>
      </c>
      <c r="V93" t="s">
        <v>492</v>
      </c>
      <c r="W93" t="s">
        <v>440</v>
      </c>
    </row>
    <row r="94" spans="1:28" x14ac:dyDescent="0.3">
      <c r="A94" t="s">
        <v>356</v>
      </c>
      <c r="B94" s="40">
        <v>2015550187001</v>
      </c>
      <c r="C94" t="s">
        <v>184</v>
      </c>
      <c r="D94" s="62">
        <f t="shared" si="2"/>
        <v>5343</v>
      </c>
      <c r="E94" s="1">
        <v>46176</v>
      </c>
      <c r="F94" s="41">
        <v>775</v>
      </c>
      <c r="G94" s="60">
        <v>0</v>
      </c>
      <c r="H94" t="s">
        <v>364</v>
      </c>
      <c r="I94" t="s">
        <v>66</v>
      </c>
      <c r="J94" t="s">
        <v>365</v>
      </c>
      <c r="K94" t="s">
        <v>366</v>
      </c>
      <c r="U94" s="1">
        <v>46176</v>
      </c>
      <c r="V94" t="s">
        <v>415</v>
      </c>
      <c r="W94" t="s">
        <v>416</v>
      </c>
    </row>
    <row r="95" spans="1:28" x14ac:dyDescent="0.3">
      <c r="A95" t="s">
        <v>356</v>
      </c>
      <c r="B95" s="40">
        <v>2015550187001</v>
      </c>
      <c r="C95" t="s">
        <v>184</v>
      </c>
      <c r="D95" s="62">
        <f t="shared" si="2"/>
        <v>2843</v>
      </c>
      <c r="E95" s="1">
        <v>46176</v>
      </c>
      <c r="F95" s="41">
        <v>0</v>
      </c>
      <c r="G95" s="60">
        <v>2500</v>
      </c>
      <c r="H95" t="s">
        <v>373</v>
      </c>
      <c r="I95" t="s">
        <v>36</v>
      </c>
      <c r="J95" t="s">
        <v>379</v>
      </c>
      <c r="K95" t="s">
        <v>493</v>
      </c>
      <c r="U95" s="1">
        <v>46176</v>
      </c>
      <c r="V95" t="s">
        <v>356</v>
      </c>
      <c r="W95" t="s">
        <v>81</v>
      </c>
      <c r="X95">
        <v>2015550187001</v>
      </c>
      <c r="Y95" t="s">
        <v>494</v>
      </c>
      <c r="Z95" t="s">
        <v>382</v>
      </c>
      <c r="AB95" t="s">
        <v>493</v>
      </c>
    </row>
    <row r="96" spans="1:28" x14ac:dyDescent="0.3">
      <c r="A96" t="s">
        <v>356</v>
      </c>
      <c r="B96" s="40">
        <v>2015550187001</v>
      </c>
      <c r="C96" t="s">
        <v>184</v>
      </c>
      <c r="D96" s="62">
        <f t="shared" si="2"/>
        <v>2812</v>
      </c>
      <c r="E96" s="1">
        <v>46177</v>
      </c>
      <c r="F96" s="41">
        <v>0</v>
      </c>
      <c r="G96" s="60">
        <v>31</v>
      </c>
      <c r="H96" t="s">
        <v>63</v>
      </c>
      <c r="I96" t="s">
        <v>36</v>
      </c>
      <c r="J96" t="s">
        <v>64</v>
      </c>
      <c r="K96" t="s">
        <v>434</v>
      </c>
      <c r="L96" t="s">
        <v>391</v>
      </c>
      <c r="U96" s="1">
        <v>46177</v>
      </c>
    </row>
    <row r="97" spans="1:28" x14ac:dyDescent="0.3">
      <c r="A97" t="s">
        <v>356</v>
      </c>
      <c r="B97" s="40">
        <v>2015550187001</v>
      </c>
      <c r="C97" t="s">
        <v>184</v>
      </c>
      <c r="D97" s="62">
        <f t="shared" si="2"/>
        <v>2672</v>
      </c>
      <c r="E97" s="1">
        <v>46178</v>
      </c>
      <c r="F97" s="41">
        <v>0</v>
      </c>
      <c r="G97" s="60">
        <v>140</v>
      </c>
      <c r="H97" t="s">
        <v>63</v>
      </c>
      <c r="I97" t="s">
        <v>36</v>
      </c>
      <c r="J97" t="s">
        <v>64</v>
      </c>
      <c r="K97" t="s">
        <v>436</v>
      </c>
      <c r="L97" t="s">
        <v>391</v>
      </c>
      <c r="U97" s="1">
        <v>46178</v>
      </c>
    </row>
    <row r="98" spans="1:28" x14ac:dyDescent="0.3">
      <c r="A98" t="s">
        <v>356</v>
      </c>
      <c r="B98" s="40">
        <v>2015550187001</v>
      </c>
      <c r="C98" t="s">
        <v>184</v>
      </c>
      <c r="D98" s="62">
        <f t="shared" si="2"/>
        <v>2569</v>
      </c>
      <c r="E98" s="1">
        <v>46180</v>
      </c>
      <c r="F98" s="41">
        <v>0</v>
      </c>
      <c r="G98" s="60">
        <v>103</v>
      </c>
      <c r="H98" t="s">
        <v>63</v>
      </c>
      <c r="I98" t="s">
        <v>36</v>
      </c>
      <c r="J98" t="s">
        <v>64</v>
      </c>
      <c r="K98" t="s">
        <v>441</v>
      </c>
      <c r="L98" t="s">
        <v>391</v>
      </c>
      <c r="U98" s="1">
        <v>46180</v>
      </c>
    </row>
    <row r="99" spans="1:28" x14ac:dyDescent="0.3">
      <c r="A99" t="s">
        <v>356</v>
      </c>
      <c r="B99" s="40">
        <v>2015550187001</v>
      </c>
      <c r="C99" t="s">
        <v>184</v>
      </c>
      <c r="D99" s="62">
        <f t="shared" ref="D99:D130" si="3">D98+F99-G99</f>
        <v>2769</v>
      </c>
      <c r="E99" s="1">
        <v>46181</v>
      </c>
      <c r="F99" s="41">
        <v>200</v>
      </c>
      <c r="G99" s="60">
        <v>0</v>
      </c>
      <c r="H99" t="s">
        <v>364</v>
      </c>
      <c r="I99" t="s">
        <v>66</v>
      </c>
      <c r="J99" t="s">
        <v>365</v>
      </c>
      <c r="K99" t="s">
        <v>366</v>
      </c>
      <c r="U99" s="1">
        <v>46181</v>
      </c>
      <c r="V99" t="s">
        <v>418</v>
      </c>
      <c r="W99" t="s">
        <v>410</v>
      </c>
    </row>
    <row r="100" spans="1:28" x14ac:dyDescent="0.3">
      <c r="A100" t="s">
        <v>356</v>
      </c>
      <c r="B100" s="40">
        <v>2015550187001</v>
      </c>
      <c r="C100" t="s">
        <v>184</v>
      </c>
      <c r="D100" s="62">
        <f t="shared" si="3"/>
        <v>3594</v>
      </c>
      <c r="E100" s="1">
        <v>46181</v>
      </c>
      <c r="F100" s="41">
        <v>825</v>
      </c>
      <c r="G100" s="60">
        <v>0</v>
      </c>
      <c r="H100" t="s">
        <v>364</v>
      </c>
      <c r="I100" t="s">
        <v>66</v>
      </c>
      <c r="J100" t="s">
        <v>365</v>
      </c>
      <c r="K100" t="s">
        <v>366</v>
      </c>
      <c r="U100" s="1">
        <v>46181</v>
      </c>
      <c r="V100" t="s">
        <v>421</v>
      </c>
      <c r="W100" t="s">
        <v>422</v>
      </c>
    </row>
    <row r="101" spans="1:28" x14ac:dyDescent="0.3">
      <c r="A101" t="s">
        <v>356</v>
      </c>
      <c r="B101" s="40">
        <v>2015550187001</v>
      </c>
      <c r="C101" t="s">
        <v>184</v>
      </c>
      <c r="D101" s="62">
        <f t="shared" si="3"/>
        <v>3563</v>
      </c>
      <c r="E101" s="1">
        <v>46181</v>
      </c>
      <c r="F101" s="41">
        <v>0</v>
      </c>
      <c r="G101" s="60">
        <v>31</v>
      </c>
      <c r="H101" t="s">
        <v>63</v>
      </c>
      <c r="I101" t="s">
        <v>36</v>
      </c>
      <c r="J101" t="s">
        <v>64</v>
      </c>
      <c r="K101" t="s">
        <v>454</v>
      </c>
      <c r="L101" t="s">
        <v>391</v>
      </c>
      <c r="U101" s="1">
        <v>46181</v>
      </c>
    </row>
    <row r="102" spans="1:28" x14ac:dyDescent="0.3">
      <c r="A102" t="s">
        <v>356</v>
      </c>
      <c r="B102" s="40">
        <v>2015550187001</v>
      </c>
      <c r="C102" t="s">
        <v>184</v>
      </c>
      <c r="D102" s="62">
        <f t="shared" si="3"/>
        <v>4263</v>
      </c>
      <c r="E102" s="1">
        <v>46182</v>
      </c>
      <c r="F102" s="41">
        <v>700</v>
      </c>
      <c r="G102" s="60">
        <v>0</v>
      </c>
      <c r="H102" t="s">
        <v>364</v>
      </c>
      <c r="I102" t="s">
        <v>66</v>
      </c>
      <c r="J102" t="s">
        <v>365</v>
      </c>
      <c r="K102" t="s">
        <v>366</v>
      </c>
      <c r="U102" s="1">
        <v>46182</v>
      </c>
      <c r="V102" t="s">
        <v>423</v>
      </c>
      <c r="W102" t="s">
        <v>81</v>
      </c>
    </row>
    <row r="103" spans="1:28" x14ac:dyDescent="0.3">
      <c r="A103" t="s">
        <v>356</v>
      </c>
      <c r="B103" s="40">
        <v>2015550187001</v>
      </c>
      <c r="C103" t="s">
        <v>184</v>
      </c>
      <c r="D103" s="62">
        <f t="shared" si="3"/>
        <v>5488</v>
      </c>
      <c r="E103" s="1">
        <v>46182</v>
      </c>
      <c r="F103" s="41">
        <v>1225</v>
      </c>
      <c r="G103" s="60">
        <v>0</v>
      </c>
      <c r="H103" t="s">
        <v>373</v>
      </c>
      <c r="I103" t="s">
        <v>66</v>
      </c>
      <c r="J103" t="s">
        <v>365</v>
      </c>
      <c r="K103" t="s">
        <v>374</v>
      </c>
      <c r="U103" s="1">
        <v>46182</v>
      </c>
      <c r="V103" t="s">
        <v>413</v>
      </c>
      <c r="W103" t="s">
        <v>400</v>
      </c>
      <c r="AB103" t="s">
        <v>414</v>
      </c>
    </row>
    <row r="104" spans="1:28" x14ac:dyDescent="0.3">
      <c r="A104" t="s">
        <v>356</v>
      </c>
      <c r="B104" s="40">
        <v>2015550187001</v>
      </c>
      <c r="C104" t="s">
        <v>184</v>
      </c>
      <c r="D104" s="62">
        <f t="shared" si="3"/>
        <v>5348</v>
      </c>
      <c r="E104" s="1">
        <v>46184</v>
      </c>
      <c r="F104" s="41">
        <v>0</v>
      </c>
      <c r="G104" s="60">
        <v>140</v>
      </c>
      <c r="H104" t="s">
        <v>63</v>
      </c>
      <c r="I104" t="s">
        <v>36</v>
      </c>
      <c r="J104" t="s">
        <v>64</v>
      </c>
      <c r="K104" t="s">
        <v>390</v>
      </c>
      <c r="L104" t="s">
        <v>391</v>
      </c>
      <c r="U104" s="1">
        <v>46184</v>
      </c>
    </row>
    <row r="105" spans="1:28" x14ac:dyDescent="0.3">
      <c r="A105" t="s">
        <v>356</v>
      </c>
      <c r="B105" s="40">
        <v>2015550187001</v>
      </c>
      <c r="C105" t="s">
        <v>184</v>
      </c>
      <c r="D105" s="62">
        <f t="shared" si="3"/>
        <v>5723</v>
      </c>
      <c r="E105" s="1">
        <v>46185</v>
      </c>
      <c r="F105" s="41">
        <v>375</v>
      </c>
      <c r="G105" s="60">
        <v>0</v>
      </c>
      <c r="H105" t="s">
        <v>364</v>
      </c>
      <c r="I105" t="s">
        <v>66</v>
      </c>
      <c r="J105" t="s">
        <v>365</v>
      </c>
      <c r="K105" t="s">
        <v>366</v>
      </c>
      <c r="U105" s="1">
        <v>46185</v>
      </c>
      <c r="V105" t="s">
        <v>426</v>
      </c>
      <c r="W105" t="s">
        <v>72</v>
      </c>
    </row>
    <row r="106" spans="1:28" x14ac:dyDescent="0.3">
      <c r="A106" t="s">
        <v>356</v>
      </c>
      <c r="B106" s="40">
        <v>2015550187001</v>
      </c>
      <c r="C106" t="s">
        <v>184</v>
      </c>
      <c r="D106" s="62">
        <f t="shared" si="3"/>
        <v>2823</v>
      </c>
      <c r="E106" s="1">
        <v>46185</v>
      </c>
      <c r="F106" s="41">
        <v>0</v>
      </c>
      <c r="G106" s="60">
        <v>2900</v>
      </c>
      <c r="H106" t="s">
        <v>373</v>
      </c>
      <c r="I106" t="s">
        <v>36</v>
      </c>
      <c r="J106" t="s">
        <v>379</v>
      </c>
      <c r="K106" t="s">
        <v>495</v>
      </c>
      <c r="U106" s="1">
        <v>46185</v>
      </c>
      <c r="V106" t="s">
        <v>356</v>
      </c>
      <c r="W106" t="s">
        <v>81</v>
      </c>
      <c r="X106">
        <v>2015550187001</v>
      </c>
      <c r="Y106" t="s">
        <v>496</v>
      </c>
      <c r="Z106" t="s">
        <v>382</v>
      </c>
      <c r="AB106" t="s">
        <v>495</v>
      </c>
    </row>
    <row r="107" spans="1:28" x14ac:dyDescent="0.3">
      <c r="A107" t="s">
        <v>356</v>
      </c>
      <c r="B107" s="40">
        <v>2015550187001</v>
      </c>
      <c r="C107" t="s">
        <v>184</v>
      </c>
      <c r="D107" s="62">
        <f t="shared" si="3"/>
        <v>2784</v>
      </c>
      <c r="E107" s="1">
        <v>46185</v>
      </c>
      <c r="F107" s="41">
        <v>0</v>
      </c>
      <c r="G107" s="60">
        <v>39</v>
      </c>
      <c r="H107" t="s">
        <v>63</v>
      </c>
      <c r="I107" t="s">
        <v>36</v>
      </c>
      <c r="J107" t="s">
        <v>64</v>
      </c>
      <c r="K107" t="s">
        <v>75</v>
      </c>
      <c r="L107" t="s">
        <v>391</v>
      </c>
      <c r="U107" s="1">
        <v>46185</v>
      </c>
    </row>
    <row r="108" spans="1:28" x14ac:dyDescent="0.3">
      <c r="A108" t="s">
        <v>356</v>
      </c>
      <c r="B108" s="40">
        <v>2015550187001</v>
      </c>
      <c r="C108" t="s">
        <v>184</v>
      </c>
      <c r="D108" s="62">
        <f t="shared" si="3"/>
        <v>3034</v>
      </c>
      <c r="E108" s="1">
        <v>46189</v>
      </c>
      <c r="F108" s="41">
        <v>250</v>
      </c>
      <c r="G108" s="60">
        <v>0</v>
      </c>
      <c r="H108" t="s">
        <v>364</v>
      </c>
      <c r="I108" t="s">
        <v>66</v>
      </c>
      <c r="J108" t="s">
        <v>365</v>
      </c>
      <c r="K108" t="s">
        <v>366</v>
      </c>
      <c r="U108" s="1">
        <v>46189</v>
      </c>
      <c r="V108" t="s">
        <v>429</v>
      </c>
      <c r="W108" t="s">
        <v>80</v>
      </c>
    </row>
    <row r="109" spans="1:28" x14ac:dyDescent="0.3">
      <c r="A109" t="s">
        <v>356</v>
      </c>
      <c r="B109" s="40">
        <v>2015550187001</v>
      </c>
      <c r="C109" t="s">
        <v>184</v>
      </c>
      <c r="D109" s="62">
        <f t="shared" si="3"/>
        <v>3534</v>
      </c>
      <c r="E109" s="1">
        <v>46192</v>
      </c>
      <c r="F109" s="41">
        <v>500</v>
      </c>
      <c r="G109" s="60">
        <v>0</v>
      </c>
      <c r="H109" t="s">
        <v>70</v>
      </c>
      <c r="I109" t="s">
        <v>66</v>
      </c>
      <c r="J109" t="s">
        <v>365</v>
      </c>
      <c r="K109" t="s">
        <v>71</v>
      </c>
      <c r="U109" s="1">
        <v>46192</v>
      </c>
      <c r="V109" t="s">
        <v>497</v>
      </c>
      <c r="W109" t="s">
        <v>422</v>
      </c>
    </row>
    <row r="110" spans="1:28" x14ac:dyDescent="0.3">
      <c r="A110" t="s">
        <v>356</v>
      </c>
      <c r="B110" s="40">
        <v>2015550187001</v>
      </c>
      <c r="C110" t="s">
        <v>184</v>
      </c>
      <c r="D110" s="62">
        <f t="shared" si="3"/>
        <v>5684</v>
      </c>
      <c r="E110" s="1">
        <v>46195</v>
      </c>
      <c r="F110" s="41">
        <v>2150</v>
      </c>
      <c r="G110" s="60">
        <v>0</v>
      </c>
      <c r="H110" t="s">
        <v>65</v>
      </c>
      <c r="I110" t="s">
        <v>66</v>
      </c>
      <c r="J110" t="s">
        <v>365</v>
      </c>
      <c r="K110" t="s">
        <v>67</v>
      </c>
      <c r="N110" t="s">
        <v>458</v>
      </c>
      <c r="O110" t="s">
        <v>369</v>
      </c>
      <c r="Q110" t="s">
        <v>459</v>
      </c>
      <c r="T110" s="56" t="s">
        <v>498</v>
      </c>
      <c r="U110" s="1">
        <v>46195</v>
      </c>
      <c r="V110" t="s">
        <v>68</v>
      </c>
      <c r="W110" t="s">
        <v>69</v>
      </c>
    </row>
    <row r="111" spans="1:28" x14ac:dyDescent="0.3">
      <c r="A111" t="s">
        <v>356</v>
      </c>
      <c r="B111" s="40">
        <v>2015550187001</v>
      </c>
      <c r="C111" t="s">
        <v>184</v>
      </c>
      <c r="D111" s="62">
        <f t="shared" si="3"/>
        <v>6534</v>
      </c>
      <c r="E111" s="1">
        <v>46197</v>
      </c>
      <c r="F111" s="41">
        <v>850</v>
      </c>
      <c r="G111" s="60">
        <v>0</v>
      </c>
      <c r="H111" t="s">
        <v>364</v>
      </c>
      <c r="I111" t="s">
        <v>66</v>
      </c>
      <c r="J111" t="s">
        <v>365</v>
      </c>
      <c r="K111" t="s">
        <v>366</v>
      </c>
      <c r="U111" s="1">
        <v>46197</v>
      </c>
      <c r="V111" t="s">
        <v>435</v>
      </c>
      <c r="W111" t="s">
        <v>79</v>
      </c>
    </row>
    <row r="112" spans="1:28" x14ac:dyDescent="0.3">
      <c r="A112" t="s">
        <v>356</v>
      </c>
      <c r="B112" s="40">
        <v>2015550187001</v>
      </c>
      <c r="C112" t="s">
        <v>184</v>
      </c>
      <c r="D112" s="62">
        <f t="shared" si="3"/>
        <v>7684</v>
      </c>
      <c r="E112" s="1">
        <v>46197</v>
      </c>
      <c r="F112" s="41">
        <v>1150</v>
      </c>
      <c r="G112" s="60">
        <v>0</v>
      </c>
      <c r="H112" t="s">
        <v>373</v>
      </c>
      <c r="I112" t="s">
        <v>66</v>
      </c>
      <c r="J112" t="s">
        <v>365</v>
      </c>
      <c r="K112" t="s">
        <v>374</v>
      </c>
      <c r="U112" s="1">
        <v>46197</v>
      </c>
      <c r="V112" t="s">
        <v>375</v>
      </c>
      <c r="W112" t="s">
        <v>376</v>
      </c>
      <c r="AB112" t="s">
        <v>377</v>
      </c>
    </row>
    <row r="113" spans="1:28" x14ac:dyDescent="0.3">
      <c r="A113" t="s">
        <v>356</v>
      </c>
      <c r="B113" s="40">
        <v>2015550187001</v>
      </c>
      <c r="C113" t="s">
        <v>184</v>
      </c>
      <c r="D113" s="62">
        <f t="shared" si="3"/>
        <v>9734</v>
      </c>
      <c r="E113" s="1">
        <v>46199</v>
      </c>
      <c r="F113" s="41">
        <v>2050</v>
      </c>
      <c r="G113" s="60">
        <v>0</v>
      </c>
      <c r="H113" t="s">
        <v>65</v>
      </c>
      <c r="I113" t="s">
        <v>66</v>
      </c>
      <c r="J113" t="s">
        <v>365</v>
      </c>
      <c r="K113" t="s">
        <v>73</v>
      </c>
      <c r="N113" t="s">
        <v>463</v>
      </c>
      <c r="O113" t="s">
        <v>369</v>
      </c>
      <c r="Q113" t="s">
        <v>464</v>
      </c>
      <c r="R113" t="s">
        <v>74</v>
      </c>
      <c r="T113" s="56" t="s">
        <v>499</v>
      </c>
      <c r="U113" s="1">
        <v>46199</v>
      </c>
      <c r="V113" t="s">
        <v>68</v>
      </c>
      <c r="W113" t="s">
        <v>69</v>
      </c>
    </row>
    <row r="114" spans="1:28" x14ac:dyDescent="0.3">
      <c r="A114" t="s">
        <v>356</v>
      </c>
      <c r="B114" s="40">
        <v>2015550187001</v>
      </c>
      <c r="C114" t="s">
        <v>184</v>
      </c>
      <c r="D114" s="62">
        <f t="shared" si="3"/>
        <v>10409</v>
      </c>
      <c r="E114" s="1">
        <v>46199</v>
      </c>
      <c r="F114" s="41">
        <v>675</v>
      </c>
      <c r="G114" s="60">
        <v>0</v>
      </c>
      <c r="H114" t="s">
        <v>364</v>
      </c>
      <c r="I114" t="s">
        <v>66</v>
      </c>
      <c r="J114" t="s">
        <v>365</v>
      </c>
      <c r="K114" t="s">
        <v>366</v>
      </c>
      <c r="U114" s="1">
        <v>46199</v>
      </c>
      <c r="V114" t="s">
        <v>437</v>
      </c>
      <c r="W114" t="s">
        <v>77</v>
      </c>
    </row>
    <row r="115" spans="1:28" x14ac:dyDescent="0.3">
      <c r="A115" t="s">
        <v>356</v>
      </c>
      <c r="B115" s="40">
        <v>2015550187001</v>
      </c>
      <c r="C115" t="s">
        <v>184</v>
      </c>
      <c r="D115" s="62">
        <f t="shared" si="3"/>
        <v>10734</v>
      </c>
      <c r="E115" s="1">
        <v>46201</v>
      </c>
      <c r="F115" s="41">
        <v>325</v>
      </c>
      <c r="G115" s="60">
        <v>0</v>
      </c>
      <c r="H115" t="s">
        <v>364</v>
      </c>
      <c r="I115" t="s">
        <v>66</v>
      </c>
      <c r="J115" t="s">
        <v>365</v>
      </c>
      <c r="K115" t="s">
        <v>366</v>
      </c>
      <c r="U115" s="1">
        <v>46201</v>
      </c>
      <c r="V115" t="s">
        <v>438</v>
      </c>
      <c r="W115" t="s">
        <v>403</v>
      </c>
    </row>
    <row r="116" spans="1:28" x14ac:dyDescent="0.3">
      <c r="A116" t="s">
        <v>356</v>
      </c>
      <c r="B116" s="40">
        <v>2015550187001</v>
      </c>
      <c r="C116" t="s">
        <v>184</v>
      </c>
      <c r="D116" s="62">
        <f t="shared" si="3"/>
        <v>11209</v>
      </c>
      <c r="E116" s="1">
        <v>46202</v>
      </c>
      <c r="F116" s="41">
        <v>475</v>
      </c>
      <c r="G116" s="60">
        <v>0</v>
      </c>
      <c r="H116" t="s">
        <v>364</v>
      </c>
      <c r="I116" t="s">
        <v>66</v>
      </c>
      <c r="J116" t="s">
        <v>365</v>
      </c>
      <c r="K116" t="s">
        <v>366</v>
      </c>
      <c r="U116" s="1">
        <v>46202</v>
      </c>
      <c r="V116" t="s">
        <v>439</v>
      </c>
      <c r="W116" t="s">
        <v>440</v>
      </c>
    </row>
    <row r="117" spans="1:28" x14ac:dyDescent="0.3">
      <c r="A117" t="s">
        <v>356</v>
      </c>
      <c r="B117" s="40">
        <v>2015550187001</v>
      </c>
      <c r="C117" t="s">
        <v>184</v>
      </c>
      <c r="D117" s="62">
        <f t="shared" si="3"/>
        <v>2709</v>
      </c>
      <c r="E117" s="1">
        <v>46202</v>
      </c>
      <c r="F117" s="41">
        <v>0</v>
      </c>
      <c r="G117" s="60">
        <v>8500</v>
      </c>
      <c r="H117" t="s">
        <v>37</v>
      </c>
      <c r="I117" t="s">
        <v>36</v>
      </c>
      <c r="J117" t="s">
        <v>393</v>
      </c>
      <c r="K117" t="s">
        <v>500</v>
      </c>
      <c r="U117" s="1">
        <v>46202</v>
      </c>
      <c r="V117" t="s">
        <v>356</v>
      </c>
      <c r="W117" t="s">
        <v>81</v>
      </c>
      <c r="X117">
        <v>2015550187001</v>
      </c>
      <c r="Y117" t="s">
        <v>501</v>
      </c>
      <c r="Z117" t="s">
        <v>502</v>
      </c>
      <c r="AA117" t="s">
        <v>503</v>
      </c>
      <c r="AB117" t="s">
        <v>504</v>
      </c>
    </row>
    <row r="118" spans="1:28" x14ac:dyDescent="0.3">
      <c r="A118" t="s">
        <v>356</v>
      </c>
      <c r="B118" s="40">
        <v>2015550187001</v>
      </c>
      <c r="C118" t="s">
        <v>184</v>
      </c>
      <c r="D118" s="62">
        <f t="shared" si="3"/>
        <v>3584</v>
      </c>
      <c r="E118" s="1">
        <v>46203</v>
      </c>
      <c r="F118" s="41">
        <v>875</v>
      </c>
      <c r="G118" s="60">
        <v>0</v>
      </c>
      <c r="H118" t="s">
        <v>364</v>
      </c>
      <c r="I118" t="s">
        <v>66</v>
      </c>
      <c r="J118" t="s">
        <v>365</v>
      </c>
      <c r="K118" t="s">
        <v>366</v>
      </c>
      <c r="U118" s="1">
        <v>46203</v>
      </c>
      <c r="V118" t="s">
        <v>442</v>
      </c>
      <c r="W118" t="s">
        <v>76</v>
      </c>
    </row>
    <row r="119" spans="1:28" x14ac:dyDescent="0.3">
      <c r="A119" t="s">
        <v>356</v>
      </c>
      <c r="B119" s="40">
        <v>2015550187001</v>
      </c>
      <c r="C119" t="s">
        <v>184</v>
      </c>
      <c r="D119" s="62">
        <f t="shared" si="3"/>
        <v>5734</v>
      </c>
      <c r="E119" s="1">
        <v>46204</v>
      </c>
      <c r="F119" s="41">
        <v>2150</v>
      </c>
      <c r="G119" s="60">
        <v>0</v>
      </c>
      <c r="H119" t="s">
        <v>65</v>
      </c>
      <c r="I119" t="s">
        <v>66</v>
      </c>
      <c r="J119" t="s">
        <v>365</v>
      </c>
      <c r="K119" t="s">
        <v>67</v>
      </c>
      <c r="N119" t="s">
        <v>466</v>
      </c>
      <c r="O119" t="s">
        <v>83</v>
      </c>
      <c r="Q119" t="s">
        <v>467</v>
      </c>
      <c r="T119" s="56" t="s">
        <v>384</v>
      </c>
      <c r="U119" s="1">
        <v>46204</v>
      </c>
      <c r="V119" t="s">
        <v>68</v>
      </c>
      <c r="W119" t="s">
        <v>69</v>
      </c>
    </row>
    <row r="120" spans="1:28" x14ac:dyDescent="0.3">
      <c r="A120" t="s">
        <v>356</v>
      </c>
      <c r="B120" s="40">
        <v>2015550187001</v>
      </c>
      <c r="C120" t="s">
        <v>184</v>
      </c>
      <c r="D120" s="62">
        <f t="shared" si="3"/>
        <v>5536</v>
      </c>
      <c r="E120" s="1">
        <v>46204</v>
      </c>
      <c r="F120" s="41">
        <v>0</v>
      </c>
      <c r="G120" s="60">
        <v>198</v>
      </c>
      <c r="H120" t="s">
        <v>63</v>
      </c>
      <c r="I120" t="s">
        <v>36</v>
      </c>
      <c r="J120" t="s">
        <v>64</v>
      </c>
      <c r="K120" t="s">
        <v>406</v>
      </c>
      <c r="L120" t="s">
        <v>391</v>
      </c>
      <c r="U120" s="1">
        <v>46204</v>
      </c>
    </row>
    <row r="121" spans="1:28" x14ac:dyDescent="0.3">
      <c r="A121" t="s">
        <v>356</v>
      </c>
      <c r="B121" s="40">
        <v>2015550187001</v>
      </c>
      <c r="C121" t="s">
        <v>184</v>
      </c>
      <c r="D121" s="62">
        <f t="shared" si="3"/>
        <v>7086</v>
      </c>
      <c r="E121" s="1">
        <v>46205</v>
      </c>
      <c r="F121" s="41">
        <v>1550</v>
      </c>
      <c r="G121" s="60">
        <v>0</v>
      </c>
      <c r="H121" t="s">
        <v>65</v>
      </c>
      <c r="I121" t="s">
        <v>66</v>
      </c>
      <c r="J121" t="s">
        <v>365</v>
      </c>
      <c r="K121" t="s">
        <v>73</v>
      </c>
      <c r="N121" t="s">
        <v>469</v>
      </c>
      <c r="O121" t="s">
        <v>83</v>
      </c>
      <c r="Q121" t="s">
        <v>470</v>
      </c>
      <c r="R121" t="s">
        <v>78</v>
      </c>
      <c r="T121" s="56" t="s">
        <v>505</v>
      </c>
      <c r="U121" s="1">
        <v>46205</v>
      </c>
      <c r="V121" t="s">
        <v>68</v>
      </c>
      <c r="W121" t="s">
        <v>69</v>
      </c>
    </row>
    <row r="122" spans="1:28" x14ac:dyDescent="0.3">
      <c r="A122" t="s">
        <v>356</v>
      </c>
      <c r="B122" s="40">
        <v>2015550187001</v>
      </c>
      <c r="C122" t="s">
        <v>184</v>
      </c>
      <c r="D122" s="62">
        <f t="shared" si="3"/>
        <v>7586</v>
      </c>
      <c r="E122" s="1">
        <v>46205</v>
      </c>
      <c r="F122" s="41">
        <v>500</v>
      </c>
      <c r="G122" s="60">
        <v>0</v>
      </c>
      <c r="H122" t="s">
        <v>364</v>
      </c>
      <c r="I122" t="s">
        <v>66</v>
      </c>
      <c r="J122" t="s">
        <v>365</v>
      </c>
      <c r="K122" t="s">
        <v>366</v>
      </c>
      <c r="U122" s="1">
        <v>46205</v>
      </c>
      <c r="V122" t="s">
        <v>506</v>
      </c>
      <c r="W122" t="s">
        <v>80</v>
      </c>
    </row>
    <row r="123" spans="1:28" x14ac:dyDescent="0.3">
      <c r="A123" t="s">
        <v>356</v>
      </c>
      <c r="B123" s="40">
        <v>2015550187001</v>
      </c>
      <c r="C123" t="s">
        <v>184</v>
      </c>
      <c r="D123" s="62">
        <f t="shared" si="3"/>
        <v>9586</v>
      </c>
      <c r="E123" s="1">
        <v>46206</v>
      </c>
      <c r="F123" s="41">
        <v>2000</v>
      </c>
      <c r="G123" s="60">
        <v>0</v>
      </c>
      <c r="H123" t="s">
        <v>65</v>
      </c>
      <c r="I123" t="s">
        <v>66</v>
      </c>
      <c r="J123" t="s">
        <v>365</v>
      </c>
      <c r="K123" t="s">
        <v>73</v>
      </c>
      <c r="N123" t="s">
        <v>368</v>
      </c>
      <c r="O123" t="s">
        <v>369</v>
      </c>
      <c r="Q123" t="s">
        <v>370</v>
      </c>
      <c r="R123" t="s">
        <v>74</v>
      </c>
      <c r="T123" s="56" t="s">
        <v>507</v>
      </c>
      <c r="U123" s="1">
        <v>46206</v>
      </c>
      <c r="V123" t="s">
        <v>68</v>
      </c>
      <c r="W123" t="s">
        <v>69</v>
      </c>
    </row>
    <row r="124" spans="1:28" x14ac:dyDescent="0.3">
      <c r="A124" t="s">
        <v>356</v>
      </c>
      <c r="B124" s="40">
        <v>2015550187001</v>
      </c>
      <c r="C124" t="s">
        <v>184</v>
      </c>
      <c r="D124" s="62">
        <f t="shared" si="3"/>
        <v>6486</v>
      </c>
      <c r="E124" s="1">
        <v>46206</v>
      </c>
      <c r="F124" s="41">
        <v>0</v>
      </c>
      <c r="G124" s="60">
        <v>3100</v>
      </c>
      <c r="H124" t="s">
        <v>373</v>
      </c>
      <c r="I124" t="s">
        <v>36</v>
      </c>
      <c r="J124" t="s">
        <v>379</v>
      </c>
      <c r="K124" t="s">
        <v>508</v>
      </c>
      <c r="U124" s="1">
        <v>46206</v>
      </c>
      <c r="V124" t="s">
        <v>356</v>
      </c>
      <c r="W124" t="s">
        <v>81</v>
      </c>
      <c r="X124">
        <v>2015550187001</v>
      </c>
      <c r="Y124" t="s">
        <v>509</v>
      </c>
      <c r="Z124" t="s">
        <v>382</v>
      </c>
      <c r="AB124" t="s">
        <v>508</v>
      </c>
    </row>
    <row r="125" spans="1:28" x14ac:dyDescent="0.3">
      <c r="A125" t="s">
        <v>356</v>
      </c>
      <c r="B125" s="40">
        <v>2015550187001</v>
      </c>
      <c r="C125" t="s">
        <v>184</v>
      </c>
      <c r="D125" s="62">
        <f t="shared" si="3"/>
        <v>3786</v>
      </c>
      <c r="E125" s="1">
        <v>46208</v>
      </c>
      <c r="F125" s="41">
        <v>0</v>
      </c>
      <c r="G125" s="60">
        <v>2700</v>
      </c>
      <c r="H125" t="s">
        <v>373</v>
      </c>
      <c r="I125" t="s">
        <v>36</v>
      </c>
      <c r="J125" t="s">
        <v>379</v>
      </c>
      <c r="K125" t="s">
        <v>510</v>
      </c>
      <c r="U125" s="1">
        <v>46208</v>
      </c>
      <c r="V125" t="s">
        <v>356</v>
      </c>
      <c r="W125" t="s">
        <v>81</v>
      </c>
      <c r="X125">
        <v>2015550187001</v>
      </c>
      <c r="Y125" t="s">
        <v>511</v>
      </c>
      <c r="Z125" t="s">
        <v>382</v>
      </c>
      <c r="AB125" t="s">
        <v>510</v>
      </c>
    </row>
    <row r="126" spans="1:28" x14ac:dyDescent="0.3">
      <c r="A126" t="s">
        <v>356</v>
      </c>
      <c r="B126" s="40">
        <v>2015550187001</v>
      </c>
      <c r="C126" t="s">
        <v>184</v>
      </c>
      <c r="D126" s="62">
        <f t="shared" si="3"/>
        <v>3697</v>
      </c>
      <c r="E126" s="1">
        <v>46208</v>
      </c>
      <c r="F126" s="41">
        <v>0</v>
      </c>
      <c r="G126" s="60">
        <v>89</v>
      </c>
      <c r="H126" t="s">
        <v>63</v>
      </c>
      <c r="I126" t="s">
        <v>36</v>
      </c>
      <c r="J126" t="s">
        <v>64</v>
      </c>
      <c r="K126" t="s">
        <v>408</v>
      </c>
      <c r="L126" t="s">
        <v>391</v>
      </c>
      <c r="U126" s="1">
        <v>46208</v>
      </c>
    </row>
    <row r="127" spans="1:28" x14ac:dyDescent="0.3">
      <c r="A127" t="s">
        <v>356</v>
      </c>
      <c r="B127" s="40">
        <v>2015550187001</v>
      </c>
      <c r="C127" t="s">
        <v>184</v>
      </c>
      <c r="D127" s="62">
        <f t="shared" si="3"/>
        <v>3640</v>
      </c>
      <c r="E127" s="1">
        <v>46208</v>
      </c>
      <c r="F127" s="41">
        <v>0</v>
      </c>
      <c r="G127" s="60">
        <v>57</v>
      </c>
      <c r="H127" t="s">
        <v>63</v>
      </c>
      <c r="I127" t="s">
        <v>36</v>
      </c>
      <c r="J127" t="s">
        <v>64</v>
      </c>
      <c r="K127" t="s">
        <v>411</v>
      </c>
      <c r="L127" t="s">
        <v>391</v>
      </c>
      <c r="U127" s="1">
        <v>46208</v>
      </c>
    </row>
    <row r="128" spans="1:28" x14ac:dyDescent="0.3">
      <c r="A128" t="s">
        <v>356</v>
      </c>
      <c r="B128" s="40">
        <v>2015550187001</v>
      </c>
      <c r="C128" t="s">
        <v>184</v>
      </c>
      <c r="D128" s="62">
        <f t="shared" si="3"/>
        <v>4415</v>
      </c>
      <c r="E128" s="1">
        <v>46209</v>
      </c>
      <c r="F128" s="41">
        <v>775</v>
      </c>
      <c r="G128" s="60">
        <v>0</v>
      </c>
      <c r="H128" t="s">
        <v>364</v>
      </c>
      <c r="I128" t="s">
        <v>66</v>
      </c>
      <c r="J128" t="s">
        <v>365</v>
      </c>
      <c r="K128" t="s">
        <v>366</v>
      </c>
      <c r="U128" s="1">
        <v>46209</v>
      </c>
      <c r="V128" t="s">
        <v>367</v>
      </c>
      <c r="W128" t="s">
        <v>76</v>
      </c>
    </row>
    <row r="129" spans="1:28" x14ac:dyDescent="0.3">
      <c r="A129" t="s">
        <v>356</v>
      </c>
      <c r="B129" s="40">
        <v>2015550187001</v>
      </c>
      <c r="C129" t="s">
        <v>184</v>
      </c>
      <c r="D129" s="62">
        <f t="shared" si="3"/>
        <v>5015</v>
      </c>
      <c r="E129" s="1">
        <v>46211</v>
      </c>
      <c r="F129" s="41">
        <v>600</v>
      </c>
      <c r="G129" s="60">
        <v>0</v>
      </c>
      <c r="H129" t="s">
        <v>364</v>
      </c>
      <c r="I129" t="s">
        <v>66</v>
      </c>
      <c r="J129" t="s">
        <v>365</v>
      </c>
      <c r="K129" t="s">
        <v>366</v>
      </c>
      <c r="U129" s="1">
        <v>46211</v>
      </c>
      <c r="V129" t="s">
        <v>372</v>
      </c>
      <c r="W129" t="s">
        <v>81</v>
      </c>
    </row>
    <row r="130" spans="1:28" x14ac:dyDescent="0.3">
      <c r="A130" t="s">
        <v>356</v>
      </c>
      <c r="B130" s="40">
        <v>2015550187001</v>
      </c>
      <c r="C130" t="s">
        <v>184</v>
      </c>
      <c r="D130" s="62">
        <f t="shared" si="3"/>
        <v>5440</v>
      </c>
      <c r="E130" s="1">
        <v>46212</v>
      </c>
      <c r="F130" s="41">
        <v>425</v>
      </c>
      <c r="G130" s="60">
        <v>0</v>
      </c>
      <c r="H130" t="s">
        <v>364</v>
      </c>
      <c r="I130" t="s">
        <v>66</v>
      </c>
      <c r="J130" t="s">
        <v>365</v>
      </c>
      <c r="K130" t="s">
        <v>366</v>
      </c>
      <c r="U130" s="1">
        <v>46212</v>
      </c>
      <c r="V130" t="s">
        <v>378</v>
      </c>
      <c r="W130" t="s">
        <v>72</v>
      </c>
    </row>
    <row r="131" spans="1:28" x14ac:dyDescent="0.3">
      <c r="A131" t="s">
        <v>356</v>
      </c>
      <c r="B131" s="40">
        <v>2015550187001</v>
      </c>
      <c r="C131" t="s">
        <v>184</v>
      </c>
      <c r="D131" s="62">
        <f t="shared" ref="D131:D162" si="4">D130+F131-G131</f>
        <v>6740</v>
      </c>
      <c r="E131" s="1">
        <v>46212</v>
      </c>
      <c r="F131" s="41">
        <v>1300</v>
      </c>
      <c r="G131" s="60">
        <v>0</v>
      </c>
      <c r="H131" t="s">
        <v>373</v>
      </c>
      <c r="I131" t="s">
        <v>66</v>
      </c>
      <c r="J131" t="s">
        <v>365</v>
      </c>
      <c r="K131" t="s">
        <v>374</v>
      </c>
      <c r="U131" s="1">
        <v>46212</v>
      </c>
      <c r="V131" t="s">
        <v>399</v>
      </c>
      <c r="W131" t="s">
        <v>400</v>
      </c>
      <c r="AB131" t="s">
        <v>401</v>
      </c>
    </row>
    <row r="132" spans="1:28" x14ac:dyDescent="0.3">
      <c r="A132" t="s">
        <v>356</v>
      </c>
      <c r="B132" s="40">
        <v>2015550187001</v>
      </c>
      <c r="C132" t="s">
        <v>184</v>
      </c>
      <c r="D132" s="62">
        <f t="shared" si="4"/>
        <v>8490</v>
      </c>
      <c r="E132" s="1">
        <v>46214</v>
      </c>
      <c r="F132" s="41">
        <v>1750</v>
      </c>
      <c r="G132" s="60">
        <v>0</v>
      </c>
      <c r="H132" t="s">
        <v>65</v>
      </c>
      <c r="I132" t="s">
        <v>66</v>
      </c>
      <c r="J132" t="s">
        <v>365</v>
      </c>
      <c r="K132" t="s">
        <v>67</v>
      </c>
      <c r="N132" t="s">
        <v>368</v>
      </c>
      <c r="O132" t="s">
        <v>369</v>
      </c>
      <c r="Q132" t="s">
        <v>383</v>
      </c>
      <c r="T132" s="56" t="s">
        <v>512</v>
      </c>
      <c r="U132" s="1">
        <v>46214</v>
      </c>
      <c r="V132" t="s">
        <v>68</v>
      </c>
      <c r="W132" t="s">
        <v>69</v>
      </c>
    </row>
    <row r="133" spans="1:28" x14ac:dyDescent="0.3">
      <c r="A133" t="s">
        <v>356</v>
      </c>
      <c r="B133" s="40">
        <v>2015550187001</v>
      </c>
      <c r="C133" t="s">
        <v>184</v>
      </c>
      <c r="D133" s="62">
        <f t="shared" si="4"/>
        <v>9740</v>
      </c>
      <c r="E133" s="1">
        <v>46216</v>
      </c>
      <c r="F133" s="41">
        <v>1250</v>
      </c>
      <c r="G133" s="60">
        <v>0</v>
      </c>
      <c r="H133" t="s">
        <v>65</v>
      </c>
      <c r="I133" t="s">
        <v>66</v>
      </c>
      <c r="J133" t="s">
        <v>365</v>
      </c>
      <c r="K133" t="s">
        <v>67</v>
      </c>
      <c r="N133" t="s">
        <v>386</v>
      </c>
      <c r="O133" t="s">
        <v>369</v>
      </c>
      <c r="Q133" t="s">
        <v>387</v>
      </c>
      <c r="T133" s="56" t="s">
        <v>513</v>
      </c>
      <c r="U133" s="1">
        <v>46216</v>
      </c>
      <c r="V133" t="s">
        <v>68</v>
      </c>
      <c r="W133" t="s">
        <v>69</v>
      </c>
    </row>
    <row r="134" spans="1:28" x14ac:dyDescent="0.3">
      <c r="A134" t="s">
        <v>356</v>
      </c>
      <c r="B134" s="40">
        <v>2015550187001</v>
      </c>
      <c r="C134" t="s">
        <v>184</v>
      </c>
      <c r="D134" s="62">
        <f t="shared" si="4"/>
        <v>10515</v>
      </c>
      <c r="E134" s="1">
        <v>46216</v>
      </c>
      <c r="F134" s="41">
        <v>775</v>
      </c>
      <c r="G134" s="60">
        <v>0</v>
      </c>
      <c r="H134" t="s">
        <v>364</v>
      </c>
      <c r="I134" t="s">
        <v>66</v>
      </c>
      <c r="J134" t="s">
        <v>365</v>
      </c>
      <c r="K134" t="s">
        <v>366</v>
      </c>
      <c r="U134" s="1">
        <v>46216</v>
      </c>
      <c r="V134" t="s">
        <v>385</v>
      </c>
      <c r="W134" t="s">
        <v>77</v>
      </c>
    </row>
    <row r="135" spans="1:28" x14ac:dyDescent="0.3">
      <c r="A135" t="s">
        <v>356</v>
      </c>
      <c r="B135" s="40">
        <v>2015550187001</v>
      </c>
      <c r="C135" t="s">
        <v>184</v>
      </c>
      <c r="D135" s="62">
        <f t="shared" si="4"/>
        <v>1015</v>
      </c>
      <c r="E135" s="1">
        <v>46218</v>
      </c>
      <c r="F135" s="41">
        <v>0</v>
      </c>
      <c r="G135" s="60">
        <v>9500</v>
      </c>
      <c r="H135" t="s">
        <v>37</v>
      </c>
      <c r="I135" t="s">
        <v>36</v>
      </c>
      <c r="J135" t="s">
        <v>393</v>
      </c>
      <c r="K135" t="s">
        <v>514</v>
      </c>
      <c r="U135" s="1">
        <v>46218</v>
      </c>
      <c r="V135" t="s">
        <v>356</v>
      </c>
      <c r="W135" t="s">
        <v>81</v>
      </c>
      <c r="X135">
        <v>2015550187001</v>
      </c>
      <c r="Y135" t="s">
        <v>515</v>
      </c>
      <c r="Z135" t="s">
        <v>516</v>
      </c>
      <c r="AA135" t="s">
        <v>517</v>
      </c>
      <c r="AB135" t="s">
        <v>518</v>
      </c>
    </row>
    <row r="136" spans="1:28" x14ac:dyDescent="0.3">
      <c r="A136" t="s">
        <v>356</v>
      </c>
      <c r="B136" s="40">
        <v>2015550187001</v>
      </c>
      <c r="C136" t="s">
        <v>184</v>
      </c>
      <c r="D136" s="62">
        <f t="shared" si="4"/>
        <v>895</v>
      </c>
      <c r="E136" s="1">
        <v>46218</v>
      </c>
      <c r="F136" s="41">
        <v>0</v>
      </c>
      <c r="G136" s="60">
        <v>120</v>
      </c>
      <c r="H136" t="s">
        <v>63</v>
      </c>
      <c r="I136" t="s">
        <v>36</v>
      </c>
      <c r="J136" t="s">
        <v>64</v>
      </c>
      <c r="K136" t="s">
        <v>412</v>
      </c>
      <c r="L136" t="s">
        <v>391</v>
      </c>
      <c r="U136" s="1">
        <v>46218</v>
      </c>
    </row>
    <row r="137" spans="1:28" x14ac:dyDescent="0.3">
      <c r="A137" t="s">
        <v>356</v>
      </c>
      <c r="B137" s="40">
        <v>2015550187001</v>
      </c>
      <c r="C137" t="s">
        <v>184</v>
      </c>
      <c r="D137" s="62">
        <f t="shared" si="4"/>
        <v>2595</v>
      </c>
      <c r="E137" s="1">
        <v>46220</v>
      </c>
      <c r="F137" s="41">
        <v>1700</v>
      </c>
      <c r="G137" s="60">
        <v>0</v>
      </c>
      <c r="H137" t="s">
        <v>65</v>
      </c>
      <c r="I137" t="s">
        <v>66</v>
      </c>
      <c r="J137" t="s">
        <v>365</v>
      </c>
      <c r="K137" t="s">
        <v>73</v>
      </c>
      <c r="N137" t="s">
        <v>430</v>
      </c>
      <c r="O137" t="s">
        <v>369</v>
      </c>
      <c r="Q137" t="s">
        <v>431</v>
      </c>
      <c r="R137" t="s">
        <v>78</v>
      </c>
      <c r="T137" s="56" t="s">
        <v>519</v>
      </c>
      <c r="U137" s="1">
        <v>46220</v>
      </c>
      <c r="V137" t="s">
        <v>68</v>
      </c>
      <c r="W137" t="s">
        <v>69</v>
      </c>
    </row>
    <row r="138" spans="1:28" x14ac:dyDescent="0.3">
      <c r="A138" t="s">
        <v>356</v>
      </c>
      <c r="B138" s="40">
        <v>2015550187001</v>
      </c>
      <c r="C138" t="s">
        <v>184</v>
      </c>
      <c r="D138" s="62">
        <f t="shared" si="4"/>
        <v>3420</v>
      </c>
      <c r="E138" s="1">
        <v>46220</v>
      </c>
      <c r="F138" s="41">
        <v>825</v>
      </c>
      <c r="G138" s="60">
        <v>0</v>
      </c>
      <c r="H138" t="s">
        <v>364</v>
      </c>
      <c r="I138" t="s">
        <v>66</v>
      </c>
      <c r="J138" t="s">
        <v>365</v>
      </c>
      <c r="K138" t="s">
        <v>366</v>
      </c>
      <c r="U138" s="1">
        <v>46220</v>
      </c>
      <c r="V138" t="s">
        <v>389</v>
      </c>
      <c r="W138" t="s">
        <v>80</v>
      </c>
    </row>
    <row r="139" spans="1:28" x14ac:dyDescent="0.3">
      <c r="A139" t="s">
        <v>356</v>
      </c>
      <c r="B139" s="40">
        <v>2015550187001</v>
      </c>
      <c r="C139" t="s">
        <v>184</v>
      </c>
      <c r="D139" s="62">
        <f t="shared" si="4"/>
        <v>3945</v>
      </c>
      <c r="E139" s="1">
        <v>46220</v>
      </c>
      <c r="F139" s="41">
        <v>525</v>
      </c>
      <c r="G139" s="60">
        <v>0</v>
      </c>
      <c r="H139" t="s">
        <v>364</v>
      </c>
      <c r="I139" t="s">
        <v>66</v>
      </c>
      <c r="J139" t="s">
        <v>365</v>
      </c>
      <c r="K139" t="s">
        <v>366</v>
      </c>
      <c r="U139" s="1">
        <v>46220</v>
      </c>
      <c r="V139" t="s">
        <v>392</v>
      </c>
      <c r="W139" t="s">
        <v>79</v>
      </c>
    </row>
    <row r="140" spans="1:28" x14ac:dyDescent="0.3">
      <c r="A140" t="s">
        <v>356</v>
      </c>
      <c r="B140" s="40">
        <v>2015550187001</v>
      </c>
      <c r="C140" t="s">
        <v>184</v>
      </c>
      <c r="D140" s="62">
        <f t="shared" si="4"/>
        <v>6095</v>
      </c>
      <c r="E140" s="1">
        <v>46223</v>
      </c>
      <c r="F140" s="41">
        <v>2150</v>
      </c>
      <c r="G140" s="60">
        <v>0</v>
      </c>
      <c r="H140" t="s">
        <v>65</v>
      </c>
      <c r="I140" t="s">
        <v>66</v>
      </c>
      <c r="J140" t="s">
        <v>365</v>
      </c>
      <c r="K140" t="s">
        <v>67</v>
      </c>
      <c r="N140" t="s">
        <v>451</v>
      </c>
      <c r="O140" t="s">
        <v>369</v>
      </c>
      <c r="Q140" t="s">
        <v>452</v>
      </c>
      <c r="T140" s="56" t="s">
        <v>520</v>
      </c>
      <c r="U140" s="1">
        <v>46223</v>
      </c>
      <c r="V140" t="s">
        <v>68</v>
      </c>
      <c r="W140" t="s">
        <v>69</v>
      </c>
    </row>
    <row r="141" spans="1:28" x14ac:dyDescent="0.3">
      <c r="A141" t="s">
        <v>356</v>
      </c>
      <c r="B141" s="40">
        <v>2015550187001</v>
      </c>
      <c r="C141" t="s">
        <v>184</v>
      </c>
      <c r="D141" s="62">
        <f t="shared" si="4"/>
        <v>6845</v>
      </c>
      <c r="E141" s="1">
        <v>46223</v>
      </c>
      <c r="F141" s="41">
        <v>750</v>
      </c>
      <c r="G141" s="60">
        <v>0</v>
      </c>
      <c r="H141" t="s">
        <v>364</v>
      </c>
      <c r="I141" t="s">
        <v>66</v>
      </c>
      <c r="J141" t="s">
        <v>365</v>
      </c>
      <c r="K141" t="s">
        <v>366</v>
      </c>
      <c r="U141" s="1">
        <v>46223</v>
      </c>
      <c r="V141" t="s">
        <v>402</v>
      </c>
      <c r="W141" t="s">
        <v>403</v>
      </c>
    </row>
    <row r="142" spans="1:28" x14ac:dyDescent="0.3">
      <c r="A142" t="s">
        <v>356</v>
      </c>
      <c r="B142" s="40">
        <v>2015550187001</v>
      </c>
      <c r="C142" t="s">
        <v>184</v>
      </c>
      <c r="D142" s="62">
        <f t="shared" si="4"/>
        <v>4245</v>
      </c>
      <c r="E142" s="1">
        <v>46223</v>
      </c>
      <c r="F142" s="41">
        <v>0</v>
      </c>
      <c r="G142" s="60">
        <v>2600</v>
      </c>
      <c r="H142" t="s">
        <v>373</v>
      </c>
      <c r="I142" t="s">
        <v>36</v>
      </c>
      <c r="J142" t="s">
        <v>379</v>
      </c>
      <c r="K142" t="s">
        <v>521</v>
      </c>
      <c r="U142" s="1">
        <v>46223</v>
      </c>
      <c r="V142" t="s">
        <v>356</v>
      </c>
      <c r="W142" t="s">
        <v>81</v>
      </c>
      <c r="X142">
        <v>2015550187001</v>
      </c>
      <c r="Y142" t="s">
        <v>522</v>
      </c>
      <c r="Z142" t="s">
        <v>382</v>
      </c>
      <c r="AB142" t="s">
        <v>521</v>
      </c>
    </row>
    <row r="143" spans="1:28" x14ac:dyDescent="0.3">
      <c r="A143" t="s">
        <v>356</v>
      </c>
      <c r="B143" s="40">
        <v>2015550187001</v>
      </c>
      <c r="C143" t="s">
        <v>184</v>
      </c>
      <c r="D143" s="62">
        <f t="shared" si="4"/>
        <v>5245</v>
      </c>
      <c r="E143" s="1">
        <v>46224</v>
      </c>
      <c r="F143" s="41">
        <v>1000</v>
      </c>
      <c r="G143" s="60">
        <v>0</v>
      </c>
      <c r="H143" t="s">
        <v>65</v>
      </c>
      <c r="I143" t="s">
        <v>66</v>
      </c>
      <c r="J143" t="s">
        <v>365</v>
      </c>
      <c r="K143" t="s">
        <v>73</v>
      </c>
      <c r="N143" t="s">
        <v>455</v>
      </c>
      <c r="O143" t="s">
        <v>369</v>
      </c>
      <c r="Q143" t="s">
        <v>456</v>
      </c>
      <c r="R143" t="s">
        <v>82</v>
      </c>
      <c r="T143" s="56" t="s">
        <v>523</v>
      </c>
      <c r="U143" s="1">
        <v>46224</v>
      </c>
      <c r="V143" t="s">
        <v>68</v>
      </c>
      <c r="W143" t="s">
        <v>69</v>
      </c>
    </row>
    <row r="144" spans="1:28" x14ac:dyDescent="0.3">
      <c r="A144" t="s">
        <v>356</v>
      </c>
      <c r="B144" s="40">
        <v>2015550187001</v>
      </c>
      <c r="C144" t="s">
        <v>184</v>
      </c>
      <c r="D144" s="62">
        <f t="shared" si="4"/>
        <v>5670</v>
      </c>
      <c r="E144" s="1">
        <v>46224</v>
      </c>
      <c r="F144" s="41">
        <v>425</v>
      </c>
      <c r="G144" s="60">
        <v>0</v>
      </c>
      <c r="H144" t="s">
        <v>364</v>
      </c>
      <c r="I144" t="s">
        <v>66</v>
      </c>
      <c r="J144" t="s">
        <v>365</v>
      </c>
      <c r="K144" t="s">
        <v>366</v>
      </c>
      <c r="U144" s="1">
        <v>46224</v>
      </c>
      <c r="V144" t="s">
        <v>407</v>
      </c>
      <c r="W144" t="s">
        <v>76</v>
      </c>
    </row>
    <row r="145" spans="1:28" x14ac:dyDescent="0.3">
      <c r="A145" t="s">
        <v>356</v>
      </c>
      <c r="B145" s="40">
        <v>2015550187001</v>
      </c>
      <c r="C145" t="s">
        <v>184</v>
      </c>
      <c r="D145" s="62">
        <f t="shared" si="4"/>
        <v>7120</v>
      </c>
      <c r="E145" s="1">
        <v>46225</v>
      </c>
      <c r="F145" s="41">
        <v>1450</v>
      </c>
      <c r="G145" s="60">
        <v>0</v>
      </c>
      <c r="H145" t="s">
        <v>373</v>
      </c>
      <c r="I145" t="s">
        <v>66</v>
      </c>
      <c r="J145" t="s">
        <v>365</v>
      </c>
      <c r="K145" t="s">
        <v>374</v>
      </c>
      <c r="U145" s="1">
        <v>46225</v>
      </c>
      <c r="V145" t="s">
        <v>413</v>
      </c>
      <c r="W145" t="s">
        <v>400</v>
      </c>
      <c r="AB145" t="s">
        <v>414</v>
      </c>
    </row>
    <row r="146" spans="1:28" x14ac:dyDescent="0.3">
      <c r="A146" t="s">
        <v>356</v>
      </c>
      <c r="B146" s="40">
        <v>2015550187001</v>
      </c>
      <c r="C146" t="s">
        <v>184</v>
      </c>
      <c r="D146" s="62">
        <f t="shared" si="4"/>
        <v>6918</v>
      </c>
      <c r="E146" s="1">
        <v>46225</v>
      </c>
      <c r="F146" s="41">
        <v>0</v>
      </c>
      <c r="G146" s="60">
        <v>202</v>
      </c>
      <c r="H146" t="s">
        <v>63</v>
      </c>
      <c r="I146" t="s">
        <v>36</v>
      </c>
      <c r="J146" t="s">
        <v>64</v>
      </c>
      <c r="K146" t="s">
        <v>417</v>
      </c>
      <c r="L146" t="s">
        <v>391</v>
      </c>
      <c r="U146" s="1">
        <v>46225</v>
      </c>
    </row>
    <row r="147" spans="1:28" x14ac:dyDescent="0.3">
      <c r="A147" t="s">
        <v>356</v>
      </c>
      <c r="B147" s="40">
        <v>2015550187001</v>
      </c>
      <c r="C147" t="s">
        <v>184</v>
      </c>
      <c r="D147" s="62">
        <f t="shared" si="4"/>
        <v>9418</v>
      </c>
      <c r="E147" s="1">
        <v>46228</v>
      </c>
      <c r="F147" s="41">
        <v>2500</v>
      </c>
      <c r="G147" s="60">
        <v>0</v>
      </c>
      <c r="H147" t="s">
        <v>65</v>
      </c>
      <c r="I147" t="s">
        <v>66</v>
      </c>
      <c r="J147" t="s">
        <v>365</v>
      </c>
      <c r="K147" t="s">
        <v>67</v>
      </c>
      <c r="N147" t="s">
        <v>458</v>
      </c>
      <c r="O147" t="s">
        <v>369</v>
      </c>
      <c r="Q147" t="s">
        <v>459</v>
      </c>
      <c r="T147" s="56" t="s">
        <v>524</v>
      </c>
      <c r="U147" s="1">
        <v>46228</v>
      </c>
      <c r="V147" t="s">
        <v>68</v>
      </c>
      <c r="W147" t="s">
        <v>69</v>
      </c>
    </row>
    <row r="148" spans="1:28" x14ac:dyDescent="0.3">
      <c r="A148" t="s">
        <v>356</v>
      </c>
      <c r="B148" s="40">
        <v>2015550187001</v>
      </c>
      <c r="C148" t="s">
        <v>184</v>
      </c>
      <c r="D148" s="62">
        <f t="shared" si="4"/>
        <v>10143</v>
      </c>
      <c r="E148" s="1">
        <v>46229</v>
      </c>
      <c r="F148" s="41">
        <v>725</v>
      </c>
      <c r="G148" s="60">
        <v>0</v>
      </c>
      <c r="H148" t="s">
        <v>70</v>
      </c>
      <c r="I148" t="s">
        <v>66</v>
      </c>
      <c r="J148" t="s">
        <v>365</v>
      </c>
      <c r="K148" t="s">
        <v>71</v>
      </c>
      <c r="U148" s="1">
        <v>46229</v>
      </c>
      <c r="V148" t="s">
        <v>525</v>
      </c>
      <c r="W148" t="s">
        <v>416</v>
      </c>
    </row>
    <row r="149" spans="1:28" x14ac:dyDescent="0.3">
      <c r="A149" t="s">
        <v>356</v>
      </c>
      <c r="B149" s="40">
        <v>2015550187001</v>
      </c>
      <c r="C149" t="s">
        <v>184</v>
      </c>
      <c r="D149" s="62">
        <f t="shared" si="4"/>
        <v>1143</v>
      </c>
      <c r="E149" s="1">
        <v>46231</v>
      </c>
      <c r="F149" s="41">
        <v>0</v>
      </c>
      <c r="G149" s="60">
        <v>9000</v>
      </c>
      <c r="H149" t="s">
        <v>37</v>
      </c>
      <c r="I149" t="s">
        <v>36</v>
      </c>
      <c r="J149" t="s">
        <v>393</v>
      </c>
      <c r="K149" t="s">
        <v>526</v>
      </c>
      <c r="U149" s="1">
        <v>46231</v>
      </c>
      <c r="V149" t="s">
        <v>356</v>
      </c>
      <c r="W149" t="s">
        <v>81</v>
      </c>
      <c r="X149">
        <v>2015550187001</v>
      </c>
      <c r="Y149" t="s">
        <v>527</v>
      </c>
      <c r="Z149" t="s">
        <v>396</v>
      </c>
      <c r="AA149" t="s">
        <v>528</v>
      </c>
      <c r="AB149" t="s">
        <v>529</v>
      </c>
    </row>
    <row r="150" spans="1:28" x14ac:dyDescent="0.3">
      <c r="A150" t="s">
        <v>356</v>
      </c>
      <c r="B150" s="40">
        <v>2015550187001</v>
      </c>
      <c r="C150" t="s">
        <v>184</v>
      </c>
      <c r="D150" s="62">
        <f t="shared" si="4"/>
        <v>1368</v>
      </c>
      <c r="E150" s="1">
        <v>46232</v>
      </c>
      <c r="F150" s="41">
        <v>225</v>
      </c>
      <c r="G150" s="60">
        <v>0</v>
      </c>
      <c r="H150" t="s">
        <v>364</v>
      </c>
      <c r="I150" t="s">
        <v>66</v>
      </c>
      <c r="J150" t="s">
        <v>365</v>
      </c>
      <c r="K150" t="s">
        <v>366</v>
      </c>
      <c r="U150" s="1">
        <v>46232</v>
      </c>
      <c r="V150" t="s">
        <v>415</v>
      </c>
      <c r="W150" t="s">
        <v>416</v>
      </c>
    </row>
    <row r="151" spans="1:28" x14ac:dyDescent="0.3">
      <c r="A151" t="s">
        <v>356</v>
      </c>
      <c r="B151" s="40">
        <v>2015550187001</v>
      </c>
      <c r="C151" t="s">
        <v>184</v>
      </c>
      <c r="D151" s="62">
        <f t="shared" si="4"/>
        <v>1718</v>
      </c>
      <c r="E151" s="1">
        <v>46235</v>
      </c>
      <c r="F151" s="41">
        <v>350</v>
      </c>
      <c r="G151" s="60">
        <v>0</v>
      </c>
      <c r="H151" t="s">
        <v>364</v>
      </c>
      <c r="I151" t="s">
        <v>66</v>
      </c>
      <c r="J151" t="s">
        <v>365</v>
      </c>
      <c r="K151" t="s">
        <v>366</v>
      </c>
      <c r="U151" s="1">
        <v>46235</v>
      </c>
      <c r="V151" t="s">
        <v>418</v>
      </c>
      <c r="W151" t="s">
        <v>410</v>
      </c>
    </row>
    <row r="152" spans="1:28" x14ac:dyDescent="0.3">
      <c r="A152" t="s">
        <v>356</v>
      </c>
      <c r="B152" s="40">
        <v>2015550187001</v>
      </c>
      <c r="C152" t="s">
        <v>184</v>
      </c>
      <c r="D152" s="62">
        <f t="shared" si="4"/>
        <v>3168</v>
      </c>
      <c r="E152" s="1">
        <v>46235</v>
      </c>
      <c r="F152" s="41">
        <v>1450</v>
      </c>
      <c r="G152" s="60">
        <v>0</v>
      </c>
      <c r="H152" t="s">
        <v>373</v>
      </c>
      <c r="I152" t="s">
        <v>66</v>
      </c>
      <c r="J152" t="s">
        <v>365</v>
      </c>
      <c r="K152" t="s">
        <v>374</v>
      </c>
      <c r="U152" s="1">
        <v>46235</v>
      </c>
      <c r="V152" t="s">
        <v>375</v>
      </c>
      <c r="W152" t="s">
        <v>376</v>
      </c>
      <c r="AB152" t="s">
        <v>377</v>
      </c>
    </row>
    <row r="153" spans="1:28" x14ac:dyDescent="0.3">
      <c r="A153" t="s">
        <v>356</v>
      </c>
      <c r="B153" s="40">
        <v>2015550187001</v>
      </c>
      <c r="C153" t="s">
        <v>184</v>
      </c>
      <c r="D153" s="62">
        <f t="shared" si="4"/>
        <v>3893</v>
      </c>
      <c r="E153" s="1">
        <v>46238</v>
      </c>
      <c r="F153" s="41">
        <v>725</v>
      </c>
      <c r="G153" s="60">
        <v>0</v>
      </c>
      <c r="H153" t="s">
        <v>364</v>
      </c>
      <c r="I153" t="s">
        <v>66</v>
      </c>
      <c r="J153" t="s">
        <v>365</v>
      </c>
      <c r="K153" t="s">
        <v>366</v>
      </c>
      <c r="U153" s="1">
        <v>46238</v>
      </c>
      <c r="V153" t="s">
        <v>421</v>
      </c>
      <c r="W153" t="s">
        <v>422</v>
      </c>
    </row>
    <row r="154" spans="1:28" x14ac:dyDescent="0.3">
      <c r="A154" t="s">
        <v>356</v>
      </c>
      <c r="B154" s="40">
        <v>2015550187001</v>
      </c>
      <c r="C154" t="s">
        <v>184</v>
      </c>
      <c r="D154" s="62">
        <f t="shared" si="4"/>
        <v>5193</v>
      </c>
      <c r="E154" s="1">
        <v>46239</v>
      </c>
      <c r="F154" s="41">
        <v>1300</v>
      </c>
      <c r="G154" s="60">
        <v>0</v>
      </c>
      <c r="H154" t="s">
        <v>65</v>
      </c>
      <c r="I154" t="s">
        <v>66</v>
      </c>
      <c r="J154" t="s">
        <v>365</v>
      </c>
      <c r="K154" t="s">
        <v>73</v>
      </c>
      <c r="N154" t="s">
        <v>463</v>
      </c>
      <c r="O154" t="s">
        <v>369</v>
      </c>
      <c r="Q154" t="s">
        <v>464</v>
      </c>
      <c r="R154" t="s">
        <v>74</v>
      </c>
      <c r="T154" s="56" t="s">
        <v>530</v>
      </c>
      <c r="U154" s="1">
        <v>46239</v>
      </c>
      <c r="V154" t="s">
        <v>68</v>
      </c>
      <c r="W154" t="s">
        <v>69</v>
      </c>
    </row>
    <row r="155" spans="1:28" x14ac:dyDescent="0.3">
      <c r="A155" t="s">
        <v>356</v>
      </c>
      <c r="B155" s="40">
        <v>2015550187001</v>
      </c>
      <c r="C155" t="s">
        <v>184</v>
      </c>
      <c r="D155" s="62">
        <f t="shared" si="4"/>
        <v>7543</v>
      </c>
      <c r="E155" s="1">
        <v>46240</v>
      </c>
      <c r="F155" s="41">
        <v>2350</v>
      </c>
      <c r="G155" s="60">
        <v>0</v>
      </c>
      <c r="H155" t="s">
        <v>65</v>
      </c>
      <c r="I155" t="s">
        <v>66</v>
      </c>
      <c r="J155" t="s">
        <v>365</v>
      </c>
      <c r="K155" t="s">
        <v>67</v>
      </c>
      <c r="N155" t="s">
        <v>466</v>
      </c>
      <c r="O155" t="s">
        <v>83</v>
      </c>
      <c r="Q155" t="s">
        <v>467</v>
      </c>
      <c r="T155" s="56" t="s">
        <v>531</v>
      </c>
      <c r="U155" s="1">
        <v>46240</v>
      </c>
      <c r="V155" t="s">
        <v>68</v>
      </c>
      <c r="W155" t="s">
        <v>69</v>
      </c>
    </row>
    <row r="156" spans="1:28" x14ac:dyDescent="0.3">
      <c r="A156" t="s">
        <v>356</v>
      </c>
      <c r="B156" s="40">
        <v>2015550187001</v>
      </c>
      <c r="C156" t="s">
        <v>184</v>
      </c>
      <c r="D156" s="62">
        <f t="shared" si="4"/>
        <v>4643</v>
      </c>
      <c r="E156" s="1">
        <v>46240</v>
      </c>
      <c r="F156" s="41">
        <v>0</v>
      </c>
      <c r="G156" s="60">
        <v>2900</v>
      </c>
      <c r="H156" t="s">
        <v>373</v>
      </c>
      <c r="I156" t="s">
        <v>36</v>
      </c>
      <c r="J156" t="s">
        <v>379</v>
      </c>
      <c r="K156" t="s">
        <v>532</v>
      </c>
      <c r="U156" s="1">
        <v>46240</v>
      </c>
      <c r="V156" t="s">
        <v>356</v>
      </c>
      <c r="W156" t="s">
        <v>81</v>
      </c>
      <c r="X156">
        <v>2015550187001</v>
      </c>
      <c r="Y156" t="s">
        <v>533</v>
      </c>
      <c r="Z156" t="s">
        <v>382</v>
      </c>
      <c r="AB156" t="s">
        <v>532</v>
      </c>
    </row>
    <row r="157" spans="1:28" x14ac:dyDescent="0.3">
      <c r="A157" t="s">
        <v>356</v>
      </c>
      <c r="B157" s="40">
        <v>2015550187001</v>
      </c>
      <c r="C157" t="s">
        <v>184</v>
      </c>
      <c r="D157" s="62">
        <f t="shared" si="4"/>
        <v>6643</v>
      </c>
      <c r="E157" s="1">
        <v>46241</v>
      </c>
      <c r="F157" s="41">
        <v>2000</v>
      </c>
      <c r="G157" s="60">
        <v>0</v>
      </c>
      <c r="H157" t="s">
        <v>65</v>
      </c>
      <c r="I157" t="s">
        <v>66</v>
      </c>
      <c r="J157" t="s">
        <v>365</v>
      </c>
      <c r="K157" t="s">
        <v>73</v>
      </c>
      <c r="N157" t="s">
        <v>469</v>
      </c>
      <c r="O157" t="s">
        <v>83</v>
      </c>
      <c r="Q157" t="s">
        <v>470</v>
      </c>
      <c r="R157" t="s">
        <v>78</v>
      </c>
      <c r="T157" s="56" t="s">
        <v>534</v>
      </c>
      <c r="U157" s="1">
        <v>46241</v>
      </c>
      <c r="V157" t="s">
        <v>68</v>
      </c>
      <c r="W157" t="s">
        <v>69</v>
      </c>
    </row>
    <row r="158" spans="1:28" x14ac:dyDescent="0.3">
      <c r="A158" t="s">
        <v>356</v>
      </c>
      <c r="B158" s="40">
        <v>2015550187001</v>
      </c>
      <c r="C158" t="s">
        <v>184</v>
      </c>
      <c r="D158" s="62">
        <f t="shared" si="4"/>
        <v>7043</v>
      </c>
      <c r="E158" s="1">
        <v>46242</v>
      </c>
      <c r="F158" s="41">
        <v>400</v>
      </c>
      <c r="G158" s="60">
        <v>0</v>
      </c>
      <c r="H158" t="s">
        <v>364</v>
      </c>
      <c r="I158" t="s">
        <v>66</v>
      </c>
      <c r="J158" t="s">
        <v>365</v>
      </c>
      <c r="K158" t="s">
        <v>366</v>
      </c>
      <c r="U158" s="1">
        <v>46242</v>
      </c>
      <c r="V158" t="s">
        <v>423</v>
      </c>
      <c r="W158" t="s">
        <v>81</v>
      </c>
    </row>
    <row r="159" spans="1:28" x14ac:dyDescent="0.3">
      <c r="A159" t="s">
        <v>356</v>
      </c>
      <c r="B159" s="40">
        <v>2015550187001</v>
      </c>
      <c r="C159" t="s">
        <v>184</v>
      </c>
      <c r="D159" s="62">
        <f t="shared" si="4"/>
        <v>8143</v>
      </c>
      <c r="E159" s="1">
        <v>46244</v>
      </c>
      <c r="F159" s="41">
        <v>1100</v>
      </c>
      <c r="G159" s="60">
        <v>0</v>
      </c>
      <c r="H159" t="s">
        <v>65</v>
      </c>
      <c r="I159" t="s">
        <v>66</v>
      </c>
      <c r="J159" t="s">
        <v>365</v>
      </c>
      <c r="K159" t="s">
        <v>73</v>
      </c>
      <c r="N159" t="s">
        <v>368</v>
      </c>
      <c r="O159" t="s">
        <v>369</v>
      </c>
      <c r="Q159" t="s">
        <v>370</v>
      </c>
      <c r="R159" t="s">
        <v>74</v>
      </c>
      <c r="T159" s="56" t="s">
        <v>535</v>
      </c>
      <c r="U159" s="1">
        <v>46244</v>
      </c>
      <c r="V159" t="s">
        <v>68</v>
      </c>
      <c r="W159" t="s">
        <v>69</v>
      </c>
    </row>
    <row r="160" spans="1:28" x14ac:dyDescent="0.3">
      <c r="A160" t="s">
        <v>356</v>
      </c>
      <c r="B160" s="40">
        <v>2015550187001</v>
      </c>
      <c r="C160" t="s">
        <v>184</v>
      </c>
      <c r="D160" s="62">
        <f t="shared" si="4"/>
        <v>9843</v>
      </c>
      <c r="E160" s="1">
        <v>46245</v>
      </c>
      <c r="F160" s="41">
        <v>1700</v>
      </c>
      <c r="G160" s="60">
        <v>0</v>
      </c>
      <c r="H160" t="s">
        <v>65</v>
      </c>
      <c r="I160" t="s">
        <v>66</v>
      </c>
      <c r="J160" t="s">
        <v>365</v>
      </c>
      <c r="K160" t="s">
        <v>67</v>
      </c>
      <c r="N160" t="s">
        <v>368</v>
      </c>
      <c r="O160" t="s">
        <v>369</v>
      </c>
      <c r="Q160" t="s">
        <v>383</v>
      </c>
      <c r="T160" s="56" t="s">
        <v>536</v>
      </c>
      <c r="U160" s="1">
        <v>46245</v>
      </c>
      <c r="V160" t="s">
        <v>68</v>
      </c>
      <c r="W160" t="s">
        <v>69</v>
      </c>
    </row>
    <row r="161" spans="1:28" x14ac:dyDescent="0.3">
      <c r="A161" t="s">
        <v>356</v>
      </c>
      <c r="B161" s="40">
        <v>2015550187001</v>
      </c>
      <c r="C161" t="s">
        <v>184</v>
      </c>
      <c r="D161" s="62">
        <f t="shared" si="4"/>
        <v>10718</v>
      </c>
      <c r="E161" s="1">
        <v>46245</v>
      </c>
      <c r="F161" s="41">
        <v>875</v>
      </c>
      <c r="G161" s="60">
        <v>0</v>
      </c>
      <c r="H161" t="s">
        <v>364</v>
      </c>
      <c r="I161" t="s">
        <v>66</v>
      </c>
      <c r="J161" t="s">
        <v>365</v>
      </c>
      <c r="K161" t="s">
        <v>366</v>
      </c>
      <c r="U161" s="1">
        <v>46245</v>
      </c>
      <c r="V161" t="s">
        <v>426</v>
      </c>
      <c r="W161" t="s">
        <v>72</v>
      </c>
    </row>
    <row r="162" spans="1:28" x14ac:dyDescent="0.3">
      <c r="A162" t="s">
        <v>356</v>
      </c>
      <c r="B162" s="40">
        <v>2015550187001</v>
      </c>
      <c r="C162" t="s">
        <v>184</v>
      </c>
      <c r="D162" s="62">
        <f t="shared" si="4"/>
        <v>11418</v>
      </c>
      <c r="E162" s="1">
        <v>46247</v>
      </c>
      <c r="F162" s="41">
        <v>700</v>
      </c>
      <c r="G162" s="60">
        <v>0</v>
      </c>
      <c r="H162" t="s">
        <v>364</v>
      </c>
      <c r="I162" t="s">
        <v>66</v>
      </c>
      <c r="J162" t="s">
        <v>365</v>
      </c>
      <c r="K162" t="s">
        <v>366</v>
      </c>
      <c r="U162" s="1">
        <v>46247</v>
      </c>
      <c r="V162" t="s">
        <v>429</v>
      </c>
      <c r="W162" t="s">
        <v>80</v>
      </c>
    </row>
    <row r="163" spans="1:28" x14ac:dyDescent="0.3">
      <c r="A163" t="s">
        <v>356</v>
      </c>
      <c r="B163" s="40">
        <v>2015550187001</v>
      </c>
      <c r="C163" t="s">
        <v>184</v>
      </c>
      <c r="D163" s="62">
        <f t="shared" ref="D163:D181" si="5">D162+F163-G163</f>
        <v>12468</v>
      </c>
      <c r="E163" s="1">
        <v>46248</v>
      </c>
      <c r="F163" s="41">
        <v>1050</v>
      </c>
      <c r="G163" s="60">
        <v>0</v>
      </c>
      <c r="H163" t="s">
        <v>373</v>
      </c>
      <c r="I163" t="s">
        <v>66</v>
      </c>
      <c r="J163" t="s">
        <v>365</v>
      </c>
      <c r="K163" t="s">
        <v>374</v>
      </c>
      <c r="U163" s="1">
        <v>46248</v>
      </c>
      <c r="V163" t="s">
        <v>399</v>
      </c>
      <c r="W163" t="s">
        <v>400</v>
      </c>
      <c r="AB163" t="s">
        <v>401</v>
      </c>
    </row>
    <row r="164" spans="1:28" x14ac:dyDescent="0.3">
      <c r="A164" t="s">
        <v>356</v>
      </c>
      <c r="B164" s="40">
        <v>2015550187001</v>
      </c>
      <c r="C164" t="s">
        <v>184</v>
      </c>
      <c r="D164" s="62">
        <f t="shared" si="5"/>
        <v>12444</v>
      </c>
      <c r="E164" s="1">
        <v>46248</v>
      </c>
      <c r="F164" s="41">
        <v>0</v>
      </c>
      <c r="G164" s="60">
        <v>24</v>
      </c>
      <c r="H164" t="s">
        <v>63</v>
      </c>
      <c r="I164" t="s">
        <v>36</v>
      </c>
      <c r="J164" t="s">
        <v>64</v>
      </c>
      <c r="K164" t="s">
        <v>419</v>
      </c>
      <c r="L164" t="s">
        <v>391</v>
      </c>
      <c r="U164" s="1">
        <v>46248</v>
      </c>
    </row>
    <row r="165" spans="1:28" x14ac:dyDescent="0.3">
      <c r="A165" t="s">
        <v>356</v>
      </c>
      <c r="B165" s="40">
        <v>2015550187001</v>
      </c>
      <c r="C165" t="s">
        <v>184</v>
      </c>
      <c r="D165" s="62">
        <f t="shared" si="5"/>
        <v>2444</v>
      </c>
      <c r="E165" s="1">
        <v>46249</v>
      </c>
      <c r="F165" s="41">
        <v>0</v>
      </c>
      <c r="G165" s="60">
        <v>10000</v>
      </c>
      <c r="H165" t="s">
        <v>37</v>
      </c>
      <c r="I165" t="s">
        <v>36</v>
      </c>
      <c r="J165" t="s">
        <v>393</v>
      </c>
      <c r="K165" t="s">
        <v>448</v>
      </c>
      <c r="U165" s="1">
        <v>46249</v>
      </c>
      <c r="V165" t="s">
        <v>356</v>
      </c>
      <c r="W165" t="s">
        <v>81</v>
      </c>
      <c r="X165">
        <v>2015550187001</v>
      </c>
      <c r="Y165" t="s">
        <v>537</v>
      </c>
      <c r="Z165" t="s">
        <v>445</v>
      </c>
      <c r="AA165" t="s">
        <v>538</v>
      </c>
      <c r="AB165" t="s">
        <v>539</v>
      </c>
    </row>
    <row r="166" spans="1:28" x14ac:dyDescent="0.3">
      <c r="A166" t="s">
        <v>356</v>
      </c>
      <c r="B166" s="40">
        <v>2015550187001</v>
      </c>
      <c r="C166" t="s">
        <v>184</v>
      </c>
      <c r="D166" s="62">
        <f t="shared" si="5"/>
        <v>2410</v>
      </c>
      <c r="E166" s="1">
        <v>46249</v>
      </c>
      <c r="F166" s="41">
        <v>0</v>
      </c>
      <c r="G166" s="60">
        <v>34</v>
      </c>
      <c r="H166" t="s">
        <v>63</v>
      </c>
      <c r="I166" t="s">
        <v>36</v>
      </c>
      <c r="J166" t="s">
        <v>64</v>
      </c>
      <c r="K166" t="s">
        <v>420</v>
      </c>
      <c r="L166" t="s">
        <v>391</v>
      </c>
      <c r="U166" s="1">
        <v>46249</v>
      </c>
    </row>
    <row r="167" spans="1:28" x14ac:dyDescent="0.3">
      <c r="A167" t="s">
        <v>356</v>
      </c>
      <c r="B167" s="40">
        <v>2015550187001</v>
      </c>
      <c r="C167" t="s">
        <v>184</v>
      </c>
      <c r="D167" s="62">
        <f t="shared" si="5"/>
        <v>3035</v>
      </c>
      <c r="E167" s="1">
        <v>46252</v>
      </c>
      <c r="F167" s="41">
        <v>625</v>
      </c>
      <c r="G167" s="60">
        <v>0</v>
      </c>
      <c r="H167" t="s">
        <v>364</v>
      </c>
      <c r="I167" t="s">
        <v>66</v>
      </c>
      <c r="J167" t="s">
        <v>365</v>
      </c>
      <c r="K167" t="s">
        <v>366</v>
      </c>
      <c r="U167" s="1">
        <v>46252</v>
      </c>
      <c r="V167" t="s">
        <v>433</v>
      </c>
      <c r="W167" t="s">
        <v>76</v>
      </c>
    </row>
    <row r="168" spans="1:28" x14ac:dyDescent="0.3">
      <c r="A168" t="s">
        <v>356</v>
      </c>
      <c r="B168" s="40">
        <v>2015550187001</v>
      </c>
      <c r="C168" t="s">
        <v>184</v>
      </c>
      <c r="D168" s="62">
        <f t="shared" si="5"/>
        <v>5485</v>
      </c>
      <c r="E168" s="1">
        <v>46253</v>
      </c>
      <c r="F168" s="41">
        <v>2450</v>
      </c>
      <c r="G168" s="60">
        <v>0</v>
      </c>
      <c r="H168" t="s">
        <v>65</v>
      </c>
      <c r="I168" t="s">
        <v>66</v>
      </c>
      <c r="J168" t="s">
        <v>365</v>
      </c>
      <c r="K168" t="s">
        <v>67</v>
      </c>
      <c r="N168" t="s">
        <v>386</v>
      </c>
      <c r="O168" t="s">
        <v>369</v>
      </c>
      <c r="Q168" t="s">
        <v>387</v>
      </c>
      <c r="T168" s="56" t="s">
        <v>540</v>
      </c>
      <c r="U168" s="1">
        <v>46253</v>
      </c>
      <c r="V168" t="s">
        <v>68</v>
      </c>
      <c r="W168" t="s">
        <v>69</v>
      </c>
    </row>
    <row r="169" spans="1:28" x14ac:dyDescent="0.3">
      <c r="A169" t="s">
        <v>356</v>
      </c>
      <c r="B169" s="40">
        <v>2015550187001</v>
      </c>
      <c r="C169" t="s">
        <v>184</v>
      </c>
      <c r="D169" s="62">
        <f t="shared" si="5"/>
        <v>6810</v>
      </c>
      <c r="E169" s="1">
        <v>46255</v>
      </c>
      <c r="F169" s="41">
        <v>1325</v>
      </c>
      <c r="G169" s="60">
        <v>0</v>
      </c>
      <c r="H169" t="s">
        <v>373</v>
      </c>
      <c r="I169" t="s">
        <v>66</v>
      </c>
      <c r="J169" t="s">
        <v>365</v>
      </c>
      <c r="K169" t="s">
        <v>374</v>
      </c>
      <c r="U169" s="1">
        <v>46255</v>
      </c>
      <c r="V169" t="s">
        <v>413</v>
      </c>
      <c r="W169" t="s">
        <v>400</v>
      </c>
      <c r="AB169" t="s">
        <v>414</v>
      </c>
    </row>
    <row r="170" spans="1:28" x14ac:dyDescent="0.3">
      <c r="A170" t="s">
        <v>356</v>
      </c>
      <c r="B170" s="40">
        <v>2015550187001</v>
      </c>
      <c r="C170" t="s">
        <v>184</v>
      </c>
      <c r="D170" s="62">
        <f t="shared" si="5"/>
        <v>3910</v>
      </c>
      <c r="E170" s="1">
        <v>46256</v>
      </c>
      <c r="F170" s="41">
        <v>0</v>
      </c>
      <c r="G170" s="60">
        <v>2900</v>
      </c>
      <c r="H170" t="s">
        <v>373</v>
      </c>
      <c r="I170" t="s">
        <v>36</v>
      </c>
      <c r="J170" t="s">
        <v>379</v>
      </c>
      <c r="K170" t="s">
        <v>541</v>
      </c>
      <c r="U170" s="1">
        <v>46256</v>
      </c>
      <c r="V170" t="s">
        <v>356</v>
      </c>
      <c r="W170" t="s">
        <v>81</v>
      </c>
      <c r="X170">
        <v>2015550187001</v>
      </c>
      <c r="Y170" t="s">
        <v>542</v>
      </c>
      <c r="Z170" t="s">
        <v>382</v>
      </c>
      <c r="AB170" t="s">
        <v>541</v>
      </c>
    </row>
    <row r="171" spans="1:28" x14ac:dyDescent="0.3">
      <c r="A171" t="s">
        <v>356</v>
      </c>
      <c r="B171" s="40">
        <v>2015550187001</v>
      </c>
      <c r="C171" t="s">
        <v>184</v>
      </c>
      <c r="D171" s="62">
        <f t="shared" si="5"/>
        <v>3818</v>
      </c>
      <c r="E171" s="1">
        <v>46256</v>
      </c>
      <c r="F171" s="41">
        <v>0</v>
      </c>
      <c r="G171" s="60">
        <v>92</v>
      </c>
      <c r="H171" t="s">
        <v>63</v>
      </c>
      <c r="I171" t="s">
        <v>36</v>
      </c>
      <c r="J171" t="s">
        <v>64</v>
      </c>
      <c r="K171" t="s">
        <v>427</v>
      </c>
      <c r="L171" t="s">
        <v>391</v>
      </c>
      <c r="U171" s="1">
        <v>46256</v>
      </c>
    </row>
    <row r="172" spans="1:28" x14ac:dyDescent="0.3">
      <c r="A172" t="s">
        <v>356</v>
      </c>
      <c r="B172" s="40">
        <v>2015550187001</v>
      </c>
      <c r="C172" t="s">
        <v>184</v>
      </c>
      <c r="D172" s="62">
        <f t="shared" si="5"/>
        <v>4643</v>
      </c>
      <c r="E172" s="1">
        <v>46257</v>
      </c>
      <c r="F172" s="41">
        <v>825</v>
      </c>
      <c r="G172" s="60">
        <v>0</v>
      </c>
      <c r="H172" t="s">
        <v>364</v>
      </c>
      <c r="I172" t="s">
        <v>66</v>
      </c>
      <c r="J172" t="s">
        <v>365</v>
      </c>
      <c r="K172" t="s">
        <v>366</v>
      </c>
      <c r="U172" s="1">
        <v>46257</v>
      </c>
      <c r="V172" t="s">
        <v>435</v>
      </c>
      <c r="W172" t="s">
        <v>79</v>
      </c>
    </row>
    <row r="173" spans="1:28" x14ac:dyDescent="0.3">
      <c r="A173" t="s">
        <v>356</v>
      </c>
      <c r="B173" s="40">
        <v>2015550187001</v>
      </c>
      <c r="C173" t="s">
        <v>184</v>
      </c>
      <c r="D173" s="62">
        <f t="shared" si="5"/>
        <v>6693</v>
      </c>
      <c r="E173" s="1">
        <v>46258</v>
      </c>
      <c r="F173" s="41">
        <v>2050</v>
      </c>
      <c r="G173" s="60">
        <v>0</v>
      </c>
      <c r="H173" t="s">
        <v>65</v>
      </c>
      <c r="I173" t="s">
        <v>66</v>
      </c>
      <c r="J173" t="s">
        <v>365</v>
      </c>
      <c r="K173" t="s">
        <v>73</v>
      </c>
      <c r="N173" t="s">
        <v>430</v>
      </c>
      <c r="O173" t="s">
        <v>369</v>
      </c>
      <c r="Q173" t="s">
        <v>431</v>
      </c>
      <c r="R173" t="s">
        <v>78</v>
      </c>
      <c r="T173" s="56" t="s">
        <v>543</v>
      </c>
      <c r="U173" s="1">
        <v>46258</v>
      </c>
      <c r="V173" t="s">
        <v>68</v>
      </c>
      <c r="W173" t="s">
        <v>69</v>
      </c>
    </row>
    <row r="174" spans="1:28" x14ac:dyDescent="0.3">
      <c r="A174" t="s">
        <v>356</v>
      </c>
      <c r="B174" s="40">
        <v>2015550187001</v>
      </c>
      <c r="C174" t="s">
        <v>184</v>
      </c>
      <c r="D174" s="62">
        <f t="shared" si="5"/>
        <v>6675</v>
      </c>
      <c r="E174" s="1">
        <v>46259</v>
      </c>
      <c r="F174" s="41">
        <v>0</v>
      </c>
      <c r="G174" s="60">
        <v>18</v>
      </c>
      <c r="H174" t="s">
        <v>63</v>
      </c>
      <c r="I174" t="s">
        <v>36</v>
      </c>
      <c r="J174" t="s">
        <v>64</v>
      </c>
      <c r="K174" t="s">
        <v>428</v>
      </c>
      <c r="L174" t="s">
        <v>391</v>
      </c>
      <c r="U174" s="1">
        <v>46259</v>
      </c>
    </row>
    <row r="175" spans="1:28" x14ac:dyDescent="0.3">
      <c r="A175" t="s">
        <v>356</v>
      </c>
      <c r="B175" s="40">
        <v>2015550187001</v>
      </c>
      <c r="C175" t="s">
        <v>184</v>
      </c>
      <c r="D175" s="62">
        <f t="shared" si="5"/>
        <v>7525</v>
      </c>
      <c r="E175" s="1">
        <v>46260</v>
      </c>
      <c r="F175" s="41">
        <v>850</v>
      </c>
      <c r="G175" s="60">
        <v>0</v>
      </c>
      <c r="H175" t="s">
        <v>364</v>
      </c>
      <c r="I175" t="s">
        <v>66</v>
      </c>
      <c r="J175" t="s">
        <v>365</v>
      </c>
      <c r="K175" t="s">
        <v>366</v>
      </c>
      <c r="U175" s="1">
        <v>46260</v>
      </c>
      <c r="V175" t="s">
        <v>437</v>
      </c>
      <c r="W175" t="s">
        <v>77</v>
      </c>
    </row>
    <row r="176" spans="1:28" x14ac:dyDescent="0.3">
      <c r="A176" t="s">
        <v>356</v>
      </c>
      <c r="B176" s="40">
        <v>2015550187001</v>
      </c>
      <c r="C176" t="s">
        <v>184</v>
      </c>
      <c r="D176" s="62">
        <f t="shared" si="5"/>
        <v>8575</v>
      </c>
      <c r="E176" s="1">
        <v>46262</v>
      </c>
      <c r="F176" s="41">
        <v>1050</v>
      </c>
      <c r="G176" s="60">
        <v>0</v>
      </c>
      <c r="H176" t="s">
        <v>65</v>
      </c>
      <c r="I176" t="s">
        <v>66</v>
      </c>
      <c r="J176" t="s">
        <v>365</v>
      </c>
      <c r="K176" t="s">
        <v>67</v>
      </c>
      <c r="N176" t="s">
        <v>451</v>
      </c>
      <c r="O176" t="s">
        <v>369</v>
      </c>
      <c r="Q176" t="s">
        <v>452</v>
      </c>
      <c r="T176" s="56" t="s">
        <v>544</v>
      </c>
      <c r="U176" s="1">
        <v>46262</v>
      </c>
      <c r="V176" t="s">
        <v>68</v>
      </c>
      <c r="W176" t="s">
        <v>69</v>
      </c>
    </row>
    <row r="177" spans="1:23" x14ac:dyDescent="0.3">
      <c r="A177" t="s">
        <v>356</v>
      </c>
      <c r="B177" s="40">
        <v>2015550187001</v>
      </c>
      <c r="C177" t="s">
        <v>184</v>
      </c>
      <c r="D177" s="62">
        <f t="shared" si="5"/>
        <v>8975</v>
      </c>
      <c r="E177" s="1">
        <v>46262</v>
      </c>
      <c r="F177" s="41">
        <v>400</v>
      </c>
      <c r="G177" s="60">
        <v>0</v>
      </c>
      <c r="H177" t="s">
        <v>364</v>
      </c>
      <c r="I177" t="s">
        <v>66</v>
      </c>
      <c r="J177" t="s">
        <v>365</v>
      </c>
      <c r="K177" t="s">
        <v>366</v>
      </c>
      <c r="U177" s="1">
        <v>46262</v>
      </c>
      <c r="V177" t="s">
        <v>438</v>
      </c>
      <c r="W177" t="s">
        <v>403</v>
      </c>
    </row>
    <row r="178" spans="1:23" x14ac:dyDescent="0.3">
      <c r="A178" t="s">
        <v>356</v>
      </c>
      <c r="B178" s="40">
        <v>2015550187001</v>
      </c>
      <c r="C178" t="s">
        <v>184</v>
      </c>
      <c r="D178" s="62">
        <f t="shared" si="5"/>
        <v>11325</v>
      </c>
      <c r="E178" s="1">
        <v>46263</v>
      </c>
      <c r="F178" s="41">
        <v>2350</v>
      </c>
      <c r="G178" s="60">
        <v>0</v>
      </c>
      <c r="H178" t="s">
        <v>65</v>
      </c>
      <c r="I178" t="s">
        <v>66</v>
      </c>
      <c r="J178" t="s">
        <v>365</v>
      </c>
      <c r="K178" t="s">
        <v>73</v>
      </c>
      <c r="N178" t="s">
        <v>455</v>
      </c>
      <c r="O178" t="s">
        <v>369</v>
      </c>
      <c r="Q178" t="s">
        <v>456</v>
      </c>
      <c r="R178" t="s">
        <v>82</v>
      </c>
      <c r="T178" s="56" t="s">
        <v>545</v>
      </c>
      <c r="U178" s="1">
        <v>46263</v>
      </c>
      <c r="V178" t="s">
        <v>68</v>
      </c>
      <c r="W178" t="s">
        <v>69</v>
      </c>
    </row>
    <row r="179" spans="1:23" x14ac:dyDescent="0.3">
      <c r="A179" t="s">
        <v>356</v>
      </c>
      <c r="B179" s="40">
        <v>2015550187001</v>
      </c>
      <c r="C179" t="s">
        <v>184</v>
      </c>
      <c r="D179" s="62">
        <f t="shared" si="5"/>
        <v>12000</v>
      </c>
      <c r="E179" s="1">
        <v>46263</v>
      </c>
      <c r="F179" s="41">
        <v>675</v>
      </c>
      <c r="G179" s="60">
        <v>0</v>
      </c>
      <c r="H179" t="s">
        <v>364</v>
      </c>
      <c r="I179" t="s">
        <v>66</v>
      </c>
      <c r="J179" t="s">
        <v>365</v>
      </c>
      <c r="K179" t="s">
        <v>366</v>
      </c>
      <c r="U179" s="1">
        <v>46263</v>
      </c>
      <c r="V179" t="s">
        <v>439</v>
      </c>
      <c r="W179" t="s">
        <v>440</v>
      </c>
    </row>
    <row r="180" spans="1:23" x14ac:dyDescent="0.3">
      <c r="A180" t="s">
        <v>356</v>
      </c>
      <c r="B180" s="40">
        <v>2015550187001</v>
      </c>
      <c r="C180" t="s">
        <v>184</v>
      </c>
      <c r="D180" s="62">
        <f t="shared" si="5"/>
        <v>11967</v>
      </c>
      <c r="E180" s="1">
        <v>46264</v>
      </c>
      <c r="F180" s="41">
        <v>0</v>
      </c>
      <c r="G180" s="60">
        <v>33</v>
      </c>
      <c r="H180" t="s">
        <v>63</v>
      </c>
      <c r="I180" t="s">
        <v>36</v>
      </c>
      <c r="J180" t="s">
        <v>64</v>
      </c>
      <c r="K180" t="s">
        <v>434</v>
      </c>
      <c r="L180" t="s">
        <v>391</v>
      </c>
      <c r="U180" s="1">
        <v>46264</v>
      </c>
    </row>
    <row r="181" spans="1:23" x14ac:dyDescent="0.3">
      <c r="A181" t="s">
        <v>356</v>
      </c>
      <c r="B181" s="40">
        <v>2015550187001</v>
      </c>
      <c r="C181" t="s">
        <v>184</v>
      </c>
      <c r="D181" s="62">
        <f t="shared" si="5"/>
        <v>12517</v>
      </c>
      <c r="E181" s="1">
        <v>46265</v>
      </c>
      <c r="F181" s="41">
        <v>550</v>
      </c>
      <c r="G181" s="60">
        <v>0</v>
      </c>
      <c r="H181" t="s">
        <v>364</v>
      </c>
      <c r="I181" t="s">
        <v>66</v>
      </c>
      <c r="J181" t="s">
        <v>365</v>
      </c>
      <c r="K181" t="s">
        <v>366</v>
      </c>
      <c r="U181" s="1">
        <v>46265</v>
      </c>
      <c r="V181" t="s">
        <v>442</v>
      </c>
      <c r="W181" t="s">
        <v>76</v>
      </c>
    </row>
  </sheetData>
  <autoFilter ref="A1:AB84" xr:uid="{5611D810-DAFA-4F31-B6DD-45D854AF5F85}"/>
  <phoneticPr fontId="15" type="noConversion"/>
  <pageMargins left="0.7" right="0.7" top="0.75" bottom="0.75" header="0.3" footer="0.3"/>
  <pageSetup orientation="portrait" r:id="rId1"/>
  <ignoredErrors>
    <ignoredError sqref="D5 D11 D14 D19 D22 D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9"/>
  <sheetViews>
    <sheetView showGridLines="0" workbookViewId="0">
      <selection activeCell="E24" sqref="E24"/>
    </sheetView>
  </sheetViews>
  <sheetFormatPr defaultRowHeight="14.4" x14ac:dyDescent="0.3"/>
  <cols>
    <col min="1" max="1" width="10.77734375" bestFit="1" customWidth="1"/>
    <col min="2" max="2" width="15.77734375" bestFit="1" customWidth="1"/>
    <col min="3" max="3" width="24.77734375" bestFit="1" customWidth="1"/>
    <col min="4" max="4" width="29" bestFit="1" customWidth="1"/>
    <col min="5" max="5" width="22.21875" bestFit="1" customWidth="1"/>
    <col min="6" max="6" width="19.44140625" bestFit="1" customWidth="1"/>
    <col min="7" max="7" width="16.77734375" bestFit="1" customWidth="1"/>
    <col min="8" max="8" width="18.77734375" bestFit="1" customWidth="1"/>
    <col min="9" max="9" width="30.21875" bestFit="1" customWidth="1"/>
    <col min="10" max="10" width="23.21875" bestFit="1" customWidth="1"/>
    <col min="11" max="11" width="20.44140625" bestFit="1" customWidth="1"/>
  </cols>
  <sheetData>
    <row r="1" spans="1:16384" x14ac:dyDescent="0.3">
      <c r="A1" s="46" t="s">
        <v>33</v>
      </c>
      <c r="B1" s="47" t="s">
        <v>84</v>
      </c>
      <c r="C1" s="48" t="s">
        <v>85</v>
      </c>
      <c r="D1" s="46" t="s">
        <v>86</v>
      </c>
      <c r="E1" s="46" t="s">
        <v>87</v>
      </c>
      <c r="F1" s="46" t="s">
        <v>88</v>
      </c>
      <c r="G1" s="49" t="s">
        <v>89</v>
      </c>
      <c r="H1" s="49" t="s">
        <v>90</v>
      </c>
      <c r="I1" s="46" t="s">
        <v>91</v>
      </c>
      <c r="J1" s="47" t="s">
        <v>92</v>
      </c>
      <c r="K1" s="48" t="s">
        <v>93</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3">
      <c r="A2" s="1">
        <v>46097</v>
      </c>
      <c r="B2" t="s">
        <v>356</v>
      </c>
      <c r="C2" t="s">
        <v>546</v>
      </c>
      <c r="D2" t="s">
        <v>81</v>
      </c>
      <c r="E2" s="40">
        <v>2015550187001</v>
      </c>
      <c r="F2" t="s">
        <v>394</v>
      </c>
      <c r="G2" t="s">
        <v>395</v>
      </c>
      <c r="H2" t="s">
        <v>547</v>
      </c>
      <c r="I2" t="s">
        <v>396</v>
      </c>
      <c r="J2" t="s">
        <v>397</v>
      </c>
      <c r="K2" t="s">
        <v>398</v>
      </c>
    </row>
    <row r="3" spans="1:16384" x14ac:dyDescent="0.3">
      <c r="A3" s="1">
        <v>46141</v>
      </c>
      <c r="B3" t="s">
        <v>356</v>
      </c>
      <c r="C3" t="s">
        <v>546</v>
      </c>
      <c r="D3" t="s">
        <v>81</v>
      </c>
      <c r="E3" s="40">
        <v>2015550187001</v>
      </c>
      <c r="F3" t="s">
        <v>443</v>
      </c>
      <c r="G3" t="s">
        <v>444</v>
      </c>
      <c r="H3" t="s">
        <v>548</v>
      </c>
      <c r="I3" t="s">
        <v>445</v>
      </c>
      <c r="J3" t="s">
        <v>446</v>
      </c>
      <c r="K3" t="s">
        <v>447</v>
      </c>
    </row>
    <row r="4" spans="1:16384" x14ac:dyDescent="0.3">
      <c r="A4" s="1">
        <v>46160</v>
      </c>
      <c r="B4" t="s">
        <v>356</v>
      </c>
      <c r="C4" t="s">
        <v>546</v>
      </c>
      <c r="D4" t="s">
        <v>81</v>
      </c>
      <c r="E4" s="40">
        <v>2015550187001</v>
      </c>
      <c r="F4" t="s">
        <v>473</v>
      </c>
      <c r="G4" t="s">
        <v>474</v>
      </c>
      <c r="H4" t="s">
        <v>549</v>
      </c>
      <c r="I4" t="s">
        <v>475</v>
      </c>
      <c r="J4" t="s">
        <v>476</v>
      </c>
      <c r="K4" t="s">
        <v>477</v>
      </c>
    </row>
    <row r="5" spans="1:16384" x14ac:dyDescent="0.3">
      <c r="A5" s="1">
        <v>46174</v>
      </c>
      <c r="B5" t="s">
        <v>356</v>
      </c>
      <c r="C5" t="s">
        <v>546</v>
      </c>
      <c r="D5" t="s">
        <v>81</v>
      </c>
      <c r="E5" s="40">
        <v>2015550187001</v>
      </c>
      <c r="F5" t="s">
        <v>487</v>
      </c>
      <c r="G5" t="s">
        <v>488</v>
      </c>
      <c r="H5" t="s">
        <v>547</v>
      </c>
      <c r="I5" t="s">
        <v>489</v>
      </c>
      <c r="J5" t="s">
        <v>490</v>
      </c>
      <c r="K5" t="s">
        <v>491</v>
      </c>
    </row>
    <row r="6" spans="1:16384" x14ac:dyDescent="0.3">
      <c r="A6" s="1">
        <v>46202</v>
      </c>
      <c r="B6" t="s">
        <v>356</v>
      </c>
      <c r="C6" t="s">
        <v>546</v>
      </c>
      <c r="D6" t="s">
        <v>81</v>
      </c>
      <c r="E6" s="40">
        <v>2015550187001</v>
      </c>
      <c r="F6" t="s">
        <v>500</v>
      </c>
      <c r="G6" t="s">
        <v>501</v>
      </c>
      <c r="H6" t="s">
        <v>548</v>
      </c>
      <c r="I6" t="s">
        <v>502</v>
      </c>
      <c r="J6" t="s">
        <v>503</v>
      </c>
      <c r="K6" t="s">
        <v>504</v>
      </c>
    </row>
    <row r="7" spans="1:16384" x14ac:dyDescent="0.3">
      <c r="A7" s="1">
        <v>46218</v>
      </c>
      <c r="B7" t="s">
        <v>356</v>
      </c>
      <c r="C7" t="s">
        <v>546</v>
      </c>
      <c r="D7" t="s">
        <v>81</v>
      </c>
      <c r="E7" s="40">
        <v>2015550187001</v>
      </c>
      <c r="F7" t="s">
        <v>514</v>
      </c>
      <c r="G7" t="s">
        <v>515</v>
      </c>
      <c r="H7" t="s">
        <v>549</v>
      </c>
      <c r="I7" t="s">
        <v>516</v>
      </c>
      <c r="J7" t="s">
        <v>517</v>
      </c>
      <c r="K7" t="s">
        <v>518</v>
      </c>
    </row>
    <row r="8" spans="1:16384" x14ac:dyDescent="0.3">
      <c r="A8" s="1">
        <v>46231</v>
      </c>
      <c r="B8" t="s">
        <v>356</v>
      </c>
      <c r="C8" t="s">
        <v>546</v>
      </c>
      <c r="D8" t="s">
        <v>81</v>
      </c>
      <c r="E8" s="40">
        <v>2015550187001</v>
      </c>
      <c r="F8" t="s">
        <v>526</v>
      </c>
      <c r="G8" t="s">
        <v>527</v>
      </c>
      <c r="H8" t="s">
        <v>547</v>
      </c>
      <c r="I8" t="s">
        <v>396</v>
      </c>
      <c r="J8" t="s">
        <v>528</v>
      </c>
      <c r="K8" t="s">
        <v>529</v>
      </c>
    </row>
    <row r="9" spans="1:16384" x14ac:dyDescent="0.3">
      <c r="A9" s="1">
        <v>46249</v>
      </c>
      <c r="B9" t="s">
        <v>356</v>
      </c>
      <c r="C9" t="s">
        <v>546</v>
      </c>
      <c r="D9" t="s">
        <v>81</v>
      </c>
      <c r="E9" s="40">
        <v>2015550187001</v>
      </c>
      <c r="F9" t="s">
        <v>448</v>
      </c>
      <c r="G9" t="s">
        <v>537</v>
      </c>
      <c r="H9" t="s">
        <v>548</v>
      </c>
      <c r="I9" t="s">
        <v>445</v>
      </c>
      <c r="J9" t="s">
        <v>538</v>
      </c>
      <c r="K9" t="s">
        <v>539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24"/>
  <sheetViews>
    <sheetView showGridLines="0" workbookViewId="0">
      <selection sqref="A1:XFD1048576"/>
    </sheetView>
  </sheetViews>
  <sheetFormatPr defaultRowHeight="14.4" x14ac:dyDescent="0.3"/>
  <cols>
    <col min="1" max="4" width="14.5546875" customWidth="1"/>
    <col min="5" max="5" width="3.21875" customWidth="1"/>
    <col min="6" max="9" width="14.5546875" customWidth="1"/>
  </cols>
  <sheetData>
    <row r="1" spans="1:9" ht="31.95" customHeight="1" x14ac:dyDescent="0.3">
      <c r="A1" s="95" t="s">
        <v>220</v>
      </c>
      <c r="B1" s="95"/>
      <c r="C1" s="95"/>
      <c r="D1" s="95"/>
      <c r="E1" s="95"/>
      <c r="F1" s="95"/>
      <c r="G1" s="95"/>
      <c r="H1" s="95"/>
      <c r="I1" s="95"/>
    </row>
    <row r="2" spans="1:9" ht="24" customHeight="1" x14ac:dyDescent="0.3">
      <c r="A2" s="105" t="s">
        <v>221</v>
      </c>
      <c r="B2" s="105"/>
      <c r="C2" s="105"/>
      <c r="D2" s="105"/>
      <c r="E2" s="105"/>
      <c r="F2" s="105"/>
      <c r="G2" s="105"/>
      <c r="H2" s="105"/>
      <c r="I2" s="105"/>
    </row>
    <row r="3" spans="1:9" ht="28.05" customHeight="1" x14ac:dyDescent="0.3">
      <c r="A3" s="106" t="s">
        <v>222</v>
      </c>
      <c r="B3" s="106"/>
      <c r="C3" s="106"/>
      <c r="D3" s="106"/>
      <c r="E3" s="106"/>
      <c r="F3" s="106"/>
      <c r="G3" s="106"/>
      <c r="H3" s="106"/>
      <c r="I3" s="106"/>
    </row>
    <row r="5" spans="1:9" ht="18" customHeight="1" x14ac:dyDescent="0.3"/>
    <row r="6" spans="1:9" ht="18" customHeight="1" x14ac:dyDescent="0.3"/>
    <row r="7" spans="1:9" ht="18" customHeight="1" x14ac:dyDescent="0.3"/>
    <row r="8" spans="1:9" ht="18" customHeight="1" x14ac:dyDescent="0.3"/>
    <row r="9" spans="1:9" ht="18" customHeight="1" x14ac:dyDescent="0.3"/>
    <row r="10" spans="1:9" ht="18" customHeight="1" x14ac:dyDescent="0.3"/>
    <row r="11" spans="1:9" ht="18" customHeight="1" x14ac:dyDescent="0.3"/>
    <row r="12" spans="1:9" ht="18" customHeight="1" x14ac:dyDescent="0.3"/>
    <row r="13" spans="1:9" ht="18" customHeight="1" x14ac:dyDescent="0.3"/>
    <row r="16" spans="1:9" ht="18" customHeight="1" x14ac:dyDescent="0.3"/>
    <row r="17" customFormat="1" ht="18" customHeight="1" x14ac:dyDescent="0.3"/>
    <row r="18" customFormat="1" ht="18" customHeight="1" x14ac:dyDescent="0.3"/>
    <row r="19" customFormat="1" ht="18" customHeight="1" x14ac:dyDescent="0.3"/>
    <row r="20" customFormat="1" ht="18" customHeight="1" x14ac:dyDescent="0.3"/>
    <row r="21" customFormat="1" ht="18" customHeight="1" x14ac:dyDescent="0.3"/>
    <row r="22" customFormat="1" ht="18" customHeight="1" x14ac:dyDescent="0.3"/>
    <row r="23" customFormat="1" ht="18" customHeight="1" x14ac:dyDescent="0.3"/>
    <row r="24" customFormat="1" ht="18" customHeight="1" x14ac:dyDescent="0.3"/>
  </sheetData>
  <mergeCells count="3">
    <mergeCell ref="A1:I1"/>
    <mergeCell ref="A2:I2"/>
    <mergeCell ref="A3:I3"/>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defaultRowHeight="14.4" x14ac:dyDescent="0.3"/>
  <sheetData>
    <row r="1" spans="1:1" x14ac:dyDescent="0.3">
      <c r="A1" t="s">
        <v>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RowHeight="14.4" x14ac:dyDescent="0.3"/>
  <cols>
    <col min="1" max="1" width="159.77734375" customWidth="1"/>
  </cols>
  <sheetData>
    <row r="1" spans="1:1" ht="409.5" customHeight="1" x14ac:dyDescent="0.3">
      <c r="A1" s="78"/>
    </row>
    <row r="2" spans="1:1" x14ac:dyDescent="0.3">
      <c r="A2" s="29"/>
    </row>
    <row r="3" spans="1:1" x14ac:dyDescent="0.3">
      <c r="A3" s="59"/>
    </row>
    <row r="4" spans="1:1" x14ac:dyDescent="0.3">
      <c r="A4" s="29"/>
    </row>
    <row r="5" spans="1:1" x14ac:dyDescent="0.3">
      <c r="A5" s="59"/>
    </row>
    <row r="6" spans="1:1" x14ac:dyDescent="0.3">
      <c r="A6" s="29"/>
    </row>
    <row r="7" spans="1:1" x14ac:dyDescent="0.3">
      <c r="A7" s="59"/>
    </row>
    <row r="8" spans="1:1" x14ac:dyDescent="0.3">
      <c r="A8" s="29"/>
    </row>
    <row r="9" spans="1:1" x14ac:dyDescent="0.3">
      <c r="A9" s="5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defaultColWidth="0" defaultRowHeight="0" customHeight="1" zeroHeight="1" x14ac:dyDescent="0.3"/>
  <cols>
    <col min="1" max="1" width="3.77734375" customWidth="1"/>
    <col min="2" max="2" width="8.77734375" customWidth="1"/>
    <col min="3" max="3" width="36.21875" customWidth="1"/>
    <col min="4" max="4" width="9" customWidth="1"/>
    <col min="5" max="5" width="38" customWidth="1"/>
    <col min="6" max="6" width="10.77734375" customWidth="1"/>
    <col min="7" max="7" width="9.21875" customWidth="1"/>
    <col min="8" max="8" width="11.5546875" bestFit="1" customWidth="1"/>
    <col min="9" max="9" width="9.21875" customWidth="1"/>
    <col min="10" max="10" width="10.77734375" bestFit="1" customWidth="1"/>
    <col min="11" max="14" width="9.21875" customWidth="1"/>
    <col min="15" max="15" width="5.5546875" customWidth="1"/>
    <col min="16" max="16384" width="9.21875" hidden="1"/>
  </cols>
  <sheetData>
    <row r="1" spans="2:14" ht="15" customHeight="1" x14ac:dyDescent="0.3">
      <c r="B1" s="129" t="s">
        <v>95</v>
      </c>
      <c r="C1" s="130"/>
      <c r="D1" s="130"/>
      <c r="E1" s="130"/>
      <c r="F1" s="130"/>
      <c r="G1" s="130"/>
      <c r="H1" s="130"/>
      <c r="I1" s="130"/>
      <c r="J1" s="130"/>
      <c r="K1" s="130"/>
      <c r="L1" s="130"/>
      <c r="M1" s="130"/>
      <c r="N1" s="131"/>
    </row>
    <row r="2" spans="2:14" ht="15" customHeight="1" x14ac:dyDescent="0.3">
      <c r="B2" s="132"/>
      <c r="C2" s="133"/>
      <c r="D2" s="133"/>
      <c r="E2" s="133"/>
      <c r="F2" s="133"/>
      <c r="G2" s="133"/>
      <c r="H2" s="133"/>
      <c r="I2" s="133"/>
      <c r="J2" s="133"/>
      <c r="K2" s="133"/>
      <c r="L2" s="133"/>
      <c r="M2" s="133"/>
      <c r="N2" s="134"/>
    </row>
    <row r="3" spans="2:14" ht="21" customHeight="1" x14ac:dyDescent="0.3">
      <c r="B3" s="135"/>
      <c r="C3" s="136"/>
      <c r="D3" s="136"/>
      <c r="E3" s="136"/>
      <c r="F3" s="136"/>
      <c r="G3" s="136"/>
      <c r="H3" s="136"/>
      <c r="I3" s="136"/>
      <c r="J3" s="136"/>
      <c r="K3" s="136"/>
      <c r="L3" s="136"/>
      <c r="M3" s="136"/>
      <c r="N3" s="137"/>
    </row>
    <row r="4" spans="2:14" ht="21" customHeight="1" x14ac:dyDescent="0.3">
      <c r="B4" s="2"/>
      <c r="C4" s="2"/>
      <c r="D4" s="2"/>
      <c r="E4" s="2"/>
      <c r="F4" s="2"/>
      <c r="G4" s="2"/>
      <c r="H4" s="2"/>
      <c r="I4" s="2"/>
      <c r="J4" s="2"/>
      <c r="K4" s="2"/>
      <c r="L4" s="2"/>
      <c r="M4" s="2"/>
      <c r="N4" s="2"/>
    </row>
    <row r="5" spans="2:14" ht="21" customHeight="1" x14ac:dyDescent="0.3">
      <c r="B5" s="3" t="s">
        <v>96</v>
      </c>
      <c r="C5" s="2"/>
      <c r="D5" s="2"/>
      <c r="E5" s="4" t="s">
        <v>97</v>
      </c>
      <c r="F5" s="2"/>
      <c r="G5" s="2"/>
      <c r="H5" s="2"/>
      <c r="I5" s="2"/>
      <c r="J5" s="2"/>
      <c r="K5" s="2"/>
      <c r="L5" s="2"/>
      <c r="M5" s="2"/>
      <c r="N5" s="2"/>
    </row>
    <row r="6" spans="2:14" ht="21" customHeight="1" x14ac:dyDescent="0.3">
      <c r="B6" s="138"/>
      <c r="C6" s="139"/>
      <c r="D6" s="2"/>
      <c r="E6" s="140"/>
      <c r="F6" s="141"/>
      <c r="G6" s="2"/>
      <c r="H6" s="2"/>
      <c r="I6" s="2"/>
      <c r="J6" s="2"/>
      <c r="K6" s="2"/>
      <c r="L6" s="2"/>
      <c r="M6" s="2"/>
      <c r="N6" s="2"/>
    </row>
    <row r="7" spans="2:14" ht="21" customHeight="1" x14ac:dyDescent="0.3">
      <c r="B7" s="142"/>
      <c r="C7" s="143"/>
      <c r="D7" s="2"/>
      <c r="E7" s="125"/>
      <c r="F7" s="126"/>
      <c r="G7" s="2"/>
      <c r="H7" s="2"/>
      <c r="I7" s="2"/>
      <c r="J7" s="2"/>
      <c r="K7" s="2"/>
      <c r="L7" s="2"/>
      <c r="M7" s="2"/>
      <c r="N7" s="2"/>
    </row>
    <row r="8" spans="2:14" ht="21" customHeight="1" x14ac:dyDescent="0.3">
      <c r="B8" s="127"/>
      <c r="C8" s="128"/>
      <c r="D8" s="2"/>
      <c r="E8" s="2"/>
      <c r="F8" s="2"/>
      <c r="G8" s="2"/>
      <c r="H8" s="2"/>
      <c r="I8" s="2"/>
      <c r="J8" s="2"/>
      <c r="K8" s="2"/>
      <c r="L8" s="2"/>
      <c r="M8" s="2"/>
      <c r="N8" s="2"/>
    </row>
    <row r="9" spans="2:14" ht="21" customHeight="1" x14ac:dyDescent="0.3">
      <c r="B9" s="3" t="s">
        <v>98</v>
      </c>
      <c r="C9" s="2"/>
      <c r="D9" s="2"/>
      <c r="E9" s="5" t="s">
        <v>99</v>
      </c>
      <c r="F9" s="2"/>
      <c r="G9" s="2"/>
      <c r="H9" s="2"/>
      <c r="I9" s="2"/>
      <c r="J9" s="2"/>
      <c r="K9" s="2"/>
      <c r="L9" s="2"/>
      <c r="M9" s="2"/>
      <c r="N9" s="2"/>
    </row>
    <row r="10" spans="2:14" ht="21" customHeight="1" x14ac:dyDescent="0.3">
      <c r="B10" s="115"/>
      <c r="C10" s="116"/>
      <c r="D10" s="2"/>
      <c r="E10" s="117"/>
      <c r="F10" s="118"/>
      <c r="G10" s="2"/>
      <c r="H10" s="2"/>
      <c r="I10" s="2"/>
      <c r="J10" s="2"/>
      <c r="K10" s="2"/>
      <c r="L10" s="2"/>
      <c r="M10" s="2"/>
      <c r="N10" s="2"/>
    </row>
    <row r="11" spans="2:14" ht="21" customHeight="1" x14ac:dyDescent="0.3">
      <c r="B11" s="119"/>
      <c r="C11" s="120"/>
      <c r="D11" s="2"/>
      <c r="E11" s="121"/>
      <c r="F11" s="122"/>
      <c r="G11" s="2"/>
      <c r="H11" s="2"/>
      <c r="I11" s="2"/>
      <c r="J11" s="2"/>
      <c r="K11" s="2"/>
      <c r="L11" s="2"/>
      <c r="M11" s="2"/>
      <c r="N11" s="2"/>
    </row>
    <row r="12" spans="2:14" ht="21" customHeight="1" x14ac:dyDescent="0.3">
      <c r="B12" s="123"/>
      <c r="C12" s="124"/>
      <c r="D12" s="2"/>
      <c r="E12" s="125"/>
      <c r="F12" s="126"/>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100</v>
      </c>
      <c r="C14" s="2"/>
      <c r="D14" s="2"/>
      <c r="E14" s="2"/>
      <c r="F14" s="2"/>
      <c r="G14" s="2"/>
      <c r="H14" s="2"/>
      <c r="I14" s="2"/>
      <c r="J14" s="2"/>
      <c r="K14" s="2"/>
      <c r="L14" s="2"/>
      <c r="M14" s="2"/>
      <c r="N14" s="2"/>
    </row>
    <row r="15" spans="2:14" ht="18" x14ac:dyDescent="0.3">
      <c r="B15" s="6"/>
      <c r="C15" s="7" t="s">
        <v>101</v>
      </c>
      <c r="D15" s="7" t="s">
        <v>102</v>
      </c>
      <c r="E15" s="7" t="s">
        <v>49</v>
      </c>
      <c r="F15" s="7"/>
      <c r="G15" s="8"/>
      <c r="H15" s="8"/>
      <c r="I15" s="8"/>
      <c r="J15" s="8"/>
      <c r="K15" s="8"/>
      <c r="L15" s="8"/>
      <c r="M15" s="8"/>
      <c r="N15" s="8"/>
    </row>
    <row r="16" spans="2:14" ht="21" customHeight="1" x14ac:dyDescent="0.3">
      <c r="B16" s="5"/>
      <c r="F16" s="2"/>
      <c r="G16" s="2"/>
      <c r="H16" s="2"/>
      <c r="I16" s="2"/>
      <c r="J16" s="2"/>
      <c r="K16" s="2"/>
      <c r="L16" s="2"/>
      <c r="M16" s="2"/>
      <c r="N16" s="2"/>
    </row>
    <row r="17" spans="2:14" ht="21" customHeight="1" x14ac:dyDescent="0.3">
      <c r="B17" s="2"/>
      <c r="F17" s="2"/>
      <c r="G17" s="2"/>
      <c r="H17" s="2"/>
      <c r="I17" s="2"/>
      <c r="J17" s="2"/>
      <c r="K17" s="2"/>
      <c r="L17" s="2"/>
      <c r="M17" s="2"/>
      <c r="N17" s="2"/>
    </row>
    <row r="18" spans="2:14" ht="21" customHeight="1" x14ac:dyDescent="0.3">
      <c r="B18" s="2"/>
      <c r="F18" s="2"/>
      <c r="G18" s="2"/>
      <c r="H18" s="2"/>
      <c r="I18" s="2"/>
      <c r="J18" s="2"/>
      <c r="K18" s="2"/>
      <c r="L18" s="2"/>
      <c r="M18" s="2"/>
      <c r="N18" s="2"/>
    </row>
    <row r="19" spans="2:14" ht="21" customHeight="1" x14ac:dyDescent="0.3">
      <c r="B19" s="2"/>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103</v>
      </c>
      <c r="D23" s="15"/>
      <c r="N23" s="16"/>
    </row>
    <row r="24" spans="2:14" ht="15" thickBot="1" x14ac:dyDescent="0.35">
      <c r="B24" s="13"/>
      <c r="C24" s="15"/>
      <c r="D24" s="15"/>
      <c r="N24" s="16"/>
    </row>
    <row r="25" spans="2:14" ht="15" thickBot="1" x14ac:dyDescent="0.35">
      <c r="B25" s="13"/>
      <c r="C25" s="17" t="s">
        <v>104</v>
      </c>
      <c r="D25" s="17"/>
      <c r="E25" s="18"/>
      <c r="F25" s="17"/>
      <c r="G25" s="17"/>
      <c r="H25" s="17"/>
      <c r="I25" s="17"/>
      <c r="J25" s="17"/>
      <c r="K25" s="17"/>
      <c r="L25" s="17"/>
      <c r="M25" s="17"/>
      <c r="N25" s="19"/>
    </row>
    <row r="26" spans="2:14" ht="15.75" customHeight="1" thickBot="1" x14ac:dyDescent="0.35">
      <c r="B26" s="13"/>
      <c r="C26" s="20" t="s">
        <v>105</v>
      </c>
      <c r="D26" s="17"/>
      <c r="E26" s="17"/>
      <c r="F26" s="17"/>
      <c r="G26" s="21" t="s">
        <v>106</v>
      </c>
      <c r="H26" s="1"/>
      <c r="I26" s="21" t="s">
        <v>107</v>
      </c>
      <c r="J26" s="1"/>
      <c r="M26" s="17"/>
      <c r="N26" s="19"/>
    </row>
    <row r="27" spans="2:14" ht="15.75" customHeight="1" thickBot="1" x14ac:dyDescent="0.35">
      <c r="B27" s="13"/>
      <c r="C27" s="20" t="s">
        <v>108</v>
      </c>
      <c r="D27" s="20"/>
      <c r="E27" s="20"/>
      <c r="F27" s="58"/>
      <c r="G27" s="20"/>
      <c r="H27" s="20"/>
      <c r="I27" s="20"/>
      <c r="J27" s="17"/>
      <c r="K27" s="17"/>
      <c r="L27" s="17"/>
      <c r="M27" s="17"/>
      <c r="N27" s="19"/>
    </row>
    <row r="28" spans="2:14" ht="14.4" x14ac:dyDescent="0.3">
      <c r="B28" s="13"/>
      <c r="C28" s="22"/>
      <c r="D28" s="22"/>
      <c r="E28" s="22"/>
      <c r="F28" s="22"/>
      <c r="G28" s="22"/>
      <c r="H28" s="22"/>
      <c r="I28" s="22"/>
      <c r="J28" s="22"/>
      <c r="K28" s="22"/>
      <c r="L28" s="22"/>
      <c r="M28" s="22"/>
      <c r="N28" s="23"/>
    </row>
    <row r="29" spans="2:14" ht="15" thickBot="1" x14ac:dyDescent="0.35">
      <c r="B29" s="13"/>
      <c r="C29" s="24"/>
      <c r="D29" s="24"/>
      <c r="E29" s="24"/>
      <c r="F29" s="24"/>
      <c r="G29" s="24"/>
      <c r="H29" s="24"/>
      <c r="I29" s="24"/>
      <c r="J29" s="24"/>
      <c r="K29" s="24"/>
      <c r="L29" s="24"/>
      <c r="M29" s="24"/>
      <c r="N29" s="16"/>
    </row>
    <row r="30" spans="2:14" ht="15" x14ac:dyDescent="0.3">
      <c r="B30" s="13"/>
      <c r="C30" s="14" t="s">
        <v>109</v>
      </c>
      <c r="D30" s="15"/>
      <c r="N30" s="16"/>
    </row>
    <row r="31" spans="2:14" ht="14.4" x14ac:dyDescent="0.3">
      <c r="B31" s="13"/>
      <c r="N31" s="16"/>
    </row>
    <row r="32" spans="2:14" ht="14.4" x14ac:dyDescent="0.3">
      <c r="B32" s="13"/>
      <c r="C32" s="15" t="s">
        <v>110</v>
      </c>
      <c r="E32" s="15"/>
      <c r="H32" s="15" t="s">
        <v>111</v>
      </c>
      <c r="L32" s="15"/>
      <c r="N32" s="16"/>
    </row>
    <row r="33" spans="2:14" ht="15" thickBot="1" x14ac:dyDescent="0.35">
      <c r="B33" s="13"/>
      <c r="C33" s="15" t="s">
        <v>112</v>
      </c>
      <c r="E33" s="15"/>
      <c r="H33" s="15" t="s">
        <v>113</v>
      </c>
      <c r="L33" s="107"/>
      <c r="M33" s="107"/>
      <c r="N33" s="16"/>
    </row>
    <row r="34" spans="2:14" ht="15" thickBot="1" x14ac:dyDescent="0.35">
      <c r="B34" s="13"/>
      <c r="C34" s="15" t="s">
        <v>114</v>
      </c>
      <c r="E34" s="15"/>
      <c r="H34" s="15" t="s">
        <v>115</v>
      </c>
      <c r="I34" s="108"/>
      <c r="J34" s="109"/>
      <c r="N34" s="16"/>
    </row>
    <row r="35" spans="2:14" ht="15" thickBot="1" x14ac:dyDescent="0.35">
      <c r="B35" s="13"/>
      <c r="C35" s="24"/>
      <c r="N35" s="16"/>
    </row>
    <row r="36" spans="2:14" ht="15" x14ac:dyDescent="0.3">
      <c r="B36" s="26"/>
      <c r="C36" s="14" t="s">
        <v>116</v>
      </c>
      <c r="D36" s="27"/>
      <c r="E36" s="27"/>
      <c r="F36" s="27"/>
      <c r="G36" s="27"/>
      <c r="H36" s="27"/>
      <c r="I36" s="27"/>
      <c r="J36" s="27"/>
      <c r="K36" s="27"/>
      <c r="L36" s="27"/>
      <c r="M36" s="27"/>
      <c r="N36" s="16"/>
    </row>
    <row r="37" spans="2:14" ht="14.4" x14ac:dyDescent="0.3">
      <c r="B37" s="13"/>
      <c r="N37" s="16"/>
    </row>
    <row r="38" spans="2:14" ht="15" customHeight="1" x14ac:dyDescent="0.3">
      <c r="B38" s="13"/>
      <c r="C38" s="15" t="s">
        <v>117</v>
      </c>
      <c r="F38" s="15" t="s">
        <v>118</v>
      </c>
      <c r="H38" s="15"/>
      <c r="N38" s="16"/>
    </row>
    <row r="39" spans="2:14" ht="14.4" x14ac:dyDescent="0.3">
      <c r="B39" s="13"/>
      <c r="C39" s="15" t="s">
        <v>119</v>
      </c>
      <c r="F39" s="15" t="s">
        <v>120</v>
      </c>
      <c r="H39" s="15"/>
      <c r="N39" s="16"/>
    </row>
    <row r="40" spans="2:14" ht="14.4" x14ac:dyDescent="0.3">
      <c r="B40" s="13"/>
      <c r="C40" s="15" t="s">
        <v>121</v>
      </c>
      <c r="F40" s="15" t="s">
        <v>122</v>
      </c>
      <c r="H40" s="15"/>
      <c r="N40" s="16"/>
    </row>
    <row r="41" spans="2:14" ht="14.4" x14ac:dyDescent="0.3">
      <c r="B41" s="13"/>
      <c r="C41" s="15" t="s">
        <v>123</v>
      </c>
      <c r="F41" s="15" t="s">
        <v>124</v>
      </c>
      <c r="H41" s="15"/>
      <c r="I41" s="110"/>
      <c r="J41" s="110"/>
      <c r="N41" s="16"/>
    </row>
    <row r="42" spans="2:14" ht="14.4" x14ac:dyDescent="0.3">
      <c r="B42" s="13"/>
      <c r="C42" s="15" t="s">
        <v>125</v>
      </c>
      <c r="F42" s="15" t="s">
        <v>126</v>
      </c>
      <c r="G42" s="15"/>
      <c r="N42" s="16"/>
    </row>
    <row r="43" spans="2:14" ht="15" thickBot="1" x14ac:dyDescent="0.35">
      <c r="B43" s="13"/>
      <c r="C43" s="15" t="s">
        <v>127</v>
      </c>
      <c r="F43" s="15" t="s">
        <v>128</v>
      </c>
      <c r="G43" s="15"/>
      <c r="N43" s="16"/>
    </row>
    <row r="44" spans="2:14" ht="15" thickBot="1" x14ac:dyDescent="0.35">
      <c r="B44" s="13"/>
      <c r="C44" s="15" t="s">
        <v>129</v>
      </c>
      <c r="D44" s="15"/>
      <c r="E44" s="15"/>
      <c r="F44" s="15" t="s">
        <v>115</v>
      </c>
      <c r="G44" s="111"/>
      <c r="H44" s="112"/>
      <c r="N44" s="16"/>
    </row>
    <row r="45" spans="2:14" ht="15.6" thickBot="1" x14ac:dyDescent="0.35">
      <c r="B45" s="13"/>
      <c r="C45" s="14"/>
      <c r="D45" s="15"/>
      <c r="E45" s="15"/>
      <c r="F45" s="15"/>
      <c r="G45" s="25"/>
      <c r="H45" s="25"/>
      <c r="N45" s="16"/>
    </row>
    <row r="46" spans="2:14" ht="15" x14ac:dyDescent="0.3">
      <c r="B46" s="26"/>
      <c r="C46" s="28" t="s">
        <v>130</v>
      </c>
      <c r="D46" s="27"/>
      <c r="E46" s="27"/>
      <c r="F46" s="27"/>
      <c r="G46" s="27"/>
      <c r="H46" s="27"/>
      <c r="I46" s="27"/>
      <c r="J46" s="27"/>
      <c r="K46" s="27"/>
      <c r="L46" s="27"/>
      <c r="M46" s="27"/>
      <c r="N46" s="16"/>
    </row>
    <row r="47" spans="2:14" ht="14.4" x14ac:dyDescent="0.3">
      <c r="B47" s="13"/>
      <c r="N47" s="16"/>
    </row>
    <row r="48" spans="2:14" ht="14.4" x14ac:dyDescent="0.3">
      <c r="B48" s="13"/>
      <c r="C48" s="15" t="s">
        <v>131</v>
      </c>
      <c r="E48" s="15" t="s">
        <v>132</v>
      </c>
      <c r="H48" s="15" t="s">
        <v>133</v>
      </c>
      <c r="N48" s="16"/>
    </row>
    <row r="49" spans="2:14" ht="14.4" x14ac:dyDescent="0.3">
      <c r="B49" s="13"/>
      <c r="C49" s="15" t="s">
        <v>134</v>
      </c>
      <c r="E49" s="15" t="s">
        <v>135</v>
      </c>
      <c r="H49" s="15" t="s">
        <v>136</v>
      </c>
      <c r="N49" s="16"/>
    </row>
    <row r="50" spans="2:14" ht="15" thickBot="1" x14ac:dyDescent="0.35">
      <c r="B50" s="13"/>
      <c r="C50" s="15" t="s">
        <v>137</v>
      </c>
      <c r="E50" s="15" t="s">
        <v>138</v>
      </c>
      <c r="H50" s="15" t="s">
        <v>139</v>
      </c>
      <c r="N50" s="16"/>
    </row>
    <row r="51" spans="2:14" ht="15" thickBot="1" x14ac:dyDescent="0.35">
      <c r="B51" s="13"/>
      <c r="C51" s="15" t="s">
        <v>140</v>
      </c>
      <c r="E51" s="15" t="s">
        <v>141</v>
      </c>
      <c r="H51" s="15" t="s">
        <v>142</v>
      </c>
      <c r="I51" s="113"/>
      <c r="J51" s="114"/>
      <c r="N51" s="16"/>
    </row>
    <row r="52" spans="2:14" ht="14.4" x14ac:dyDescent="0.3">
      <c r="B52" s="13"/>
      <c r="C52" s="15" t="s">
        <v>143</v>
      </c>
      <c r="E52" s="15" t="s">
        <v>144</v>
      </c>
      <c r="G52" s="15"/>
      <c r="N52" s="16"/>
    </row>
    <row r="53" spans="2:14" ht="14.4" x14ac:dyDescent="0.3">
      <c r="B53" s="13"/>
      <c r="C53" s="15" t="s">
        <v>145</v>
      </c>
      <c r="E53" s="15" t="s">
        <v>146</v>
      </c>
      <c r="G53" s="15"/>
      <c r="N53" s="16"/>
    </row>
    <row r="54" spans="2:14" ht="14.4" x14ac:dyDescent="0.3">
      <c r="B54" s="13"/>
      <c r="C54" s="15" t="s">
        <v>147</v>
      </c>
      <c r="D54" s="15"/>
      <c r="E54" s="15"/>
      <c r="G54" s="15"/>
      <c r="N54" s="16"/>
    </row>
    <row r="55" spans="2:14" ht="14.4" x14ac:dyDescent="0.3">
      <c r="B55" s="13"/>
      <c r="C55" s="15" t="s">
        <v>148</v>
      </c>
      <c r="N55" s="16"/>
    </row>
    <row r="56" spans="2:14" ht="14.4" x14ac:dyDescent="0.3">
      <c r="B56" s="13"/>
      <c r="C56" s="15" t="s">
        <v>149</v>
      </c>
      <c r="N56" s="16"/>
    </row>
    <row r="57" spans="2:14" ht="14.4" x14ac:dyDescent="0.3">
      <c r="B57" s="13"/>
      <c r="C57" s="15" t="s">
        <v>150</v>
      </c>
      <c r="D57" s="29"/>
      <c r="N57" s="16"/>
    </row>
    <row r="58" spans="2:14" ht="15" thickBot="1" x14ac:dyDescent="0.35">
      <c r="B58" s="13"/>
      <c r="C58" s="24"/>
      <c r="D58" s="24"/>
      <c r="E58" s="24"/>
      <c r="F58" s="24"/>
      <c r="G58" s="24"/>
      <c r="H58" s="24"/>
      <c r="I58" s="24"/>
      <c r="J58" s="24"/>
      <c r="K58" s="24"/>
      <c r="L58" s="24"/>
      <c r="M58" s="24"/>
      <c r="N58" s="16"/>
    </row>
    <row r="59" spans="2:14" ht="15" x14ac:dyDescent="0.3">
      <c r="B59" s="13"/>
      <c r="C59" s="14" t="s">
        <v>151</v>
      </c>
      <c r="D59" s="30"/>
      <c r="N59" s="16"/>
    </row>
    <row r="60" spans="2:14" ht="14.4" x14ac:dyDescent="0.3">
      <c r="B60" s="13"/>
      <c r="C60" s="31"/>
      <c r="D60" s="30"/>
      <c r="N60" s="16"/>
    </row>
    <row r="61" spans="2:14" ht="14.4" x14ac:dyDescent="0.3">
      <c r="B61" s="13"/>
      <c r="C61" s="15" t="s">
        <v>152</v>
      </c>
      <c r="E61" s="15" t="s">
        <v>153</v>
      </c>
      <c r="H61" s="15" t="s">
        <v>154</v>
      </c>
      <c r="N61" s="16"/>
    </row>
    <row r="62" spans="2:14" ht="14.4" x14ac:dyDescent="0.3">
      <c r="B62" s="13"/>
      <c r="C62" s="15" t="s">
        <v>155</v>
      </c>
      <c r="E62" s="15" t="s">
        <v>156</v>
      </c>
      <c r="H62" s="15" t="s">
        <v>157</v>
      </c>
      <c r="N62" s="16"/>
    </row>
    <row r="63" spans="2:14" ht="14.4" x14ac:dyDescent="0.3">
      <c r="B63" s="13"/>
      <c r="C63" s="15" t="s">
        <v>158</v>
      </c>
      <c r="E63" s="15" t="s">
        <v>159</v>
      </c>
      <c r="H63" s="15" t="s">
        <v>160</v>
      </c>
      <c r="N63" s="16"/>
    </row>
    <row r="64" spans="2:14" ht="14.4" x14ac:dyDescent="0.3">
      <c r="B64" s="13"/>
      <c r="C64" s="15" t="s">
        <v>161</v>
      </c>
      <c r="E64" s="15" t="s">
        <v>162</v>
      </c>
      <c r="H64" s="15" t="s">
        <v>163</v>
      </c>
      <c r="N64" s="16"/>
    </row>
    <row r="65" spans="2:14" ht="15" thickBot="1" x14ac:dyDescent="0.35">
      <c r="B65" s="13"/>
      <c r="C65" s="15" t="s">
        <v>164</v>
      </c>
      <c r="E65" s="15" t="s">
        <v>165</v>
      </c>
      <c r="H65" s="15" t="s">
        <v>166</v>
      </c>
      <c r="N65" s="16"/>
    </row>
    <row r="66" spans="2:14" ht="15" thickBot="1" x14ac:dyDescent="0.35">
      <c r="B66" s="13"/>
      <c r="C66" s="15" t="s">
        <v>167</v>
      </c>
      <c r="E66" s="15" t="s">
        <v>168</v>
      </c>
      <c r="H66" s="113"/>
      <c r="I66" s="114"/>
      <c r="N66" s="16"/>
    </row>
    <row r="67" spans="2:14" ht="14.4" x14ac:dyDescent="0.3">
      <c r="B67" s="13"/>
      <c r="C67" s="15" t="s">
        <v>169</v>
      </c>
      <c r="E67" s="15" t="s">
        <v>170</v>
      </c>
      <c r="N67" s="16"/>
    </row>
    <row r="68" spans="2:14" ht="14.4" x14ac:dyDescent="0.3">
      <c r="B68" s="13"/>
      <c r="C68" s="15" t="s">
        <v>171</v>
      </c>
      <c r="E68" s="15" t="s">
        <v>172</v>
      </c>
      <c r="N68" s="16"/>
    </row>
    <row r="69" spans="2:14" ht="14.4" x14ac:dyDescent="0.3">
      <c r="B69" s="13"/>
      <c r="D69" s="31"/>
      <c r="N69" s="16"/>
    </row>
    <row r="70" spans="2:14" ht="15" thickBot="1" x14ac:dyDescent="0.35">
      <c r="B70" s="13"/>
      <c r="C70" s="24"/>
      <c r="D70" s="24"/>
      <c r="E70" s="24"/>
      <c r="F70" s="24"/>
      <c r="G70" s="24"/>
      <c r="H70" s="24"/>
      <c r="I70" s="24"/>
      <c r="J70" s="24"/>
      <c r="K70" s="24"/>
      <c r="L70" s="24"/>
      <c r="M70" s="24"/>
      <c r="N70" s="16"/>
    </row>
    <row r="71" spans="2:14" ht="15" x14ac:dyDescent="0.3">
      <c r="B71" s="13"/>
      <c r="C71" s="14" t="s">
        <v>173</v>
      </c>
      <c r="D71" s="30"/>
      <c r="N71" s="16"/>
    </row>
    <row r="72" spans="2:14" ht="14.4" x14ac:dyDescent="0.3">
      <c r="B72" s="13"/>
      <c r="C72" s="31"/>
      <c r="D72" s="31"/>
      <c r="N72" s="16"/>
    </row>
    <row r="73" spans="2:14" s="33" customFormat="1" ht="14.4" x14ac:dyDescent="0.3">
      <c r="B73" s="32"/>
      <c r="C73" s="15" t="s">
        <v>174</v>
      </c>
      <c r="D73"/>
      <c r="E73" s="15" t="s">
        <v>175</v>
      </c>
      <c r="G73"/>
      <c r="H73" s="15" t="s">
        <v>176</v>
      </c>
      <c r="N73" s="34"/>
    </row>
    <row r="74" spans="2:14" s="33" customFormat="1" ht="14.4" x14ac:dyDescent="0.3">
      <c r="B74" s="32"/>
      <c r="C74" s="15" t="s">
        <v>177</v>
      </c>
      <c r="D74"/>
      <c r="E74" s="15" t="s">
        <v>178</v>
      </c>
      <c r="G74"/>
      <c r="H74" s="15" t="s">
        <v>179</v>
      </c>
      <c r="N74" s="34"/>
    </row>
    <row r="75" spans="2:14" s="33" customFormat="1" ht="14.4" x14ac:dyDescent="0.3">
      <c r="B75" s="13"/>
      <c r="C75" s="15" t="s">
        <v>180</v>
      </c>
      <c r="D75"/>
      <c r="E75" s="15" t="s">
        <v>181</v>
      </c>
      <c r="G75"/>
      <c r="H75" s="15" t="s">
        <v>182</v>
      </c>
      <c r="N75" s="34"/>
    </row>
    <row r="76" spans="2:14" s="33" customFormat="1" ht="14.4" x14ac:dyDescent="0.3">
      <c r="B76" s="32"/>
      <c r="G76"/>
      <c r="H76" s="15" t="s">
        <v>142</v>
      </c>
      <c r="N76" s="34"/>
    </row>
    <row r="77" spans="2:14" ht="15" thickBot="1" x14ac:dyDescent="0.35">
      <c r="B77" s="13"/>
      <c r="C77" s="24"/>
      <c r="D77" s="35"/>
      <c r="E77" s="24"/>
      <c r="F77" s="24"/>
      <c r="G77" s="24"/>
      <c r="H77" s="24"/>
      <c r="I77" s="24"/>
      <c r="J77" s="24"/>
      <c r="K77" s="24"/>
      <c r="L77" s="24"/>
      <c r="M77" s="24"/>
      <c r="N77" s="16"/>
    </row>
    <row r="78" spans="2:14" ht="14.4" x14ac:dyDescent="0.3">
      <c r="B78" s="13"/>
      <c r="D78" s="31"/>
      <c r="N78" s="16"/>
    </row>
    <row r="79" spans="2:14" ht="14.4" x14ac:dyDescent="0.3">
      <c r="B79" s="36"/>
      <c r="C79" s="37"/>
      <c r="D79" s="38"/>
      <c r="E79" s="37"/>
      <c r="F79" s="37"/>
      <c r="G79" s="37"/>
      <c r="H79" s="37"/>
      <c r="I79" s="37"/>
      <c r="J79" s="37"/>
      <c r="K79" s="37"/>
      <c r="L79" s="37"/>
      <c r="M79" s="37"/>
      <c r="N79" s="39"/>
    </row>
    <row r="80" spans="2:14" ht="14.4" x14ac:dyDescent="0.3">
      <c r="D80" s="31"/>
    </row>
    <row r="81" spans="3:4" ht="14.4" hidden="1" x14ac:dyDescent="0.3">
      <c r="D81" s="31"/>
    </row>
    <row r="82" spans="3:4" ht="14.4" hidden="1" x14ac:dyDescent="0.3">
      <c r="D82" s="31"/>
    </row>
    <row r="83" spans="3:4" ht="14.4" hidden="1" x14ac:dyDescent="0.3">
      <c r="C83" s="31"/>
      <c r="D83" s="31"/>
    </row>
  </sheetData>
  <mergeCells count="18">
    <mergeCell ref="B8:C8"/>
    <mergeCell ref="B1:N3"/>
    <mergeCell ref="B6:C6"/>
    <mergeCell ref="E6:F6"/>
    <mergeCell ref="B7:C7"/>
    <mergeCell ref="E7:F7"/>
    <mergeCell ref="H66:I66"/>
    <mergeCell ref="B10:C10"/>
    <mergeCell ref="E10:F10"/>
    <mergeCell ref="B11:C11"/>
    <mergeCell ref="E11:F11"/>
    <mergeCell ref="B12:C12"/>
    <mergeCell ref="E12:F12"/>
    <mergeCell ref="L33:M33"/>
    <mergeCell ref="I34:J34"/>
    <mergeCell ref="I41:J41"/>
    <mergeCell ref="G44:H44"/>
    <mergeCell ref="I51:J51"/>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2316480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2316480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2316480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2316480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2316480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2316480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2316480</xdr:colOff>
                    <xdr:row>37</xdr:row>
                    <xdr:rowOff>0</xdr:rowOff>
                  </from>
                  <to>
                    <xdr:col>5</xdr:col>
                    <xdr:colOff>53340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opLeftCell="A4" workbookViewId="0">
      <selection activeCell="E31" sqref="E31"/>
    </sheetView>
  </sheetViews>
  <sheetFormatPr defaultRowHeight="14.4" x14ac:dyDescent="0.3"/>
  <cols>
    <col min="1" max="1" width="10" customWidth="1"/>
    <col min="2" max="2" width="8.21875" customWidth="1"/>
    <col min="3" max="3" width="80.88671875" customWidth="1"/>
  </cols>
  <sheetData>
    <row r="1" spans="1:3" ht="31.95" customHeight="1" x14ac:dyDescent="0.3">
      <c r="A1" s="146" t="s">
        <v>230</v>
      </c>
      <c r="B1" s="146"/>
      <c r="C1" s="146"/>
    </row>
    <row r="2" spans="1:3" ht="24" customHeight="1" x14ac:dyDescent="0.3">
      <c r="A2" s="147" t="s">
        <v>229</v>
      </c>
      <c r="B2" s="147"/>
      <c r="C2" s="147"/>
    </row>
    <row r="3" spans="1:3" x14ac:dyDescent="0.3">
      <c r="A3" s="79"/>
      <c r="B3" s="79"/>
      <c r="C3" s="79"/>
    </row>
    <row r="4" spans="1:3" ht="24" customHeight="1" x14ac:dyDescent="0.3">
      <c r="A4" s="80" t="s">
        <v>224</v>
      </c>
      <c r="B4" s="81" t="s">
        <v>225</v>
      </c>
      <c r="C4" s="81" t="s">
        <v>226</v>
      </c>
    </row>
    <row r="5" spans="1:3" ht="24" customHeight="1" x14ac:dyDescent="0.3">
      <c r="A5" s="144" t="s">
        <v>227</v>
      </c>
      <c r="B5" s="145"/>
      <c r="C5" s="145"/>
    </row>
    <row r="6" spans="1:3" ht="15.6" x14ac:dyDescent="0.3">
      <c r="A6" s="89"/>
      <c r="B6" s="82" t="s">
        <v>550</v>
      </c>
      <c r="C6" s="83" t="s">
        <v>551</v>
      </c>
    </row>
    <row r="7" spans="1:3" ht="43.2" x14ac:dyDescent="0.3">
      <c r="A7" s="89"/>
      <c r="B7" s="82" t="s">
        <v>552</v>
      </c>
      <c r="C7" s="83" t="s">
        <v>553</v>
      </c>
    </row>
    <row r="8" spans="1:3" ht="15.6" x14ac:dyDescent="0.3">
      <c r="A8" s="89"/>
      <c r="B8" s="82" t="s">
        <v>554</v>
      </c>
      <c r="C8" s="83" t="s">
        <v>555</v>
      </c>
    </row>
    <row r="9" spans="1:3" x14ac:dyDescent="0.3">
      <c r="A9" s="84"/>
      <c r="B9" s="85"/>
      <c r="C9" s="88"/>
    </row>
    <row r="10" spans="1:3" ht="24" customHeight="1" x14ac:dyDescent="0.3">
      <c r="A10" s="144" t="s">
        <v>556</v>
      </c>
      <c r="B10" s="145"/>
      <c r="C10" s="145"/>
    </row>
    <row r="11" spans="1:3" ht="28.8" x14ac:dyDescent="0.3">
      <c r="A11" s="89"/>
      <c r="B11" s="82" t="s">
        <v>550</v>
      </c>
      <c r="C11" s="83" t="s">
        <v>557</v>
      </c>
    </row>
    <row r="12" spans="1:3" ht="15.6" x14ac:dyDescent="0.3">
      <c r="A12" s="89"/>
      <c r="B12" s="82" t="s">
        <v>552</v>
      </c>
      <c r="C12" s="83" t="s">
        <v>558</v>
      </c>
    </row>
    <row r="13" spans="1:3" ht="15.6" x14ac:dyDescent="0.3">
      <c r="A13" s="89"/>
      <c r="B13" s="82" t="s">
        <v>554</v>
      </c>
      <c r="C13" s="83" t="s">
        <v>559</v>
      </c>
    </row>
    <row r="14" spans="1:3" x14ac:dyDescent="0.3">
      <c r="A14" s="84"/>
      <c r="B14" s="85"/>
      <c r="C14" s="88"/>
    </row>
    <row r="15" spans="1:3" ht="24" customHeight="1" x14ac:dyDescent="0.3">
      <c r="A15" s="144" t="s">
        <v>560</v>
      </c>
      <c r="B15" s="145"/>
      <c r="C15" s="145"/>
    </row>
    <row r="16" spans="1:3" ht="15.6" x14ac:dyDescent="0.3">
      <c r="A16" s="89"/>
      <c r="B16" s="82" t="s">
        <v>550</v>
      </c>
      <c r="C16" s="83" t="s">
        <v>561</v>
      </c>
    </row>
    <row r="17" spans="1:3" ht="15.6" x14ac:dyDescent="0.3">
      <c r="A17" s="89"/>
      <c r="B17" s="82" t="s">
        <v>552</v>
      </c>
      <c r="C17" s="83" t="s">
        <v>562</v>
      </c>
    </row>
    <row r="18" spans="1:3" ht="15.6" x14ac:dyDescent="0.3">
      <c r="A18" s="89"/>
      <c r="B18" s="82" t="s">
        <v>554</v>
      </c>
      <c r="C18" s="83" t="s">
        <v>563</v>
      </c>
    </row>
    <row r="19" spans="1:3" x14ac:dyDescent="0.3">
      <c r="A19" s="84"/>
      <c r="B19" s="85"/>
      <c r="C19" s="88"/>
    </row>
    <row r="20" spans="1:3" ht="24" customHeight="1" x14ac:dyDescent="0.3">
      <c r="A20" s="144" t="s">
        <v>564</v>
      </c>
      <c r="B20" s="145"/>
      <c r="C20" s="145"/>
    </row>
    <row r="21" spans="1:3" ht="15.6" x14ac:dyDescent="0.3">
      <c r="A21" s="89"/>
      <c r="B21" s="82" t="s">
        <v>550</v>
      </c>
      <c r="C21" s="83" t="s">
        <v>565</v>
      </c>
    </row>
    <row r="22" spans="1:3" ht="15.6" x14ac:dyDescent="0.3">
      <c r="A22" s="89"/>
      <c r="B22" s="82" t="s">
        <v>552</v>
      </c>
      <c r="C22" s="83" t="s">
        <v>566</v>
      </c>
    </row>
    <row r="23" spans="1:3" ht="43.2" x14ac:dyDescent="0.3">
      <c r="A23" s="89"/>
      <c r="B23" s="82" t="s">
        <v>554</v>
      </c>
      <c r="C23" s="83" t="s">
        <v>567</v>
      </c>
    </row>
    <row r="24" spans="1:3" x14ac:dyDescent="0.3">
      <c r="A24" s="84"/>
      <c r="B24" s="85"/>
      <c r="C24" s="88"/>
    </row>
    <row r="25" spans="1:3" ht="24" customHeight="1" x14ac:dyDescent="0.3">
      <c r="A25" s="144" t="s">
        <v>228</v>
      </c>
      <c r="B25" s="145"/>
      <c r="C25" s="145"/>
    </row>
    <row r="26" spans="1:3" ht="28.8" x14ac:dyDescent="0.3">
      <c r="A26" s="89"/>
      <c r="B26" s="82" t="s">
        <v>550</v>
      </c>
      <c r="C26" s="83" t="s">
        <v>568</v>
      </c>
    </row>
    <row r="27" spans="1:3" ht="15.6" x14ac:dyDescent="0.3">
      <c r="A27" s="89"/>
      <c r="B27" s="82" t="s">
        <v>552</v>
      </c>
      <c r="C27" s="83" t="s">
        <v>569</v>
      </c>
    </row>
    <row r="28" spans="1:3" ht="28.8" x14ac:dyDescent="0.3">
      <c r="A28" s="89"/>
      <c r="B28" s="82" t="s">
        <v>554</v>
      </c>
      <c r="C28" s="83" t="s">
        <v>183</v>
      </c>
    </row>
    <row r="29" spans="1:3" x14ac:dyDescent="0.3">
      <c r="A29" s="84"/>
      <c r="B29" s="85"/>
      <c r="C29" s="88"/>
    </row>
    <row r="30" spans="1:3" ht="24" customHeight="1" x14ac:dyDescent="0.3">
      <c r="A30" s="144" t="s">
        <v>570</v>
      </c>
      <c r="B30" s="145"/>
      <c r="C30" s="145"/>
    </row>
    <row r="31" spans="1:3" ht="15.6" x14ac:dyDescent="0.3">
      <c r="A31" s="89"/>
      <c r="B31" s="82" t="s">
        <v>550</v>
      </c>
      <c r="C31" s="91">
        <v>37000</v>
      </c>
    </row>
    <row r="32" spans="1:3" ht="15.6" x14ac:dyDescent="0.3">
      <c r="A32" s="89"/>
      <c r="B32" s="82" t="s">
        <v>552</v>
      </c>
      <c r="C32" s="91">
        <v>63000</v>
      </c>
    </row>
    <row r="33" spans="1:3" ht="15.6" x14ac:dyDescent="0.3">
      <c r="A33" s="89"/>
      <c r="B33" s="82" t="s">
        <v>554</v>
      </c>
      <c r="C33" s="91">
        <v>20000</v>
      </c>
    </row>
    <row r="34" spans="1:3" ht="15.6" x14ac:dyDescent="0.3">
      <c r="A34" s="89"/>
      <c r="B34" s="82" t="s">
        <v>571</v>
      </c>
      <c r="C34" s="91">
        <v>120000</v>
      </c>
    </row>
    <row r="35" spans="1:3" x14ac:dyDescent="0.3">
      <c r="A35" s="84"/>
      <c r="B35" s="85"/>
      <c r="C35" s="88"/>
    </row>
    <row r="36" spans="1:3" ht="24" customHeight="1" x14ac:dyDescent="0.3">
      <c r="A36" s="144" t="s">
        <v>572</v>
      </c>
      <c r="B36" s="145"/>
      <c r="C36" s="145"/>
    </row>
    <row r="37" spans="1:3" ht="15.6" x14ac:dyDescent="0.3">
      <c r="A37" s="89"/>
      <c r="B37" s="82" t="s">
        <v>550</v>
      </c>
      <c r="C37" s="83" t="s">
        <v>375</v>
      </c>
    </row>
    <row r="38" spans="1:3" ht="15.6" x14ac:dyDescent="0.3">
      <c r="A38" s="89"/>
      <c r="B38" s="82" t="s">
        <v>552</v>
      </c>
      <c r="C38" s="83" t="s">
        <v>573</v>
      </c>
    </row>
    <row r="39" spans="1:3" ht="15.6" x14ac:dyDescent="0.3">
      <c r="A39" s="89"/>
      <c r="B39" s="82" t="s">
        <v>554</v>
      </c>
      <c r="C39" s="83" t="s">
        <v>413</v>
      </c>
    </row>
    <row r="40" spans="1:3" ht="15.6" x14ac:dyDescent="0.3">
      <c r="A40" s="89"/>
      <c r="B40" s="82" t="s">
        <v>571</v>
      </c>
      <c r="C40" s="83" t="s">
        <v>574</v>
      </c>
    </row>
    <row r="41" spans="1:3" x14ac:dyDescent="0.3">
      <c r="A41" s="84"/>
      <c r="B41" s="85"/>
      <c r="C41" s="88"/>
    </row>
    <row r="42" spans="1:3" ht="24" customHeight="1" x14ac:dyDescent="0.3">
      <c r="A42" s="144" t="s">
        <v>575</v>
      </c>
      <c r="B42" s="145"/>
      <c r="C42" s="145"/>
    </row>
    <row r="43" spans="1:3" ht="15.6" x14ac:dyDescent="0.3">
      <c r="A43" s="89"/>
      <c r="B43" s="82" t="s">
        <v>550</v>
      </c>
      <c r="C43" s="83" t="s">
        <v>576</v>
      </c>
    </row>
    <row r="44" spans="1:3" ht="15.6" x14ac:dyDescent="0.3">
      <c r="A44" s="89"/>
      <c r="B44" s="82" t="s">
        <v>552</v>
      </c>
      <c r="C44" s="83" t="s">
        <v>577</v>
      </c>
    </row>
    <row r="45" spans="1:3" ht="15.6" x14ac:dyDescent="0.3">
      <c r="A45" s="89"/>
      <c r="B45" s="82" t="s">
        <v>554</v>
      </c>
      <c r="C45" s="83" t="s">
        <v>578</v>
      </c>
    </row>
    <row r="46" spans="1:3" ht="15.6" x14ac:dyDescent="0.3">
      <c r="A46" s="90"/>
      <c r="B46" s="86" t="s">
        <v>571</v>
      </c>
      <c r="C46" s="87" t="s">
        <v>579</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3.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2026-09-20T22:08:56Z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