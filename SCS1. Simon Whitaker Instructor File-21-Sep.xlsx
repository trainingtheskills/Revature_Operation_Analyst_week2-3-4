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hlga\OneDrive\Desktop\AML\USA Batch - D8.30PM\Case Study\Small Case study 1\"/>
    </mc:Choice>
  </mc:AlternateContent>
  <xr:revisionPtr revIDLastSave="0" documentId="13_ncr:1_{2B4448BA-B852-4B9C-AD31-71E6B40BDC39}" xr6:coauthVersionLast="47" xr6:coauthVersionMax="47" xr10:uidLastSave="{00000000-0000-0000-0000-000000000000}"/>
  <bookViews>
    <workbookView xWindow="-108" yWindow="-108" windowWidth="23256" windowHeight="12456" tabRatio="869" activeTab="7"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Transactions!$A$1:$AB$23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 r="D20" i="4" s="1"/>
  <c r="D21" i="4" s="1"/>
  <c r="D22" i="4" s="1"/>
  <c r="D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<sst xmlns="http://schemas.openxmlformats.org/spreadsheetml/2006/main" count="626" uniqueCount="284">
  <si>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</si>
  <si>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</si>
  <si>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</si>
  <si>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</si>
  <si>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</si>
  <si>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</si>
  <si>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</si>
  <si>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</si>
  <si>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</si>
  <si>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</si>
  <si>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</si>
  <si>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</si>
  <si>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</si>
  <si>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</si>
  <si>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</si>
  <si>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</si>
  <si>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</si>
  <si>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</si>
  <si>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</si>
  <si>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</si>
  <si>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</si>
  <si>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</si>
  <si>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</si>
  <si>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</si>
  <si>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</si>
  <si>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</si>
  <si>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</si>
  <si>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</si>
  <si>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</si>
  <si>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</si>
  <si>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</si>
  <si>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</si>
  <si>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</si>
  <si>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</si>
  <si>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</si>
  <si>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</si>
  <si>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</si>
  <si>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</si>
  <si>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</si>
  <si>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</si>
  <si>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</si>
  <si>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</si>
  <si>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</si>
  <si>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</si>
  <si>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</si>
  <si>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</si>
  <si>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</si>
  <si>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</si>
  <si>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</si>
  <si>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</si>
  <si>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</si>
  <si>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</si>
  <si>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</si>
  <si>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</si>
  <si>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</si>
  <si>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</si>
  <si>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</si>
  <si>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</si>
  <si>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</si>
  <si>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</si>
  <si>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</si>
  <si>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Untagged</t>
  </si>
  <si>
    <t>Bank of America</t>
  </si>
  <si>
    <t>Cash</t>
  </si>
  <si>
    <t>C</t>
  </si>
  <si>
    <t>Teller Deposit</t>
  </si>
  <si>
    <t>TELLER01</t>
  </si>
  <si>
    <t>DEPOSITOR</t>
  </si>
  <si>
    <t>UNKNOWN</t>
  </si>
  <si>
    <t>ATM Deposit</t>
  </si>
  <si>
    <t>TELLER03</t>
  </si>
  <si>
    <t>TELLER02</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</si>
  <si>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</si>
  <si>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</si>
  <si>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</si>
  <si>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</si>
  <si>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</si>
  <si>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</si>
  <si>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</si>
  <si>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</si>
  <si>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</si>
  <si>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</si>
  <si>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</si>
  <si>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</si>
  <si>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</si>
  <si>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</si>
  <si>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</si>
  <si>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</si>
  <si>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</si>
  <si>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</si>
  <si>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</si>
  <si>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</si>
  <si>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</si>
  <si>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</si>
  <si>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</si>
  <si>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</si>
  <si>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</si>
  <si>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</si>
  <si>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</si>
  <si>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</si>
  <si>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</si>
  <si>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</si>
  <si>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</si>
  <si>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</si>
  <si>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</si>
  <si>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</si>
  <si>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</si>
  <si>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</si>
  <si>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</si>
  <si>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</si>
  <si>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</si>
  <si>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</si>
  <si>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</si>
  <si>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</si>
  <si>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</si>
  <si>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</si>
  <si>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</si>
  <si>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</si>
  <si>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</si>
  <si>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</si>
  <si>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</si>
  <si>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</si>
  <si>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</si>
  <si>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</si>
  <si>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</si>
  <si>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</si>
  <si>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</si>
  <si>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</si>
  <si>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</si>
  <si>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</si>
  <si>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</si>
  <si>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</si>
  <si>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</si>
  <si>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</si>
  <si>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</si>
  <si>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</si>
  <si>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</si>
  <si>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</si>
  <si>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</si>
  <si>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</si>
  <si>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</si>
  <si>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</si>
  <si>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</si>
  <si>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</si>
  <si>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</si>
  <si>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</si>
  <si>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</si>
  <si>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</si>
  <si>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</si>
  <si>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</si>
  <si>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</si>
  <si>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</si>
  <si>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</si>
  <si>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</si>
  <si>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</si>
  <si>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</si>
  <si>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</si>
  <si>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</si>
  <si>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</si>
  <si>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</si>
  <si>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</si>
  <si>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</si>
  <si>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</si>
  <si>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</si>
  <si>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</si>
  <si>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</si>
  <si>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</si>
  <si>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</si>
  <si>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</si>
  <si>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</si>
  <si>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</si>
  <si>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</si>
  <si>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What is the primary red flag that initiates the suspicion in this account?</t>
  </si>
  <si>
    <t>a</t>
  </si>
  <si>
    <t>X</t>
  </si>
  <si>
    <t>b</t>
  </si>
  <si>
    <t>c</t>
  </si>
  <si>
    <t>What is the most appropriate next step for the analyst upon completing this review?</t>
  </si>
  <si>
    <t>Recipient Account</t>
  </si>
  <si>
    <t>P</t>
  </si>
  <si>
    <t>Simon Whitaker</t>
  </si>
  <si>
    <t>Group 1</t>
  </si>
  <si>
    <t>ACH</t>
  </si>
  <si>
    <t>Group 2</t>
  </si>
  <si>
    <t>Inventory Purchase</t>
  </si>
  <si>
    <t>Machinery Deposit</t>
  </si>
  <si>
    <t>Equipment Purchase</t>
  </si>
  <si>
    <t>Equipment</t>
  </si>
  <si>
    <t>It indicates that the account should be closed immediately due to high risk.</t>
  </si>
  <si>
    <t>7245 E Cactus Wren Rd</t>
  </si>
  <si>
    <t>Scottsdale, AZ 85253</t>
  </si>
  <si>
    <t>480-555-0193</t>
  </si>
  <si>
    <t>(480) 555-0193</t>
  </si>
  <si>
    <t>526-33-8841</t>
  </si>
  <si>
    <t>s.whitaker.az@email.com</t>
  </si>
  <si>
    <t>Retired</t>
  </si>
  <si>
    <t>Structured Cash Deposit</t>
  </si>
  <si>
    <t>Desert Ridge Senior Living - Monthly Residence Fee</t>
  </si>
  <si>
    <t>Desert Ridge Senior Living LLC</t>
  </si>
  <si>
    <t>Western Alliance Bank</t>
  </si>
  <si>
    <t>Monthly residence fee</t>
  </si>
  <si>
    <t>Social Security Administration - Retirement Benefit</t>
  </si>
  <si>
    <t>Social Security Administration</t>
  </si>
  <si>
    <t>U.S. Treasury</t>
  </si>
  <si>
    <t>Monthly retirement benefit</t>
  </si>
  <si>
    <t>Scottsdale</t>
  </si>
  <si>
    <t>AZ</t>
  </si>
  <si>
    <t>AZ-SCT-02</t>
  </si>
  <si>
    <t>14:08</t>
  </si>
  <si>
    <t>Currency deposit</t>
  </si>
  <si>
    <t>Outgoing Wire Transfer - Viktor Balan</t>
  </si>
  <si>
    <t>Viktor Balan</t>
  </si>
  <si>
    <t>Wells Fargo Bank N.A.</t>
  </si>
  <si>
    <t>7741002398</t>
  </si>
  <si>
    <t>Phoenix</t>
  </si>
  <si>
    <t>AZ-PHX-05</t>
  </si>
  <si>
    <t>11:36</t>
  </si>
  <si>
    <t>Construction Materials Advance</t>
  </si>
  <si>
    <t>Mesa</t>
  </si>
  <si>
    <t>AZ-MES-01</t>
  </si>
  <si>
    <t>ATM-MES-307</t>
  </si>
  <si>
    <t>16:52</t>
  </si>
  <si>
    <t>Freight Settlement</t>
  </si>
  <si>
    <t>Glendale</t>
  </si>
  <si>
    <t>AZ-GLN-04</t>
  </si>
  <si>
    <t>10:19</t>
  </si>
  <si>
    <t>Tempe</t>
  </si>
  <si>
    <t>AZ-TEM-03</t>
  </si>
  <si>
    <t>ATM-TEM-142</t>
  </si>
  <si>
    <t>17:41</t>
  </si>
  <si>
    <t>7245 E Cactus Wren Rd, Scottsdale, AZ 85253</t>
  </si>
  <si>
    <t>4805550193001</t>
  </si>
  <si>
    <t>1147 Greenspoint Dr, Houston, TX 77060</t>
  </si>
  <si>
    <t>Materials</t>
  </si>
  <si>
    <t>Freight</t>
  </si>
  <si>
    <t>Inventory</t>
  </si>
  <si>
    <t>Machinery</t>
  </si>
  <si>
    <t>SUPPORTING DOCUMENTS - CASH DEPOSIT RECEIPTS</t>
  </si>
  <si>
    <t>Deposit receipts for the five alerted currency deposits, reproduced from the Transactions tab for case-study review.</t>
  </si>
  <si>
    <t>TRAINING SAMPLE - NOT A NEGOTIABLE INSTRUMENT</t>
  </si>
  <si>
    <t>Receipt No.</t>
  </si>
  <si>
    <t>Value Date</t>
  </si>
  <si>
    <t>Channel</t>
  </si>
  <si>
    <t>Teller / Terminal</t>
  </si>
  <si>
    <t>Amount (USD)</t>
  </si>
  <si>
    <t>RCP-2026-301</t>
  </si>
  <si>
    <t>RCP-2026-302</t>
  </si>
  <si>
    <t>RCP-2026-303</t>
  </si>
  <si>
    <t>RCP-2026-304</t>
  </si>
  <si>
    <t>RCP-2026-305</t>
  </si>
  <si>
    <t>Structured Cash Deposits</t>
  </si>
  <si>
    <t>The customer's age and his address in Scottsdale, AZ.</t>
  </si>
  <si>
    <t>Five currency deposits of $8,000 to $9,500, each below the $10,000 reporting threshold and each made at a different branch, wired out three days later to an individual with no recorded relationship to the customer.</t>
  </si>
  <si>
    <t>The monthly residence fee of $845.20 paid to Desert Ridge Senior Living.</t>
  </si>
  <si>
    <t>Why is the customer's Retired status, with Social Security as the only recorded income, a critical piece of information in this investigation?</t>
  </si>
  <si>
    <t>It records income of $13,104.00 for the period, and nothing on file explains currency deposits of $43,750.00 or the commercial purposes stated on the wires.</t>
  </si>
  <si>
    <t>It explains why he receives cash gifts from family members.</t>
  </si>
  <si>
    <t>Five currency deposits, each below the $10,000 reporting threshold, made at five different branches in five cities, are best described as:</t>
  </si>
  <si>
    <t>Normal cash handling by a retiree who prefers to use currency.</t>
  </si>
  <si>
    <t>Structuring of currency deposits across multiple transaction locations.</t>
  </si>
  <si>
    <t>Counterfeit instrument activity.</t>
  </si>
  <si>
    <t>Which combination of factors regarding the five wire transfers makes them most suspicious?</t>
  </si>
  <si>
    <t>The wires were all sent on weekdays.</t>
  </si>
  <si>
    <t>The wire amounts are all below $10,000.</t>
  </si>
  <si>
    <t>All five were sent to the same individual, who has no recorded relationship to the customer, three days after each deposit, under commercial narrations such as “Equipment Purchase” and “Inventory Purchase” although no business is recorded for the customer.</t>
  </si>
  <si>
    <t>Close the alert, as each deposit is below the $10,000 reporting threshold and no currency transaction report was required.</t>
  </si>
  <si>
    <t>Contact the customer to ask for clarification on the source of the currency deposits.</t>
  </si>
  <si>
    <t>Escalate the case and recommend filing a Suspicious Activity Report (SAR) based on the combined red flags.</t>
  </si>
  <si>
    <t>What is the total dollar amount of the currency deposits received over the six-month review period?</t>
  </si>
  <si>
    <t>a) $43,200</t>
  </si>
  <si>
    <t>b) $43,750</t>
  </si>
  <si>
    <t>c) $13,104</t>
  </si>
  <si>
    <t>d) $5,071.20</t>
  </si>
  <si>
    <t>How many separate beneficiaries received the five outgoing wire transfers?</t>
  </si>
  <si>
    <t>a) One beneficiary</t>
  </si>
  <si>
    <t>b) Three beneficiaries</t>
  </si>
  <si>
    <t>c) Five beneficiaries</t>
  </si>
  <si>
    <t>d) Ten beneficiaries</t>
  </si>
  <si>
    <t>How many days elapsed between each currency deposit and the wire transfer that followed it?</t>
  </si>
  <si>
    <t>a) One day</t>
  </si>
  <si>
    <t>b) Three days</t>
  </si>
  <si>
    <t>c) Fourteen days</t>
  </si>
  <si>
    <t>d) The interval varied between one and thirty days</t>
  </si>
  <si>
    <t>Bank is filing SAR on Simon Whitaker to report structured currency deposits totaling $43,750.00 and subsequent outgoing wire transfers between 03/16/2026 and 07/23/2026 totaling $43,200.00.
This case was generated due to automated monitoring alerts for five currency deposits made to the personal checking account of Simon Whitaker (#4805550193001), each of which is below the $10,000 currency transaction reporting threshold. The account activity for the period 03/01/2026 to 08/31/2026 was reviewed.
The customer, Simon Whitaker (DOB 02/11/1945, aged 81), resides at 7245 E Cactus Wren Rd, Scottsdale, Arizona 85253. Internal records list his occupation as Retired with no employer of record. The account was opened on 05/04/1998. No business account, business interest, self-employment or additional source of income is recorded on file.
During the review period the account received 6 credits by ACH from the Social Security Administration of $2,184.00 each, totaling $13,104.00. This is the only source of income recorded for the customer.
Over the same period the account recorded 6 recurring living-expense debits of $845.20 each, totaling $5,071.20, paid by ACH to Desert Ridge Senior Living LLC as a monthly residence fee. No other living-expense debit is recorded on the account during the review period.
The alerted transactions are 5 currency deposits totaling $43,750.00, categorized as Group 1. Each deposit is below the $10,000 currency transaction reporting threshold and each was made at a different banking location:
$8,400.00 on 03/16/2026, teller deposit at branch AZ-SCT-02, Scottsdale, Arizona, 14:08 local time.
$9,100.00 on 04/20/2026, teller deposit at branch AZ-PHX-05, Phoenix, Arizona, 11:36 local time.
$8,750.00 on 05/18/2026, atm deposit at branch AZ-MES-01, Mesa, Arizona, 16:52 local time.
$9,500.00 on 06/22/2026, teller deposit at branch AZ-GLN-04, Glendale, Arizona, 10:19 local time.
$8,000.00 on 07/20/2026, atm deposit at branch AZ-TEM-03, Tempe, Arizona, 17:41 local time.
The five deposits were made at five banking locations in five cities in Arizona. The customer's recorded address is in Scottsdale, Arizona. No currency deposit is recorded on the account during the review period before 03/16/2026.
Three days after each deposit the funds were transferred out of the account by outgoing wire, categorized as Group 2. 5 wires totaling $43,200.00 were sent to the same beneficiary, Viktor Balan, an individual at 1147 Greenspoint Dr, Houston, Texas 77060, account 7741002398 at Wells Fargo Bank N.A.:
$8,300.00 on 03/19/2026 to Viktor Balan, 1147 Greenspoint Dr, Houston, TX 77060, via Wells Fargo Bank N.A., account 7741002398, stated purpose "Equipment Purchase".
$9,000.00 on 04/23/2026 to Viktor Balan, 1147 Greenspoint Dr, Houston, TX 77060, via Wells Fargo Bank N.A., account 7741002398, stated purpose "Construction Materials Advance".
$8,600.00 on 05/21/2026 to Viktor Balan, 1147 Greenspoint Dr, Houston, TX 77060, via Wells Fargo Bank N.A., account 7741002398, stated purpose "Freight Settlement".
$9,400.00 on 06/25/2026 to Viktor Balan, 1147 Greenspoint Dr, Houston, TX 77060, via Wells Fargo Bank N.A., account 7741002398, stated purpose "Inventory Purchase".
$7,900.00 on 07/23/2026 to Viktor Balan, 1147 Greenspoint Dr, Houston, TX 77060, via Wells Fargo Bank N.A., account 7741002398, stated purpose "Machinery Deposit".
The interval between each deposit and the wire that followed it was 3 days on every occasion: 03/16 to 03/19, 04/20 to 04/23, 05/18 to 05/21, 06/22 to 06/25 and 07/20 to 07/23. On each occasion the wire amount was $100.00 to $150.00 lower than the deposit, and the amounts retained in the account across the five cycles total $550.00. Following each wire the account balance was $4,588.80, $6,027.60, $7,516.40, $8,955.20 and $10,394.00 respectively.
No debit recorded in the account during the review period, other than the 5 wires listed above, is of a value corresponding to the deposited funds. The 6 living-expense debits total $5,071.20 against Social Security credits of $13,104.00.
Bank records hold no record of any family, employment or commercial relationship between the customer and Viktor Balan, and no prior transaction with this beneficiary is recorded on the account. Open-source research returned no information connecting the customer to Viktor Balan and no public record for him.
The stated purposes of the five wires - "Equipment Purchase", "Construction Materials Advance", "Freight Settlement", "Inventory Purchase" and "Machinery Deposit" - are commercial in nature. No business, self-employment, trade or commercial activity is recorded for the customer, whose recorded occupation is Retired. Bank records hold no invoice, contract, purchase order or other documentation supporting the stated purpose of any of the five wires.
No source-of-funds or source-of-wealth documentation supporting currency deposits of $43,750.00 is held on file.
Therefore, this activity is deemed suspicious, and it is recommended to file a Suspicious Activity Report (SAR). The amount reported is $43,750.00, being the currency deposited into the account; the $43,200.00 of outgoing wire transfers represents the same funds leaving the account and is described above rather than added to the reported amount.
Customer Simon Whitaker (DOB 02/11/1945) is located in Scottsdale, AZ. Internal records list the occupation as Retired with no employer of record, and the customer has held the account since 05/04/1998. Open-source research failed to find any pertinent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</si>
</sst>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164" fontId="1" fillId="0" borderId="0" applyFont="0" applyFill="0" applyBorder="0" applyAlignment="0" applyProtection="0"/>
  </cellStyleXfs>
  <cellXfs count="109">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5"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4"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4"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0" applyFont="1" applyAlignment="1">
      <alignment wrapText="1"/>
    </xf>
    <xf numFmtId="164" fontId="0" fillId="4" borderId="0" xfId="1" applyFont="1" applyFill="1"/>
    <xf numFmtId="0" fontId="0" fillId="5" borderId="0" xfId="0" applyFill="1"/>
    <xf numFmtId="166" fontId="0" fillId="0" borderId="0" xfId="1" applyNumberFormat="1" applyFont="1"/>
    <xf numFmtId="0" fontId="16" fillId="7" borderId="0" xfId="0" applyFont="1" applyFill="1" applyAlignment="1">
      <alignment horizontal="center" vertical="center"/>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0" fillId="0" borderId="0" xfId="0"/>
    <xf numFmtId="0" fontId="15" fillId="0" borderId="0" xfId="0" applyFont="1" applyAlignment="1">
      <alignment horizontal="center"/>
    </xf>
    <xf numFmtId="0" fontId="16" fillId="7"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workbookViewId="0">
      <selection activeCell="A17" sqref="A17:A18"/>
    </sheetView>
  </sheetViews>
  <sheetFormatPr defaultColWidth="8.77734375" defaultRowHeight="14.4" x14ac:dyDescent="0.3"/>
  <cols>
    <col min="1" max="1" width="24.44140625" bestFit="1" customWidth="1"/>
    <col min="2" max="2" width="15.77734375" bestFit="1" customWidth="1"/>
    <col min="3" max="3" width="6.44140625" bestFit="1" customWidth="1"/>
    <col min="4" max="4" width="33.109375" bestFit="1" customWidth="1"/>
    <col min="5" max="5" width="25.109375" bestFit="1" customWidth="1"/>
  </cols>
  <sheetData>
    <row r="1" spans="1:5" ht="21" x14ac:dyDescent="0.4">
      <c r="B1" s="43" t="s">
        <v>180</v>
      </c>
    </row>
    <row r="2" spans="1:5" x14ac:dyDescent="0.3">
      <c r="A2" s="63" t="s">
        <v>0</v>
      </c>
      <c r="B2" s="64"/>
      <c r="C2" s="65"/>
      <c r="D2" s="66" t="s">
        <v>1</v>
      </c>
      <c r="E2" s="67"/>
    </row>
    <row r="3" spans="1:5" x14ac:dyDescent="0.3">
      <c r="A3" t="s">
        <v>2</v>
      </c>
      <c r="B3" t="s">
        <v>189</v>
      </c>
      <c r="D3" t="s">
        <v>3</v>
      </c>
      <c r="E3" s="1">
        <v>35919</v>
      </c>
    </row>
    <row r="4" spans="1:5" x14ac:dyDescent="0.3">
      <c r="B4" t="s">
        <v>190</v>
      </c>
      <c r="D4" t="s">
        <v>4</v>
      </c>
      <c r="E4" t="s">
        <v>191</v>
      </c>
    </row>
    <row r="5" spans="1:5" x14ac:dyDescent="0.3">
      <c r="B5" t="s">
        <v>5</v>
      </c>
    </row>
    <row r="6" spans="1:5" x14ac:dyDescent="0.3">
      <c r="D6" s="66" t="s">
        <v>6</v>
      </c>
      <c r="E6" s="67"/>
    </row>
    <row r="7" spans="1:5" x14ac:dyDescent="0.3">
      <c r="D7" t="s">
        <v>7</v>
      </c>
      <c r="E7" t="s">
        <v>192</v>
      </c>
    </row>
    <row r="8" spans="1:5" x14ac:dyDescent="0.3">
      <c r="A8" t="s">
        <v>8</v>
      </c>
      <c r="B8" t="s">
        <v>193</v>
      </c>
      <c r="D8" t="s">
        <v>9</v>
      </c>
      <c r="E8" t="s">
        <v>194</v>
      </c>
    </row>
    <row r="9" spans="1:5" x14ac:dyDescent="0.3">
      <c r="A9" t="s">
        <v>10</v>
      </c>
      <c r="B9" s="1">
        <v>16479</v>
      </c>
    </row>
    <row r="10" spans="1:5" x14ac:dyDescent="0.3">
      <c r="A10" t="s">
        <v>11</v>
      </c>
      <c r="B10" t="s">
        <v>195</v>
      </c>
    </row>
    <row r="11" spans="1:5" x14ac:dyDescent="0.3">
      <c r="A11" t="s">
        <v>12</v>
      </c>
      <c r="B11" t="s">
        <v>13</v>
      </c>
    </row>
    <row r="16" spans="1:5" x14ac:dyDescent="0.3">
      <c r="A16" s="44" t="s">
        <v>14</v>
      </c>
      <c r="B16" s="45" t="s">
        <v>15</v>
      </c>
      <c r="C16" s="45" t="s">
        <v>16</v>
      </c>
      <c r="D16" s="45" t="s">
        <v>17</v>
      </c>
      <c r="E16" s="46" t="s">
        <v>18</v>
      </c>
    </row>
    <row r="17" spans="1:5" x14ac:dyDescent="0.3">
      <c r="A17" s="41">
        <v>4805550193001</v>
      </c>
      <c r="B17" t="s">
        <v>19</v>
      </c>
      <c r="C17" t="s">
        <v>20</v>
      </c>
      <c r="D17" s="1">
        <v>35919</v>
      </c>
    </row>
    <row r="18" spans="1:5" x14ac:dyDescent="0.3">
      <c r="A18" s="41">
        <v>4805550193002</v>
      </c>
      <c r="B18" t="s">
        <v>21</v>
      </c>
      <c r="C18" t="s">
        <v>20</v>
      </c>
      <c r="D18" s="1">
        <v>35919</v>
      </c>
    </row>
    <row r="20" spans="1:5" x14ac:dyDescent="0.3">
      <c r="A20" s="63" t="s">
        <v>22</v>
      </c>
      <c r="B20" s="64"/>
      <c r="C20" s="64"/>
      <c r="D20" s="64"/>
      <c r="E20" s="67"/>
    </row>
    <row r="21" spans="1:5" x14ac:dyDescent="0.3">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workbookViewId="0">
      <selection activeCell="A2" sqref="A2"/>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3" t="s">
        <v>180</v>
      </c>
    </row>
    <row r="2" spans="1:8" x14ac:dyDescent="0.3">
      <c r="A2" s="47" t="s">
        <v>24</v>
      </c>
      <c r="B2" s="48" t="s">
        <v>25</v>
      </c>
      <c r="C2" s="49" t="s">
        <v>26</v>
      </c>
      <c r="D2" s="47" t="s">
        <v>27</v>
      </c>
      <c r="E2" s="47" t="s">
        <v>28</v>
      </c>
      <c r="F2" s="47" t="s">
        <v>16</v>
      </c>
      <c r="G2" s="50" t="s">
        <v>17</v>
      </c>
      <c r="H2" s="50" t="s">
        <v>29</v>
      </c>
    </row>
    <row r="3" spans="1:8" x14ac:dyDescent="0.3">
      <c r="A3" t="s">
        <v>19</v>
      </c>
      <c r="B3" t="s">
        <v>30</v>
      </c>
      <c r="C3" s="41">
        <v>4805550193001</v>
      </c>
      <c r="D3" t="s">
        <v>180</v>
      </c>
      <c r="E3">
        <v>5</v>
      </c>
      <c r="F3" t="s">
        <v>20</v>
      </c>
      <c r="G3" s="1">
        <v>35919</v>
      </c>
    </row>
    <row r="4" spans="1:8" x14ac:dyDescent="0.3">
      <c r="A4" t="s">
        <v>21</v>
      </c>
      <c r="B4" t="s">
        <v>30</v>
      </c>
      <c r="C4" s="41">
        <v>4805550193002</v>
      </c>
      <c r="D4" t="s">
        <v>180</v>
      </c>
      <c r="E4">
        <v>0</v>
      </c>
      <c r="F4" t="s">
        <v>20</v>
      </c>
      <c r="G4" s="1">
        <v>35919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8"/>
  <sheetViews>
    <sheetView showGridLines="0" workbookViewId="0">
      <selection activeCell="K15" sqref="K15"/>
    </sheetView>
  </sheetViews>
  <sheetFormatPr defaultColWidth="8.77734375" defaultRowHeight="14.4" x14ac:dyDescent="0.3"/>
  <cols>
    <col min="1" max="1" width="20.44140625" customWidth="1"/>
    <col min="2" max="2" width="11.109375" bestFit="1" customWidth="1"/>
    <col min="3" max="3" width="16.77734375" style="41" bestFit="1" customWidth="1"/>
    <col min="4" max="4" width="10.109375" style="42" bestFit="1" customWidth="1"/>
    <col min="5" max="5" width="2.109375" bestFit="1" customWidth="1"/>
    <col min="6" max="6" width="5.109375" bestFit="1" customWidth="1"/>
  </cols>
  <sheetData>
    <row r="1" spans="1:6" x14ac:dyDescent="0.3">
      <c r="A1" s="51" t="s">
        <v>31</v>
      </c>
      <c r="B1" s="1">
        <v>46266</v>
      </c>
      <c r="C1" s="1"/>
    </row>
    <row r="3" spans="1:6" x14ac:dyDescent="0.3">
      <c r="A3" s="52" t="s">
        <v>32</v>
      </c>
      <c r="B3" s="53" t="s">
        <v>33</v>
      </c>
      <c r="C3" s="54" t="s">
        <v>24</v>
      </c>
      <c r="D3" s="55" t="s">
        <v>34</v>
      </c>
      <c r="E3" s="56"/>
      <c r="F3" s="56" t="s">
        <v>15</v>
      </c>
    </row>
    <row r="4" spans="1:6" x14ac:dyDescent="0.3">
      <c r="A4" t="s">
        <v>196</v>
      </c>
      <c r="B4" s="1">
        <v>46097</v>
      </c>
      <c r="C4" s="41">
        <v>4805550193001</v>
      </c>
      <c r="D4" s="42">
        <v>8400</v>
      </c>
      <c r="E4" t="s">
        <v>64</v>
      </c>
      <c r="F4" t="s">
        <v>63</v>
      </c>
    </row>
    <row r="5" spans="1:6" x14ac:dyDescent="0.3">
      <c r="A5" t="s">
        <v>196</v>
      </c>
      <c r="B5" s="1">
        <v>46132</v>
      </c>
      <c r="C5" s="41">
        <v>4805550193001</v>
      </c>
      <c r="D5" s="42">
        <v>9100</v>
      </c>
      <c r="E5" t="s">
        <v>64</v>
      </c>
      <c r="F5" t="s">
        <v>63</v>
      </c>
    </row>
    <row r="6" spans="1:6" x14ac:dyDescent="0.3">
      <c r="A6" t="s">
        <v>196</v>
      </c>
      <c r="B6" s="1">
        <v>46160</v>
      </c>
      <c r="C6" s="41">
        <v>4805550193001</v>
      </c>
      <c r="D6" s="42">
        <v>8750</v>
      </c>
      <c r="E6" t="s">
        <v>64</v>
      </c>
      <c r="F6" t="s">
        <v>63</v>
      </c>
    </row>
    <row r="7" spans="1:6" x14ac:dyDescent="0.3">
      <c r="A7" t="s">
        <v>196</v>
      </c>
      <c r="B7" s="1">
        <v>46195</v>
      </c>
      <c r="C7" s="41">
        <v>4805550193001</v>
      </c>
      <c r="D7" s="42">
        <v>9500</v>
      </c>
      <c r="E7" t="s">
        <v>64</v>
      </c>
      <c r="F7" t="s">
        <v>63</v>
      </c>
    </row>
    <row r="8" spans="1:6" x14ac:dyDescent="0.3">
      <c r="A8" t="s">
        <v>196</v>
      </c>
      <c r="B8" s="1">
        <v>46223</v>
      </c>
      <c r="C8" s="41">
        <v>4805550193001</v>
      </c>
      <c r="D8" s="42">
        <v>8000</v>
      </c>
      <c r="E8" t="s">
        <v>64</v>
      </c>
      <c r="F8"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filterMode="1"/>
  <dimension ref="A1:AB23"/>
  <sheetViews>
    <sheetView workbookViewId="0">
      <pane ySplit="1" topLeftCell="A2" activePane="bottomLeft" state="frozen"/>
      <selection pane="bottomLeft" activeCell="I28" sqref="I28"/>
    </sheetView>
  </sheetViews>
  <sheetFormatPr defaultColWidth="8.77734375" defaultRowHeight="14.4" x14ac:dyDescent="0.3"/>
  <cols>
    <col min="1" max="1" width="15.77734375" bestFit="1" customWidth="1"/>
    <col min="2" max="2" width="16.77734375" style="41" bestFit="1" customWidth="1"/>
    <col min="3" max="3" width="6.44140625" bestFit="1" customWidth="1"/>
    <col min="4" max="4" width="15" style="42" bestFit="1" customWidth="1"/>
    <col min="5" max="5" width="10.77734375" bestFit="1" customWidth="1"/>
    <col min="6" max="7" width="10.44140625" style="42"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37</v>
      </c>
      <c r="B1" s="41" t="s">
        <v>24</v>
      </c>
      <c r="C1" t="s">
        <v>38</v>
      </c>
      <c r="D1" s="42" t="s">
        <v>39</v>
      </c>
      <c r="E1" t="s">
        <v>33</v>
      </c>
      <c r="F1" s="42" t="s">
        <v>40</v>
      </c>
      <c r="G1" s="42" t="s">
        <v>41</v>
      </c>
      <c r="H1" t="s">
        <v>15</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178</v>
      </c>
      <c r="AB1" t="s">
        <v>60</v>
      </c>
    </row>
    <row r="2" spans="1:28" hidden="1" x14ac:dyDescent="0.3">
      <c r="A2" t="s">
        <v>180</v>
      </c>
      <c r="B2" s="41">
        <v>4805550193001</v>
      </c>
      <c r="C2" t="s">
        <v>179</v>
      </c>
      <c r="D2" s="61">
        <v>2304.8000000000002</v>
      </c>
      <c r="E2" s="1">
        <v>46084</v>
      </c>
      <c r="F2" s="42">
        <v>0</v>
      </c>
      <c r="G2" s="59">
        <v>845.2</v>
      </c>
      <c r="H2" t="s">
        <v>182</v>
      </c>
      <c r="I2" t="s">
        <v>35</v>
      </c>
      <c r="J2" t="s">
        <v>61</v>
      </c>
      <c r="K2" t="s">
        <v>197</v>
      </c>
      <c r="U2" s="1">
        <v>46084</v>
      </c>
      <c r="V2" t="s">
        <v>180</v>
      </c>
      <c r="W2" t="s">
        <v>62</v>
      </c>
      <c r="X2">
        <v>4805550193001</v>
      </c>
      <c r="Y2" t="s">
        <v>198</v>
      </c>
      <c r="Z2" t="s">
        <v>199</v>
      </c>
      <c r="AB2" t="s">
        <v>200</v>
      </c>
    </row>
    <row r="3" spans="1:28" hidden="1" x14ac:dyDescent="0.3">
      <c r="A3" t="s">
        <v>180</v>
      </c>
      <c r="B3" s="41">
        <v>4805550193001</v>
      </c>
      <c r="C3" t="s">
        <v>179</v>
      </c>
      <c r="D3" s="61">
        <f t="shared" ref="D3:D23" si="0">D2+F3-G3</f>
        <v>4488.8</v>
      </c>
      <c r="E3" s="1">
        <v>46093</v>
      </c>
      <c r="F3" s="42">
        <v>2184</v>
      </c>
      <c r="G3" s="59">
        <v>0</v>
      </c>
      <c r="H3" t="s">
        <v>182</v>
      </c>
      <c r="I3" t="s">
        <v>64</v>
      </c>
      <c r="J3" t="s">
        <v>61</v>
      </c>
      <c r="K3" t="s">
        <v>201</v>
      </c>
      <c r="U3" s="1">
        <v>46093</v>
      </c>
      <c r="V3" t="s">
        <v>202</v>
      </c>
      <c r="W3" t="s">
        <v>203</v>
      </c>
      <c r="AB3" t="s">
        <v>204</v>
      </c>
    </row>
    <row r="4" spans="1:28" hidden="1" x14ac:dyDescent="0.3">
      <c r="A4" t="s">
        <v>180</v>
      </c>
      <c r="B4" s="41">
        <v>4805550193001</v>
      </c>
      <c r="C4" t="s">
        <v>179</v>
      </c>
      <c r="D4" s="61">
        <f t="shared" si="0"/>
        <v>12888.8</v>
      </c>
      <c r="E4" s="1">
        <v>46097</v>
      </c>
      <c r="F4" s="42">
        <v>8400</v>
      </c>
      <c r="G4" s="59">
        <v>0</v>
      </c>
      <c r="H4" t="s">
        <v>63</v>
      </c>
      <c r="I4" t="s">
        <v>64</v>
      </c>
      <c r="J4" t="s">
        <v>181</v>
      </c>
      <c r="K4" t="s">
        <v>65</v>
      </c>
      <c r="N4" t="s">
        <v>205</v>
      </c>
      <c r="O4" t="s">
        <v>206</v>
      </c>
      <c r="Q4" t="s">
        <v>207</v>
      </c>
      <c r="R4" t="s">
        <v>70</v>
      </c>
      <c r="T4" s="57" t="s">
        <v>208</v>
      </c>
      <c r="U4" s="1">
        <v>46097</v>
      </c>
      <c r="V4" t="s">
        <v>67</v>
      </c>
      <c r="W4" t="s">
        <v>68</v>
      </c>
      <c r="AB4" t="s">
        <v>209</v>
      </c>
    </row>
    <row r="5" spans="1:28" x14ac:dyDescent="0.3">
      <c r="A5" t="s">
        <v>180</v>
      </c>
      <c r="B5" s="41">
        <v>4805550193001</v>
      </c>
      <c r="C5" t="s">
        <v>179</v>
      </c>
      <c r="D5" s="61">
        <f t="shared" si="0"/>
        <v>4588.7999999999993</v>
      </c>
      <c r="E5" s="1">
        <v>46100</v>
      </c>
      <c r="F5" s="42">
        <v>0</v>
      </c>
      <c r="G5" s="59">
        <v>8300</v>
      </c>
      <c r="H5" t="s">
        <v>36</v>
      </c>
      <c r="I5" t="s">
        <v>35</v>
      </c>
      <c r="J5" t="s">
        <v>183</v>
      </c>
      <c r="K5" t="s">
        <v>210</v>
      </c>
      <c r="U5" s="1">
        <v>46100</v>
      </c>
      <c r="V5" t="s">
        <v>180</v>
      </c>
      <c r="W5" t="s">
        <v>62</v>
      </c>
      <c r="X5">
        <v>4805550193001</v>
      </c>
      <c r="Y5" t="s">
        <v>211</v>
      </c>
      <c r="Z5" t="s">
        <v>212</v>
      </c>
      <c r="AA5" t="s">
        <v>213</v>
      </c>
      <c r="AB5" t="s">
        <v>186</v>
      </c>
    </row>
    <row r="6" spans="1:28" hidden="1" x14ac:dyDescent="0.3">
      <c r="A6" t="s">
        <v>180</v>
      </c>
      <c r="B6" s="41">
        <v>4805550193001</v>
      </c>
      <c r="C6" t="s">
        <v>179</v>
      </c>
      <c r="D6" s="61">
        <f t="shared" si="0"/>
        <v>3743.5999999999995</v>
      </c>
      <c r="E6" s="1">
        <v>46115</v>
      </c>
      <c r="F6" s="42">
        <v>0</v>
      </c>
      <c r="G6" s="59">
        <v>845.2</v>
      </c>
      <c r="H6" t="s">
        <v>182</v>
      </c>
      <c r="I6" t="s">
        <v>35</v>
      </c>
      <c r="J6" t="s">
        <v>61</v>
      </c>
      <c r="K6" t="s">
        <v>197</v>
      </c>
      <c r="U6" s="1">
        <v>46115</v>
      </c>
      <c r="V6" t="s">
        <v>180</v>
      </c>
      <c r="W6" t="s">
        <v>62</v>
      </c>
      <c r="X6">
        <v>4805550193001</v>
      </c>
      <c r="Y6" t="s">
        <v>198</v>
      </c>
      <c r="Z6" t="s">
        <v>199</v>
      </c>
      <c r="AB6" t="s">
        <v>200</v>
      </c>
    </row>
    <row r="7" spans="1:28" hidden="1" x14ac:dyDescent="0.3">
      <c r="A7" t="s">
        <v>180</v>
      </c>
      <c r="B7" s="41">
        <v>4805550193001</v>
      </c>
      <c r="C7" t="s">
        <v>179</v>
      </c>
      <c r="D7" s="61">
        <f t="shared" si="0"/>
        <v>5927.5999999999995</v>
      </c>
      <c r="E7" s="1">
        <v>46122</v>
      </c>
      <c r="F7" s="42">
        <v>2184</v>
      </c>
      <c r="G7" s="59">
        <v>0</v>
      </c>
      <c r="H7" t="s">
        <v>182</v>
      </c>
      <c r="I7" t="s">
        <v>64</v>
      </c>
      <c r="J7" t="s">
        <v>61</v>
      </c>
      <c r="K7" t="s">
        <v>201</v>
      </c>
      <c r="U7" s="1">
        <v>46122</v>
      </c>
      <c r="V7" t="s">
        <v>202</v>
      </c>
      <c r="W7" t="s">
        <v>203</v>
      </c>
      <c r="AB7" t="s">
        <v>204</v>
      </c>
    </row>
    <row r="8" spans="1:28" hidden="1" x14ac:dyDescent="0.3">
      <c r="A8" t="s">
        <v>180</v>
      </c>
      <c r="B8" s="41">
        <v>4805550193001</v>
      </c>
      <c r="C8" t="s">
        <v>179</v>
      </c>
      <c r="D8" s="61">
        <f t="shared" si="0"/>
        <v>15027.599999999999</v>
      </c>
      <c r="E8" s="1">
        <v>46132</v>
      </c>
      <c r="F8" s="42">
        <v>9100</v>
      </c>
      <c r="G8" s="59">
        <v>0</v>
      </c>
      <c r="H8" t="s">
        <v>63</v>
      </c>
      <c r="I8" t="s">
        <v>64</v>
      </c>
      <c r="J8" t="s">
        <v>181</v>
      </c>
      <c r="K8" t="s">
        <v>65</v>
      </c>
      <c r="N8" t="s">
        <v>214</v>
      </c>
      <c r="O8" t="s">
        <v>206</v>
      </c>
      <c r="Q8" t="s">
        <v>215</v>
      </c>
      <c r="R8" t="s">
        <v>66</v>
      </c>
      <c r="T8" s="57" t="s">
        <v>216</v>
      </c>
      <c r="U8" s="1">
        <v>46132</v>
      </c>
      <c r="V8" t="s">
        <v>67</v>
      </c>
      <c r="W8" t="s">
        <v>68</v>
      </c>
      <c r="AB8" t="s">
        <v>209</v>
      </c>
    </row>
    <row r="9" spans="1:28" x14ac:dyDescent="0.3">
      <c r="A9" t="s">
        <v>180</v>
      </c>
      <c r="B9" s="41">
        <v>4805550193001</v>
      </c>
      <c r="C9" t="s">
        <v>179</v>
      </c>
      <c r="D9" s="61">
        <f t="shared" si="0"/>
        <v>6027.5999999999985</v>
      </c>
      <c r="E9" s="1">
        <v>46135</v>
      </c>
      <c r="F9" s="42">
        <v>0</v>
      </c>
      <c r="G9" s="59">
        <v>9000</v>
      </c>
      <c r="H9" t="s">
        <v>36</v>
      </c>
      <c r="I9" t="s">
        <v>35</v>
      </c>
      <c r="J9" t="s">
        <v>183</v>
      </c>
      <c r="K9" t="s">
        <v>210</v>
      </c>
      <c r="U9" s="1">
        <v>46135</v>
      </c>
      <c r="V9" t="s">
        <v>180</v>
      </c>
      <c r="W9" t="s">
        <v>62</v>
      </c>
      <c r="X9">
        <v>4805550193001</v>
      </c>
      <c r="Y9" t="s">
        <v>211</v>
      </c>
      <c r="Z9" t="s">
        <v>212</v>
      </c>
      <c r="AA9" t="s">
        <v>213</v>
      </c>
      <c r="AB9" t="s">
        <v>217</v>
      </c>
    </row>
    <row r="10" spans="1:28" hidden="1" x14ac:dyDescent="0.3">
      <c r="A10" t="s">
        <v>180</v>
      </c>
      <c r="B10" s="41">
        <v>4805550193001</v>
      </c>
      <c r="C10" t="s">
        <v>179</v>
      </c>
      <c r="D10" s="61">
        <f t="shared" si="0"/>
        <v>5182.3999999999987</v>
      </c>
      <c r="E10" s="1">
        <v>46146</v>
      </c>
      <c r="F10" s="42">
        <v>0</v>
      </c>
      <c r="G10" s="59">
        <v>845.2</v>
      </c>
      <c r="H10" t="s">
        <v>182</v>
      </c>
      <c r="I10" t="s">
        <v>35</v>
      </c>
      <c r="J10" t="s">
        <v>61</v>
      </c>
      <c r="K10" t="s">
        <v>197</v>
      </c>
      <c r="U10" s="1">
        <v>46146</v>
      </c>
      <c r="V10" t="s">
        <v>180</v>
      </c>
      <c r="W10" t="s">
        <v>62</v>
      </c>
      <c r="X10">
        <v>4805550193001</v>
      </c>
      <c r="Y10" t="s">
        <v>198</v>
      </c>
      <c r="Z10" t="s">
        <v>199</v>
      </c>
      <c r="AB10" t="s">
        <v>200</v>
      </c>
    </row>
    <row r="11" spans="1:28" hidden="1" x14ac:dyDescent="0.3">
      <c r="A11" t="s">
        <v>180</v>
      </c>
      <c r="B11" s="41">
        <v>4805550193001</v>
      </c>
      <c r="C11" t="s">
        <v>179</v>
      </c>
      <c r="D11" s="61">
        <f t="shared" si="0"/>
        <v>7366.3999999999987</v>
      </c>
      <c r="E11" s="1">
        <v>46155</v>
      </c>
      <c r="F11" s="42">
        <v>2184</v>
      </c>
      <c r="G11" s="59">
        <v>0</v>
      </c>
      <c r="H11" t="s">
        <v>182</v>
      </c>
      <c r="I11" t="s">
        <v>64</v>
      </c>
      <c r="J11" t="s">
        <v>61</v>
      </c>
      <c r="K11" t="s">
        <v>201</v>
      </c>
      <c r="U11" s="1">
        <v>46155</v>
      </c>
      <c r="V11" t="s">
        <v>202</v>
      </c>
      <c r="W11" t="s">
        <v>203</v>
      </c>
      <c r="AB11" t="s">
        <v>204</v>
      </c>
    </row>
    <row r="12" spans="1:28" hidden="1" x14ac:dyDescent="0.3">
      <c r="A12" t="s">
        <v>180</v>
      </c>
      <c r="B12" s="41">
        <v>4805550193001</v>
      </c>
      <c r="C12" t="s">
        <v>179</v>
      </c>
      <c r="D12" s="61">
        <f t="shared" si="0"/>
        <v>16116.399999999998</v>
      </c>
      <c r="E12" s="1">
        <v>46160</v>
      </c>
      <c r="F12" s="42">
        <v>8750</v>
      </c>
      <c r="G12" s="59">
        <v>0</v>
      </c>
      <c r="H12" t="s">
        <v>63</v>
      </c>
      <c r="I12" t="s">
        <v>64</v>
      </c>
      <c r="J12" t="s">
        <v>181</v>
      </c>
      <c r="K12" t="s">
        <v>69</v>
      </c>
      <c r="N12" t="s">
        <v>218</v>
      </c>
      <c r="O12" t="s">
        <v>206</v>
      </c>
      <c r="Q12" t="s">
        <v>219</v>
      </c>
      <c r="S12" t="s">
        <v>220</v>
      </c>
      <c r="T12" s="57" t="s">
        <v>221</v>
      </c>
      <c r="U12" s="1">
        <v>46160</v>
      </c>
      <c r="V12" t="s">
        <v>67</v>
      </c>
      <c r="W12" t="s">
        <v>68</v>
      </c>
      <c r="AB12" t="s">
        <v>209</v>
      </c>
    </row>
    <row r="13" spans="1:28" x14ac:dyDescent="0.3">
      <c r="A13" t="s">
        <v>180</v>
      </c>
      <c r="B13" s="41">
        <v>4805550193001</v>
      </c>
      <c r="C13" t="s">
        <v>179</v>
      </c>
      <c r="D13" s="61">
        <f t="shared" si="0"/>
        <v>7516.3999999999978</v>
      </c>
      <c r="E13" s="1">
        <v>46163</v>
      </c>
      <c r="F13" s="42">
        <v>0</v>
      </c>
      <c r="G13" s="59">
        <v>8600</v>
      </c>
      <c r="H13" t="s">
        <v>36</v>
      </c>
      <c r="I13" t="s">
        <v>35</v>
      </c>
      <c r="J13" t="s">
        <v>183</v>
      </c>
      <c r="K13" t="s">
        <v>210</v>
      </c>
      <c r="U13" s="1">
        <v>46163</v>
      </c>
      <c r="V13" t="s">
        <v>180</v>
      </c>
      <c r="W13" t="s">
        <v>62</v>
      </c>
      <c r="X13">
        <v>4805550193001</v>
      </c>
      <c r="Y13" t="s">
        <v>211</v>
      </c>
      <c r="Z13" t="s">
        <v>212</v>
      </c>
      <c r="AA13" t="s">
        <v>213</v>
      </c>
      <c r="AB13" t="s">
        <v>222</v>
      </c>
    </row>
    <row r="14" spans="1:28" hidden="1" x14ac:dyDescent="0.3">
      <c r="A14" t="s">
        <v>180</v>
      </c>
      <c r="B14" s="41">
        <v>4805550193001</v>
      </c>
      <c r="C14" t="s">
        <v>179</v>
      </c>
      <c r="D14" s="61">
        <f t="shared" si="0"/>
        <v>6671.199999999998</v>
      </c>
      <c r="E14" s="1">
        <v>46176</v>
      </c>
      <c r="F14" s="42">
        <v>0</v>
      </c>
      <c r="G14" s="59">
        <v>845.2</v>
      </c>
      <c r="H14" t="s">
        <v>182</v>
      </c>
      <c r="I14" t="s">
        <v>35</v>
      </c>
      <c r="J14" t="s">
        <v>61</v>
      </c>
      <c r="K14" t="s">
        <v>197</v>
      </c>
      <c r="U14" s="1">
        <v>46176</v>
      </c>
      <c r="V14" t="s">
        <v>180</v>
      </c>
      <c r="W14" t="s">
        <v>62</v>
      </c>
      <c r="X14">
        <v>4805550193001</v>
      </c>
      <c r="Y14" t="s">
        <v>198</v>
      </c>
      <c r="Z14" t="s">
        <v>199</v>
      </c>
      <c r="AB14" t="s">
        <v>200</v>
      </c>
    </row>
    <row r="15" spans="1:28" hidden="1" x14ac:dyDescent="0.3">
      <c r="A15" t="s">
        <v>180</v>
      </c>
      <c r="B15" s="41">
        <v>4805550193001</v>
      </c>
      <c r="C15" t="s">
        <v>179</v>
      </c>
      <c r="D15" s="61">
        <f t="shared" si="0"/>
        <v>8855.1999999999971</v>
      </c>
      <c r="E15" s="1">
        <v>46183</v>
      </c>
      <c r="F15" s="42">
        <v>2184</v>
      </c>
      <c r="G15" s="59">
        <v>0</v>
      </c>
      <c r="H15" t="s">
        <v>182</v>
      </c>
      <c r="I15" t="s">
        <v>64</v>
      </c>
      <c r="J15" t="s">
        <v>61</v>
      </c>
      <c r="K15" t="s">
        <v>201</v>
      </c>
      <c r="U15" s="1">
        <v>46183</v>
      </c>
      <c r="V15" t="s">
        <v>202</v>
      </c>
      <c r="W15" t="s">
        <v>203</v>
      </c>
      <c r="AB15" t="s">
        <v>204</v>
      </c>
    </row>
    <row r="16" spans="1:28" hidden="1" x14ac:dyDescent="0.3">
      <c r="A16" t="s">
        <v>180</v>
      </c>
      <c r="B16" s="41">
        <v>4805550193001</v>
      </c>
      <c r="C16" t="s">
        <v>179</v>
      </c>
      <c r="D16" s="61">
        <f t="shared" si="0"/>
        <v>18355.199999999997</v>
      </c>
      <c r="E16" s="1">
        <v>46195</v>
      </c>
      <c r="F16" s="42">
        <v>9500</v>
      </c>
      <c r="G16" s="59">
        <v>0</v>
      </c>
      <c r="H16" t="s">
        <v>63</v>
      </c>
      <c r="I16" t="s">
        <v>64</v>
      </c>
      <c r="J16" t="s">
        <v>181</v>
      </c>
      <c r="K16" t="s">
        <v>65</v>
      </c>
      <c r="N16" t="s">
        <v>223</v>
      </c>
      <c r="O16" t="s">
        <v>206</v>
      </c>
      <c r="Q16" t="s">
        <v>224</v>
      </c>
      <c r="R16" t="s">
        <v>71</v>
      </c>
      <c r="T16" s="57" t="s">
        <v>225</v>
      </c>
      <c r="U16" s="1">
        <v>46195</v>
      </c>
      <c r="V16" t="s">
        <v>67</v>
      </c>
      <c r="W16" t="s">
        <v>68</v>
      </c>
      <c r="AB16" t="s">
        <v>209</v>
      </c>
    </row>
    <row r="17" spans="1:28" x14ac:dyDescent="0.3">
      <c r="A17" t="s">
        <v>180</v>
      </c>
      <c r="B17" s="41">
        <v>4805550193001</v>
      </c>
      <c r="C17" t="s">
        <v>179</v>
      </c>
      <c r="D17" s="61">
        <f t="shared" si="0"/>
        <v>8955.1999999999971</v>
      </c>
      <c r="E17" s="1">
        <v>46198</v>
      </c>
      <c r="F17" s="42">
        <v>0</v>
      </c>
      <c r="G17" s="59">
        <v>9400</v>
      </c>
      <c r="H17" t="s">
        <v>36</v>
      </c>
      <c r="I17" t="s">
        <v>35</v>
      </c>
      <c r="J17" t="s">
        <v>183</v>
      </c>
      <c r="K17" t="s">
        <v>210</v>
      </c>
      <c r="U17" s="1">
        <v>46198</v>
      </c>
      <c r="V17" t="s">
        <v>180</v>
      </c>
      <c r="W17" t="s">
        <v>62</v>
      </c>
      <c r="X17">
        <v>4805550193001</v>
      </c>
      <c r="Y17" t="s">
        <v>211</v>
      </c>
      <c r="Z17" t="s">
        <v>212</v>
      </c>
      <c r="AA17" t="s">
        <v>213</v>
      </c>
      <c r="AB17" t="s">
        <v>184</v>
      </c>
    </row>
    <row r="18" spans="1:28" hidden="1" x14ac:dyDescent="0.3">
      <c r="A18" t="s">
        <v>180</v>
      </c>
      <c r="B18" s="41">
        <v>4805550193001</v>
      </c>
      <c r="C18" t="s">
        <v>179</v>
      </c>
      <c r="D18" s="61">
        <f t="shared" si="0"/>
        <v>8109.9999999999973</v>
      </c>
      <c r="E18" s="1">
        <v>46206</v>
      </c>
      <c r="F18" s="42">
        <v>0</v>
      </c>
      <c r="G18" s="59">
        <v>845.2</v>
      </c>
      <c r="H18" t="s">
        <v>182</v>
      </c>
      <c r="I18" t="s">
        <v>35</v>
      </c>
      <c r="J18" t="s">
        <v>61</v>
      </c>
      <c r="K18" t="s">
        <v>197</v>
      </c>
      <c r="U18" s="1">
        <v>46206</v>
      </c>
      <c r="V18" t="s">
        <v>180</v>
      </c>
      <c r="W18" t="s">
        <v>62</v>
      </c>
      <c r="X18">
        <v>4805550193001</v>
      </c>
      <c r="Y18" t="s">
        <v>198</v>
      </c>
      <c r="Z18" t="s">
        <v>199</v>
      </c>
      <c r="AB18" t="s">
        <v>200</v>
      </c>
    </row>
    <row r="19" spans="1:28" hidden="1" x14ac:dyDescent="0.3">
      <c r="A19" t="s">
        <v>180</v>
      </c>
      <c r="B19" s="41">
        <v>4805550193001</v>
      </c>
      <c r="C19" t="s">
        <v>179</v>
      </c>
      <c r="D19" s="61">
        <f t="shared" si="0"/>
        <v>10293.999999999996</v>
      </c>
      <c r="E19" s="1">
        <v>46213</v>
      </c>
      <c r="F19" s="42">
        <v>2184</v>
      </c>
      <c r="G19" s="59">
        <v>0</v>
      </c>
      <c r="H19" t="s">
        <v>182</v>
      </c>
      <c r="I19" t="s">
        <v>64</v>
      </c>
      <c r="J19" t="s">
        <v>61</v>
      </c>
      <c r="K19" t="s">
        <v>201</v>
      </c>
      <c r="U19" s="1">
        <v>46213</v>
      </c>
      <c r="V19" t="s">
        <v>202</v>
      </c>
      <c r="W19" t="s">
        <v>203</v>
      </c>
      <c r="AB19" t="s">
        <v>204</v>
      </c>
    </row>
    <row r="20" spans="1:28" hidden="1" x14ac:dyDescent="0.3">
      <c r="A20" t="s">
        <v>180</v>
      </c>
      <c r="B20" s="41">
        <v>4805550193001</v>
      </c>
      <c r="C20" t="s">
        <v>179</v>
      </c>
      <c r="D20" s="61">
        <f t="shared" si="0"/>
        <v>18293.999999999996</v>
      </c>
      <c r="E20" s="1">
        <v>46223</v>
      </c>
      <c r="F20" s="42">
        <v>8000</v>
      </c>
      <c r="G20" s="59">
        <v>0</v>
      </c>
      <c r="H20" t="s">
        <v>63</v>
      </c>
      <c r="I20" t="s">
        <v>64</v>
      </c>
      <c r="J20" t="s">
        <v>181</v>
      </c>
      <c r="K20" t="s">
        <v>69</v>
      </c>
      <c r="N20" t="s">
        <v>226</v>
      </c>
      <c r="O20" t="s">
        <v>206</v>
      </c>
      <c r="Q20" t="s">
        <v>227</v>
      </c>
      <c r="S20" t="s">
        <v>228</v>
      </c>
      <c r="T20" s="57" t="s">
        <v>229</v>
      </c>
      <c r="U20" s="1">
        <v>46223</v>
      </c>
      <c r="V20" t="s">
        <v>67</v>
      </c>
      <c r="W20" t="s">
        <v>68</v>
      </c>
      <c r="AB20" t="s">
        <v>209</v>
      </c>
    </row>
    <row r="21" spans="1:28" x14ac:dyDescent="0.3">
      <c r="A21" t="s">
        <v>180</v>
      </c>
      <c r="B21" s="41">
        <v>4805550193001</v>
      </c>
      <c r="C21" t="s">
        <v>179</v>
      </c>
      <c r="D21" s="61">
        <f t="shared" si="0"/>
        <v>10393.999999999996</v>
      </c>
      <c r="E21" s="1">
        <v>46226</v>
      </c>
      <c r="F21" s="42">
        <v>0</v>
      </c>
      <c r="G21" s="59">
        <v>7900</v>
      </c>
      <c r="H21" t="s">
        <v>36</v>
      </c>
      <c r="I21" t="s">
        <v>35</v>
      </c>
      <c r="J21" t="s">
        <v>183</v>
      </c>
      <c r="K21" t="s">
        <v>210</v>
      </c>
      <c r="U21" s="1">
        <v>46226</v>
      </c>
      <c r="V21" t="s">
        <v>180</v>
      </c>
      <c r="W21" t="s">
        <v>62</v>
      </c>
      <c r="X21">
        <v>4805550193001</v>
      </c>
      <c r="Y21" t="s">
        <v>211</v>
      </c>
      <c r="Z21" t="s">
        <v>212</v>
      </c>
      <c r="AA21" t="s">
        <v>213</v>
      </c>
      <c r="AB21" t="s">
        <v>185</v>
      </c>
    </row>
    <row r="22" spans="1:28" hidden="1" x14ac:dyDescent="0.3">
      <c r="A22" t="s">
        <v>180</v>
      </c>
      <c r="B22" s="41">
        <v>4805550193001</v>
      </c>
      <c r="C22" t="s">
        <v>179</v>
      </c>
      <c r="D22" s="61">
        <f t="shared" si="0"/>
        <v>9548.7999999999956</v>
      </c>
      <c r="E22" s="1">
        <v>46237</v>
      </c>
      <c r="F22" s="42">
        <v>0</v>
      </c>
      <c r="G22" s="59">
        <v>845.2</v>
      </c>
      <c r="H22" t="s">
        <v>182</v>
      </c>
      <c r="I22" t="s">
        <v>35</v>
      </c>
      <c r="J22" t="s">
        <v>61</v>
      </c>
      <c r="K22" t="s">
        <v>197</v>
      </c>
      <c r="U22" s="1">
        <v>46237</v>
      </c>
      <c r="V22" t="s">
        <v>180</v>
      </c>
      <c r="W22" t="s">
        <v>62</v>
      </c>
      <c r="X22">
        <v>4805550193001</v>
      </c>
      <c r="Y22" t="s">
        <v>198</v>
      </c>
      <c r="Z22" t="s">
        <v>199</v>
      </c>
      <c r="AB22" t="s">
        <v>200</v>
      </c>
    </row>
    <row r="23" spans="1:28" hidden="1" x14ac:dyDescent="0.3">
      <c r="A23" t="s">
        <v>180</v>
      </c>
      <c r="B23" s="41">
        <v>4805550193001</v>
      </c>
      <c r="C23" t="s">
        <v>179</v>
      </c>
      <c r="D23" s="61">
        <f t="shared" si="0"/>
        <v>11732.799999999996</v>
      </c>
      <c r="E23" s="1">
        <v>46246</v>
      </c>
      <c r="F23" s="42">
        <v>2184</v>
      </c>
      <c r="G23" s="59">
        <v>0</v>
      </c>
      <c r="H23" t="s">
        <v>182</v>
      </c>
      <c r="I23" t="s">
        <v>64</v>
      </c>
      <c r="J23" t="s">
        <v>61</v>
      </c>
      <c r="K23" t="s">
        <v>201</v>
      </c>
      <c r="U23" s="1">
        <v>46246</v>
      </c>
      <c r="V23" t="s">
        <v>202</v>
      </c>
      <c r="W23" t="s">
        <v>203</v>
      </c>
      <c r="AB23" t="s">
        <v>204</v>
      </c>
    </row>
  </sheetData>
  <autoFilter ref="A1:AB23" xr:uid="{5611D810-DAFA-4F31-B6DD-45D854AF5F85}">
    <filterColumn colId="7">
      <filters>
        <filter val="Wire"/>
      </filters>
    </filterColumn>
    <filterColumn colId="8">
      <filters>
        <filter val="D"/>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6"/>
  <sheetViews>
    <sheetView showGridLines="0" workbookViewId="0"/>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7" t="s">
        <v>33</v>
      </c>
      <c r="B1" s="48" t="s">
        <v>72</v>
      </c>
      <c r="C1" s="49" t="s">
        <v>73</v>
      </c>
      <c r="D1" s="47" t="s">
        <v>74</v>
      </c>
      <c r="E1" s="47" t="s">
        <v>75</v>
      </c>
      <c r="F1" s="47" t="s">
        <v>76</v>
      </c>
      <c r="G1" s="50" t="s">
        <v>77</v>
      </c>
      <c r="H1" s="50" t="s">
        <v>78</v>
      </c>
      <c r="I1" s="47" t="s">
        <v>79</v>
      </c>
      <c r="J1" s="48" t="s">
        <v>80</v>
      </c>
      <c r="K1" s="49" t="s">
        <v>81</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3">
      <c r="A2" s="1">
        <v>46100</v>
      </c>
      <c r="B2" t="s">
        <v>180</v>
      </c>
      <c r="C2" t="s">
        <v>230</v>
      </c>
      <c r="D2" t="s">
        <v>62</v>
      </c>
      <c r="E2" s="41" t="s">
        <v>231</v>
      </c>
      <c r="F2" t="s">
        <v>186</v>
      </c>
      <c r="G2" t="s">
        <v>211</v>
      </c>
      <c r="H2" t="s">
        <v>232</v>
      </c>
      <c r="I2" t="s">
        <v>212</v>
      </c>
      <c r="J2" t="s">
        <v>213</v>
      </c>
      <c r="K2" t="s">
        <v>187</v>
      </c>
    </row>
    <row r="3" spans="1:16384" x14ac:dyDescent="0.3">
      <c r="A3" s="1">
        <v>46135</v>
      </c>
      <c r="B3" t="s">
        <v>180</v>
      </c>
      <c r="C3" t="s">
        <v>230</v>
      </c>
      <c r="D3" t="s">
        <v>62</v>
      </c>
      <c r="E3" s="41" t="s">
        <v>231</v>
      </c>
      <c r="F3" t="s">
        <v>217</v>
      </c>
      <c r="G3" t="s">
        <v>211</v>
      </c>
      <c r="H3" t="s">
        <v>232</v>
      </c>
      <c r="I3" t="s">
        <v>212</v>
      </c>
      <c r="J3" t="s">
        <v>213</v>
      </c>
      <c r="K3" t="s">
        <v>233</v>
      </c>
    </row>
    <row r="4" spans="1:16384" x14ac:dyDescent="0.3">
      <c r="A4" s="1">
        <v>46163</v>
      </c>
      <c r="B4" t="s">
        <v>180</v>
      </c>
      <c r="C4" t="s">
        <v>230</v>
      </c>
      <c r="D4" t="s">
        <v>62</v>
      </c>
      <c r="E4" s="41" t="s">
        <v>231</v>
      </c>
      <c r="F4" t="s">
        <v>222</v>
      </c>
      <c r="G4" t="s">
        <v>211</v>
      </c>
      <c r="H4" t="s">
        <v>232</v>
      </c>
      <c r="I4" t="s">
        <v>212</v>
      </c>
      <c r="J4" t="s">
        <v>213</v>
      </c>
      <c r="K4" t="s">
        <v>234</v>
      </c>
    </row>
    <row r="5" spans="1:16384" x14ac:dyDescent="0.3">
      <c r="A5" s="1">
        <v>46198</v>
      </c>
      <c r="B5" t="s">
        <v>180</v>
      </c>
      <c r="C5" t="s">
        <v>230</v>
      </c>
      <c r="D5" t="s">
        <v>62</v>
      </c>
      <c r="E5" s="41" t="s">
        <v>231</v>
      </c>
      <c r="F5" t="s">
        <v>184</v>
      </c>
      <c r="G5" t="s">
        <v>211</v>
      </c>
      <c r="H5" t="s">
        <v>232</v>
      </c>
      <c r="I5" t="s">
        <v>212</v>
      </c>
      <c r="J5" t="s">
        <v>213</v>
      </c>
      <c r="K5" t="s">
        <v>235</v>
      </c>
    </row>
    <row r="6" spans="1:16384" x14ac:dyDescent="0.3">
      <c r="A6" s="1">
        <v>46226</v>
      </c>
      <c r="B6" t="s">
        <v>180</v>
      </c>
      <c r="C6" t="s">
        <v>230</v>
      </c>
      <c r="D6" t="s">
        <v>62</v>
      </c>
      <c r="E6" s="41" t="s">
        <v>231</v>
      </c>
      <c r="F6" t="s">
        <v>185</v>
      </c>
      <c r="G6" t="s">
        <v>211</v>
      </c>
      <c r="H6" t="s">
        <v>232</v>
      </c>
      <c r="I6" t="s">
        <v>212</v>
      </c>
      <c r="J6" t="s">
        <v>213</v>
      </c>
      <c r="K6" t="s">
        <v>236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0"/>
  <sheetViews>
    <sheetView showGridLines="0" workbookViewId="0">
      <selection activeCell="L9" sqref="L9"/>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68" t="s">
        <v>237</v>
      </c>
      <c r="B1" s="69"/>
      <c r="C1" s="69"/>
      <c r="D1" s="69"/>
      <c r="E1" s="69"/>
      <c r="F1" s="69"/>
      <c r="G1" s="69"/>
      <c r="H1" s="69"/>
      <c r="I1" s="69"/>
    </row>
    <row r="2" spans="1:9" x14ac:dyDescent="0.3">
      <c r="A2" s="70" t="s">
        <v>238</v>
      </c>
      <c r="B2" s="69"/>
      <c r="C2" s="69"/>
      <c r="D2" s="69"/>
      <c r="E2" s="69"/>
      <c r="F2" s="69"/>
      <c r="G2" s="69"/>
      <c r="H2" s="69"/>
      <c r="I2" s="69"/>
    </row>
    <row r="3" spans="1:9" ht="15.6" x14ac:dyDescent="0.3">
      <c r="A3" s="71" t="s">
        <v>239</v>
      </c>
      <c r="B3" s="69"/>
      <c r="C3" s="69"/>
      <c r="D3" s="69"/>
      <c r="E3" s="69"/>
      <c r="F3" s="69"/>
      <c r="G3" s="69"/>
      <c r="H3" s="69"/>
      <c r="I3" s="69"/>
    </row>
    <row r="5" spans="1:9" ht="15.6" x14ac:dyDescent="0.3">
      <c r="A5" s="62" t="s">
        <v>240</v>
      </c>
      <c r="B5" s="62" t="s">
        <v>241</v>
      </c>
      <c r="C5" s="62" t="s">
        <v>242</v>
      </c>
      <c r="D5" s="62" t="s">
        <v>50</v>
      </c>
      <c r="E5" s="62" t="s">
        <v>47</v>
      </c>
      <c r="F5" s="62" t="s">
        <v>48</v>
      </c>
      <c r="G5" s="62" t="s">
        <v>243</v>
      </c>
      <c r="H5" s="62" t="s">
        <v>53</v>
      </c>
      <c r="I5" s="62" t="s">
        <v>244</v>
      </c>
    </row>
    <row r="6" spans="1:9" x14ac:dyDescent="0.3">
      <c r="A6" t="s">
        <v>245</v>
      </c>
      <c r="B6" s="1">
        <v>46097</v>
      </c>
      <c r="C6" t="s">
        <v>65</v>
      </c>
      <c r="D6" t="s">
        <v>207</v>
      </c>
      <c r="E6" t="s">
        <v>205</v>
      </c>
      <c r="F6" t="s">
        <v>206</v>
      </c>
      <c r="G6" t="s">
        <v>70</v>
      </c>
      <c r="H6" t="s">
        <v>208</v>
      </c>
      <c r="I6">
        <v>8400</v>
      </c>
    </row>
    <row r="7" spans="1:9" x14ac:dyDescent="0.3">
      <c r="A7" t="s">
        <v>246</v>
      </c>
      <c r="B7" s="1">
        <v>46132</v>
      </c>
      <c r="C7" t="s">
        <v>65</v>
      </c>
      <c r="D7" t="s">
        <v>215</v>
      </c>
      <c r="E7" t="s">
        <v>214</v>
      </c>
      <c r="F7" t="s">
        <v>206</v>
      </c>
      <c r="G7" t="s">
        <v>66</v>
      </c>
      <c r="H7" t="s">
        <v>216</v>
      </c>
      <c r="I7">
        <v>9100</v>
      </c>
    </row>
    <row r="8" spans="1:9" x14ac:dyDescent="0.3">
      <c r="A8" t="s">
        <v>247</v>
      </c>
      <c r="B8" s="1">
        <v>46160</v>
      </c>
      <c r="C8" t="s">
        <v>69</v>
      </c>
      <c r="D8" t="s">
        <v>219</v>
      </c>
      <c r="E8" t="s">
        <v>218</v>
      </c>
      <c r="F8" t="s">
        <v>206</v>
      </c>
      <c r="G8" t="s">
        <v>220</v>
      </c>
      <c r="H8" t="s">
        <v>221</v>
      </c>
      <c r="I8">
        <v>8750</v>
      </c>
    </row>
    <row r="9" spans="1:9" x14ac:dyDescent="0.3">
      <c r="A9" t="s">
        <v>248</v>
      </c>
      <c r="B9" s="1">
        <v>46195</v>
      </c>
      <c r="C9" t="s">
        <v>65</v>
      </c>
      <c r="D9" t="s">
        <v>224</v>
      </c>
      <c r="E9" t="s">
        <v>223</v>
      </c>
      <c r="F9" t="s">
        <v>206</v>
      </c>
      <c r="G9" t="s">
        <v>71</v>
      </c>
      <c r="H9" t="s">
        <v>225</v>
      </c>
      <c r="I9">
        <v>9500</v>
      </c>
    </row>
    <row r="10" spans="1:9" x14ac:dyDescent="0.3">
      <c r="A10" t="s">
        <v>249</v>
      </c>
      <c r="B10" s="1">
        <v>46223</v>
      </c>
      <c r="C10" t="s">
        <v>69</v>
      </c>
      <c r="D10" t="s">
        <v>227</v>
      </c>
      <c r="E10" t="s">
        <v>226</v>
      </c>
      <c r="F10" t="s">
        <v>206</v>
      </c>
      <c r="G10" t="s">
        <v>228</v>
      </c>
      <c r="H10" t="s">
        <v>229</v>
      </c>
      <c r="I10">
        <v>8000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
  <sheetViews>
    <sheetView showGridLines="0" workbookViewId="0">
      <selection activeCell="N31" sqref="N31"/>
    </sheetView>
  </sheetViews>
  <sheetFormatPr defaultColWidth="8.77734375" defaultRowHeight="14.4" x14ac:dyDescent="0.3"/>
  <sheetData>
    <row r="1" spans="1:1" x14ac:dyDescent="0.3">
      <c r="A1" t="s">
        <v>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tabSelected="1" workbookViewId="0">
      <selection activeCell="C1" sqref="C1"/>
    </sheetView>
  </sheetViews>
  <sheetFormatPr defaultColWidth="8.77734375" defaultRowHeight="14.4" x14ac:dyDescent="0.3"/>
  <cols>
    <col min="1" max="1" width="159.77734375" customWidth="1"/>
  </cols>
  <sheetData>
    <row r="1" spans="1:1" ht="388.5" customHeight="1" x14ac:dyDescent="0.3">
      <c r="A1" s="58" t="s">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18" zoomScale="85" zoomScaleNormal="85" workbookViewId="0">
      <selection activeCell="O25" sqref="O25"/>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94" t="s">
        <v>83</v>
      </c>
      <c r="C1" s="95"/>
      <c r="D1" s="95"/>
      <c r="E1" s="95"/>
      <c r="F1" s="95"/>
      <c r="G1" s="95"/>
      <c r="H1" s="95"/>
      <c r="I1" s="95"/>
      <c r="J1" s="95"/>
      <c r="K1" s="95"/>
      <c r="L1" s="95"/>
      <c r="M1" s="95"/>
      <c r="N1" s="96"/>
    </row>
    <row r="2" spans="2:14" ht="15" customHeight="1" x14ac:dyDescent="0.3">
      <c r="B2" s="97"/>
      <c r="C2" s="98"/>
      <c r="D2" s="98"/>
      <c r="E2" s="98"/>
      <c r="F2" s="98"/>
      <c r="G2" s="98"/>
      <c r="H2" s="98"/>
      <c r="I2" s="98"/>
      <c r="J2" s="98"/>
      <c r="K2" s="98"/>
      <c r="L2" s="98"/>
      <c r="M2" s="98"/>
      <c r="N2" s="99"/>
    </row>
    <row r="3" spans="2:14" ht="21" customHeight="1" x14ac:dyDescent="0.3">
      <c r="B3" s="100"/>
      <c r="C3" s="101"/>
      <c r="D3" s="101"/>
      <c r="E3" s="101"/>
      <c r="F3" s="101"/>
      <c r="G3" s="101"/>
      <c r="H3" s="101"/>
      <c r="I3" s="101"/>
      <c r="J3" s="101"/>
      <c r="K3" s="101"/>
      <c r="L3" s="101"/>
      <c r="M3" s="101"/>
      <c r="N3" s="102"/>
    </row>
    <row r="4" spans="2:14" ht="21" customHeight="1" x14ac:dyDescent="0.3">
      <c r="B4" s="2"/>
      <c r="C4" s="2"/>
      <c r="D4" s="2"/>
      <c r="E4" s="2"/>
      <c r="F4" s="2"/>
      <c r="G4" s="2"/>
      <c r="H4" s="2"/>
      <c r="I4" s="2"/>
      <c r="J4" s="2"/>
      <c r="K4" s="2"/>
      <c r="L4" s="2"/>
      <c r="M4" s="2"/>
      <c r="N4" s="2"/>
    </row>
    <row r="5" spans="2:14" ht="21" customHeight="1" x14ac:dyDescent="0.3">
      <c r="B5" s="3" t="s">
        <v>84</v>
      </c>
      <c r="C5" s="2"/>
      <c r="D5" s="2"/>
      <c r="E5" s="4" t="s">
        <v>85</v>
      </c>
      <c r="F5" s="2"/>
      <c r="G5" s="2"/>
      <c r="H5" s="2"/>
      <c r="I5" s="2"/>
      <c r="J5" s="2"/>
      <c r="K5" s="2"/>
      <c r="L5" s="2"/>
      <c r="M5" s="2"/>
      <c r="N5" s="2"/>
    </row>
    <row r="6" spans="2:14" ht="21" customHeight="1" x14ac:dyDescent="0.3">
      <c r="B6" s="103" t="s">
        <v>250</v>
      </c>
      <c r="C6" s="104"/>
      <c r="D6" s="2"/>
      <c r="E6" s="105"/>
      <c r="F6" s="106"/>
      <c r="G6" s="2"/>
      <c r="H6" s="2"/>
      <c r="I6" s="2"/>
      <c r="J6" s="2"/>
      <c r="K6" s="2"/>
      <c r="L6" s="2"/>
      <c r="M6" s="2"/>
      <c r="N6" s="2"/>
    </row>
    <row r="7" spans="2:14" ht="21" customHeight="1" x14ac:dyDescent="0.3">
      <c r="B7" s="107"/>
      <c r="C7" s="108"/>
      <c r="D7" s="2"/>
      <c r="E7" s="90"/>
      <c r="F7" s="91"/>
      <c r="G7" s="2"/>
      <c r="H7" s="2"/>
      <c r="I7" s="2"/>
      <c r="J7" s="2"/>
      <c r="K7" s="2"/>
      <c r="L7" s="2"/>
      <c r="M7" s="2"/>
      <c r="N7" s="2"/>
    </row>
    <row r="8" spans="2:14" ht="21" customHeight="1" x14ac:dyDescent="0.3">
      <c r="B8" s="92"/>
      <c r="C8" s="93"/>
      <c r="D8" s="2"/>
      <c r="E8" s="2"/>
      <c r="F8" s="2"/>
      <c r="G8" s="2"/>
      <c r="H8" s="2"/>
      <c r="I8" s="2"/>
      <c r="J8" s="2"/>
      <c r="K8" s="2"/>
      <c r="L8" s="2"/>
      <c r="M8" s="2"/>
      <c r="N8" s="2"/>
    </row>
    <row r="9" spans="2:14" ht="21" customHeight="1" x14ac:dyDescent="0.3">
      <c r="B9" s="3" t="s">
        <v>86</v>
      </c>
      <c r="C9" s="2"/>
      <c r="D9" s="2"/>
      <c r="E9" s="5" t="s">
        <v>87</v>
      </c>
      <c r="F9" s="2"/>
      <c r="G9" s="2"/>
      <c r="H9" s="2"/>
      <c r="I9" s="2"/>
      <c r="J9" s="2"/>
      <c r="K9" s="2"/>
      <c r="L9" s="2"/>
      <c r="M9" s="2"/>
      <c r="N9" s="2"/>
    </row>
    <row r="10" spans="2:14" ht="21" customHeight="1" x14ac:dyDescent="0.3">
      <c r="B10" s="80" t="s">
        <v>180</v>
      </c>
      <c r="C10" s="81"/>
      <c r="D10" s="2"/>
      <c r="E10" s="82">
        <v>4805550193001</v>
      </c>
      <c r="F10" s="83"/>
      <c r="G10" s="2"/>
      <c r="H10" s="2"/>
      <c r="I10" s="2"/>
      <c r="J10" s="2"/>
      <c r="K10" s="2"/>
      <c r="L10" s="2"/>
      <c r="M10" s="2"/>
      <c r="N10" s="2"/>
    </row>
    <row r="11" spans="2:14" ht="21" customHeight="1" x14ac:dyDescent="0.3">
      <c r="B11" s="84"/>
      <c r="C11" s="85"/>
      <c r="D11" s="2"/>
      <c r="E11" s="86"/>
      <c r="F11" s="87"/>
      <c r="G11" s="2"/>
      <c r="H11" s="2"/>
      <c r="I11" s="2"/>
      <c r="J11" s="2"/>
      <c r="K11" s="2"/>
      <c r="L11" s="2"/>
      <c r="M11" s="2"/>
      <c r="N11" s="2"/>
    </row>
    <row r="12" spans="2:14" ht="21" customHeight="1" x14ac:dyDescent="0.3">
      <c r="B12" s="88"/>
      <c r="C12" s="89"/>
      <c r="D12" s="2"/>
      <c r="E12" s="90"/>
      <c r="F12" s="91"/>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88</v>
      </c>
      <c r="C14" s="2"/>
      <c r="D14" s="2"/>
      <c r="E14" s="2"/>
      <c r="F14" s="2"/>
      <c r="G14" s="2"/>
      <c r="H14" s="2"/>
      <c r="I14" s="2"/>
      <c r="J14" s="2"/>
      <c r="K14" s="2"/>
      <c r="L14" s="2"/>
      <c r="M14" s="2"/>
      <c r="N14" s="2"/>
    </row>
    <row r="15" spans="2:14" ht="18" x14ac:dyDescent="0.3">
      <c r="B15" s="6"/>
      <c r="C15" s="7" t="s">
        <v>89</v>
      </c>
      <c r="D15" s="7" t="s">
        <v>90</v>
      </c>
      <c r="E15" s="7" t="s">
        <v>48</v>
      </c>
      <c r="F15" s="7"/>
      <c r="G15" s="8"/>
      <c r="H15" s="8"/>
      <c r="I15" s="8"/>
      <c r="J15" s="8"/>
      <c r="K15" s="8"/>
      <c r="L15" s="8"/>
      <c r="M15" s="8"/>
      <c r="N15" s="8"/>
    </row>
    <row r="16" spans="2:14" ht="21" customHeight="1" x14ac:dyDescent="0.3">
      <c r="B16" s="5"/>
      <c r="C16" t="s">
        <v>207</v>
      </c>
      <c r="D16" t="s">
        <v>205</v>
      </c>
      <c r="E16" t="s">
        <v>206</v>
      </c>
      <c r="F16" s="2"/>
      <c r="G16" s="2"/>
      <c r="H16" s="2"/>
      <c r="I16" s="2"/>
      <c r="J16" s="2"/>
      <c r="K16" s="2"/>
      <c r="L16" s="2"/>
      <c r="M16" s="2"/>
      <c r="N16" s="2"/>
    </row>
    <row r="17" spans="2:14" ht="21" customHeight="1" x14ac:dyDescent="0.3">
      <c r="B17" s="2"/>
      <c r="C17" t="s">
        <v>215</v>
      </c>
      <c r="D17" t="s">
        <v>214</v>
      </c>
      <c r="E17" t="s">
        <v>206</v>
      </c>
      <c r="F17" s="2"/>
      <c r="G17" s="2"/>
      <c r="H17" s="2"/>
      <c r="I17" s="2"/>
      <c r="J17" s="2"/>
      <c r="K17" s="2"/>
      <c r="L17" s="2"/>
      <c r="M17" s="2"/>
      <c r="N17" s="2"/>
    </row>
    <row r="18" spans="2:14" ht="21" customHeight="1" x14ac:dyDescent="0.3">
      <c r="B18" s="2"/>
      <c r="C18" t="s">
        <v>219</v>
      </c>
      <c r="D18" t="s">
        <v>218</v>
      </c>
      <c r="E18" t="s">
        <v>206</v>
      </c>
      <c r="F18" s="2"/>
      <c r="G18" s="2"/>
      <c r="H18" s="2"/>
      <c r="I18" s="2"/>
      <c r="J18" s="2"/>
      <c r="K18" s="2"/>
      <c r="L18" s="2"/>
      <c r="M18" s="2"/>
      <c r="N18" s="2"/>
    </row>
    <row r="19" spans="2:14" ht="21" customHeight="1" x14ac:dyDescent="0.3">
      <c r="B19" s="2"/>
      <c r="C19" t="s">
        <v>224</v>
      </c>
      <c r="D19" t="s">
        <v>223</v>
      </c>
      <c r="E19" t="s">
        <v>206</v>
      </c>
      <c r="F19" s="2"/>
      <c r="G19" s="2"/>
      <c r="H19" s="2"/>
      <c r="I19" s="2"/>
      <c r="J19" s="2"/>
      <c r="K19" s="2"/>
      <c r="L19" s="2"/>
      <c r="M19" s="2"/>
      <c r="N19" s="2"/>
    </row>
    <row r="20" spans="2:14" ht="14.4" x14ac:dyDescent="0.3">
      <c r="C20" t="s">
        <v>227</v>
      </c>
      <c r="D20" t="s">
        <v>226</v>
      </c>
      <c r="E20" t="s">
        <v>206</v>
      </c>
    </row>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91</v>
      </c>
      <c r="D23" s="15"/>
      <c r="N23" s="16"/>
    </row>
    <row r="24" spans="2:14" ht="15" thickBot="1" x14ac:dyDescent="0.35">
      <c r="B24" s="13"/>
      <c r="C24" s="15"/>
      <c r="D24" s="15"/>
      <c r="N24" s="16"/>
    </row>
    <row r="25" spans="2:14" ht="15" thickBot="1" x14ac:dyDescent="0.35">
      <c r="B25" s="13"/>
      <c r="C25" s="17" t="s">
        <v>92</v>
      </c>
      <c r="D25" s="17"/>
      <c r="E25" s="18">
        <v>86950</v>
      </c>
      <c r="F25" s="17"/>
      <c r="G25" s="17"/>
      <c r="H25" s="17"/>
      <c r="I25" s="17"/>
      <c r="J25" s="17"/>
      <c r="K25" s="17"/>
      <c r="L25" s="17"/>
      <c r="M25" s="17"/>
      <c r="N25" s="19"/>
    </row>
    <row r="26" spans="2:14" ht="15.75" customHeight="1" thickBot="1" x14ac:dyDescent="0.35">
      <c r="B26" s="13"/>
      <c r="C26" s="20" t="s">
        <v>93</v>
      </c>
      <c r="D26" s="17"/>
      <c r="E26" s="17"/>
      <c r="F26" s="17"/>
      <c r="G26" s="21" t="s">
        <v>94</v>
      </c>
      <c r="H26" s="1">
        <v>46097</v>
      </c>
      <c r="I26" s="21" t="s">
        <v>95</v>
      </c>
      <c r="J26" s="1">
        <v>46226</v>
      </c>
      <c r="M26" s="17"/>
      <c r="N26" s="19"/>
    </row>
    <row r="27" spans="2:14" ht="15.75" customHeight="1" thickBot="1" x14ac:dyDescent="0.35">
      <c r="B27" s="13"/>
      <c r="C27" s="20" t="s">
        <v>96</v>
      </c>
      <c r="D27" s="20"/>
      <c r="E27" s="20"/>
      <c r="F27" s="22"/>
      <c r="G27" s="20"/>
      <c r="H27" s="20"/>
      <c r="I27" s="20"/>
      <c r="J27" s="17"/>
      <c r="K27" s="17"/>
      <c r="L27" s="17"/>
      <c r="M27" s="17"/>
      <c r="N27" s="19"/>
    </row>
    <row r="28" spans="2:14" ht="14.4" x14ac:dyDescent="0.3">
      <c r="B28" s="13"/>
      <c r="C28" s="23"/>
      <c r="D28" s="23"/>
      <c r="E28" s="23"/>
      <c r="F28" s="23"/>
      <c r="G28" s="23"/>
      <c r="H28" s="23"/>
      <c r="I28" s="23"/>
      <c r="J28" s="23"/>
      <c r="K28" s="23"/>
      <c r="L28" s="23"/>
      <c r="M28" s="23"/>
      <c r="N28" s="24"/>
    </row>
    <row r="29" spans="2:14" ht="15" thickBot="1" x14ac:dyDescent="0.35">
      <c r="B29" s="13"/>
      <c r="C29" s="25"/>
      <c r="D29" s="25"/>
      <c r="E29" s="25"/>
      <c r="F29" s="25"/>
      <c r="G29" s="25"/>
      <c r="H29" s="25"/>
      <c r="I29" s="25"/>
      <c r="J29" s="25"/>
      <c r="K29" s="25"/>
      <c r="L29" s="25"/>
      <c r="M29" s="25"/>
      <c r="N29" s="16"/>
    </row>
    <row r="30" spans="2:14" ht="15" x14ac:dyDescent="0.3">
      <c r="B30" s="13"/>
      <c r="C30" s="14" t="s">
        <v>97</v>
      </c>
      <c r="D30" s="15"/>
      <c r="N30" s="16"/>
    </row>
    <row r="31" spans="2:14" ht="14.4" x14ac:dyDescent="0.3">
      <c r="B31" s="13"/>
      <c r="N31" s="16"/>
    </row>
    <row r="32" spans="2:14" ht="14.4" x14ac:dyDescent="0.3">
      <c r="B32" s="13"/>
      <c r="C32" s="15" t="s">
        <v>98</v>
      </c>
      <c r="E32" s="15"/>
      <c r="H32" s="15" t="s">
        <v>99</v>
      </c>
      <c r="L32" s="15"/>
      <c r="N32" s="16"/>
    </row>
    <row r="33" spans="2:14" ht="15" thickBot="1" x14ac:dyDescent="0.35">
      <c r="B33" s="13"/>
      <c r="C33" s="15" t="s">
        <v>100</v>
      </c>
      <c r="E33" s="15"/>
      <c r="H33" s="15" t="s">
        <v>101</v>
      </c>
      <c r="L33" s="72"/>
      <c r="M33" s="72"/>
      <c r="N33" s="16"/>
    </row>
    <row r="34" spans="2:14" ht="15" thickBot="1" x14ac:dyDescent="0.35">
      <c r="B34" s="13"/>
      <c r="C34" s="15" t="s">
        <v>102</v>
      </c>
      <c r="E34" s="15"/>
      <c r="H34" s="15" t="s">
        <v>103</v>
      </c>
      <c r="I34" s="73"/>
      <c r="J34" s="74"/>
      <c r="N34" s="16"/>
    </row>
    <row r="35" spans="2:14" ht="15" thickBot="1" x14ac:dyDescent="0.35">
      <c r="B35" s="13"/>
      <c r="C35" s="25"/>
      <c r="N35" s="16"/>
    </row>
    <row r="36" spans="2:14" ht="15" x14ac:dyDescent="0.3">
      <c r="B36" s="27"/>
      <c r="C36" s="14" t="s">
        <v>104</v>
      </c>
      <c r="D36" s="28"/>
      <c r="E36" s="28"/>
      <c r="F36" s="28"/>
      <c r="G36" s="28"/>
      <c r="H36" s="28"/>
      <c r="I36" s="28"/>
      <c r="J36" s="28"/>
      <c r="K36" s="28"/>
      <c r="L36" s="28"/>
      <c r="M36" s="28"/>
      <c r="N36" s="16"/>
    </row>
    <row r="37" spans="2:14" ht="14.4" x14ac:dyDescent="0.3">
      <c r="B37" s="13"/>
      <c r="N37" s="16"/>
    </row>
    <row r="38" spans="2:14" ht="15" customHeight="1" x14ac:dyDescent="0.3">
      <c r="B38" s="13"/>
      <c r="C38" s="15" t="s">
        <v>105</v>
      </c>
      <c r="F38" s="15" t="s">
        <v>106</v>
      </c>
      <c r="H38" s="15"/>
      <c r="N38" s="16"/>
    </row>
    <row r="39" spans="2:14" ht="14.4" x14ac:dyDescent="0.3">
      <c r="B39" s="13"/>
      <c r="C39" s="15" t="s">
        <v>107</v>
      </c>
      <c r="F39" s="15" t="s">
        <v>108</v>
      </c>
      <c r="H39" s="15"/>
      <c r="N39" s="16"/>
    </row>
    <row r="40" spans="2:14" ht="14.4" x14ac:dyDescent="0.3">
      <c r="B40" s="13"/>
      <c r="C40" s="15" t="s">
        <v>109</v>
      </c>
      <c r="F40" s="15" t="s">
        <v>110</v>
      </c>
      <c r="H40" s="15"/>
      <c r="N40" s="16"/>
    </row>
    <row r="41" spans="2:14" ht="14.4" x14ac:dyDescent="0.3">
      <c r="B41" s="13"/>
      <c r="C41" s="15" t="s">
        <v>111</v>
      </c>
      <c r="F41" s="15" t="s">
        <v>112</v>
      </c>
      <c r="H41" s="15"/>
      <c r="I41" s="75"/>
      <c r="J41" s="75"/>
      <c r="N41" s="16"/>
    </row>
    <row r="42" spans="2:14" ht="14.4" x14ac:dyDescent="0.3">
      <c r="B42" s="13"/>
      <c r="C42" s="15" t="s">
        <v>113</v>
      </c>
      <c r="F42" s="15" t="s">
        <v>114</v>
      </c>
      <c r="G42" s="15"/>
      <c r="N42" s="16"/>
    </row>
    <row r="43" spans="2:14" ht="15" thickBot="1" x14ac:dyDescent="0.35">
      <c r="B43" s="13"/>
      <c r="C43" s="15" t="s">
        <v>115</v>
      </c>
      <c r="F43" s="15" t="s">
        <v>116</v>
      </c>
      <c r="G43" s="15"/>
      <c r="N43" s="16"/>
    </row>
    <row r="44" spans="2:14" ht="15" thickBot="1" x14ac:dyDescent="0.35">
      <c r="B44" s="13"/>
      <c r="C44" s="15" t="s">
        <v>117</v>
      </c>
      <c r="D44" s="15"/>
      <c r="E44" s="15"/>
      <c r="F44" s="15" t="s">
        <v>103</v>
      </c>
      <c r="G44" s="76"/>
      <c r="H44" s="77"/>
      <c r="N44" s="16"/>
    </row>
    <row r="45" spans="2:14" ht="15.6" thickBot="1" x14ac:dyDescent="0.35">
      <c r="B45" s="13"/>
      <c r="C45" s="14"/>
      <c r="D45" s="15"/>
      <c r="E45" s="15"/>
      <c r="F45" s="15"/>
      <c r="G45" s="26"/>
      <c r="H45" s="26"/>
      <c r="N45" s="16"/>
    </row>
    <row r="46" spans="2:14" ht="15" x14ac:dyDescent="0.3">
      <c r="B46" s="27"/>
      <c r="C46" s="29" t="s">
        <v>118</v>
      </c>
      <c r="D46" s="28"/>
      <c r="E46" s="28"/>
      <c r="F46" s="28"/>
      <c r="G46" s="28"/>
      <c r="H46" s="28"/>
      <c r="I46" s="28"/>
      <c r="J46" s="28"/>
      <c r="K46" s="28"/>
      <c r="L46" s="28"/>
      <c r="M46" s="28"/>
      <c r="N46" s="16"/>
    </row>
    <row r="47" spans="2:14" ht="14.4" x14ac:dyDescent="0.3">
      <c r="B47" s="13"/>
      <c r="N47" s="16"/>
    </row>
    <row r="48" spans="2:14" ht="14.4" x14ac:dyDescent="0.3">
      <c r="B48" s="13"/>
      <c r="C48" s="15" t="s">
        <v>119</v>
      </c>
      <c r="E48" s="15" t="s">
        <v>120</v>
      </c>
      <c r="H48" s="15" t="s">
        <v>121</v>
      </c>
      <c r="N48" s="16"/>
    </row>
    <row r="49" spans="2:14" ht="14.4" x14ac:dyDescent="0.3">
      <c r="B49" s="13"/>
      <c r="C49" s="15" t="s">
        <v>122</v>
      </c>
      <c r="E49" s="15" t="s">
        <v>123</v>
      </c>
      <c r="H49" s="15" t="s">
        <v>124</v>
      </c>
      <c r="N49" s="16"/>
    </row>
    <row r="50" spans="2:14" ht="15" thickBot="1" x14ac:dyDescent="0.35">
      <c r="B50" s="13"/>
      <c r="C50" s="15" t="s">
        <v>125</v>
      </c>
      <c r="E50" s="15" t="s">
        <v>126</v>
      </c>
      <c r="H50" s="15" t="s">
        <v>127</v>
      </c>
      <c r="N50" s="16"/>
    </row>
    <row r="51" spans="2:14" ht="15" thickBot="1" x14ac:dyDescent="0.35">
      <c r="B51" s="13"/>
      <c r="C51" s="15" t="s">
        <v>128</v>
      </c>
      <c r="E51" s="15" t="s">
        <v>129</v>
      </c>
      <c r="H51" s="15" t="s">
        <v>130</v>
      </c>
      <c r="I51" s="78"/>
      <c r="J51" s="79"/>
      <c r="N51" s="16"/>
    </row>
    <row r="52" spans="2:14" ht="14.4" x14ac:dyDescent="0.3">
      <c r="B52" s="13"/>
      <c r="C52" s="15" t="s">
        <v>131</v>
      </c>
      <c r="E52" s="15" t="s">
        <v>132</v>
      </c>
      <c r="G52" s="15"/>
      <c r="N52" s="16"/>
    </row>
    <row r="53" spans="2:14" ht="14.4" x14ac:dyDescent="0.3">
      <c r="B53" s="13"/>
      <c r="C53" s="15" t="s">
        <v>133</v>
      </c>
      <c r="E53" s="15" t="s">
        <v>134</v>
      </c>
      <c r="G53" s="15"/>
      <c r="N53" s="16"/>
    </row>
    <row r="54" spans="2:14" ht="14.4" x14ac:dyDescent="0.3">
      <c r="B54" s="13"/>
      <c r="C54" s="15" t="s">
        <v>135</v>
      </c>
      <c r="D54" s="15"/>
      <c r="E54" s="15"/>
      <c r="G54" s="15"/>
      <c r="N54" s="16"/>
    </row>
    <row r="55" spans="2:14" ht="14.4" x14ac:dyDescent="0.3">
      <c r="B55" s="13"/>
      <c r="C55" s="15" t="s">
        <v>136</v>
      </c>
      <c r="N55" s="16"/>
    </row>
    <row r="56" spans="2:14" ht="14.4" x14ac:dyDescent="0.3">
      <c r="B56" s="13"/>
      <c r="C56" s="15" t="s">
        <v>137</v>
      </c>
      <c r="N56" s="16"/>
    </row>
    <row r="57" spans="2:14" ht="14.4" x14ac:dyDescent="0.3">
      <c r="B57" s="13"/>
      <c r="C57" s="15" t="s">
        <v>138</v>
      </c>
      <c r="D57" s="30"/>
      <c r="N57" s="16"/>
    </row>
    <row r="58" spans="2:14" ht="15" thickBot="1" x14ac:dyDescent="0.35">
      <c r="B58" s="13"/>
      <c r="C58" s="25"/>
      <c r="D58" s="25"/>
      <c r="E58" s="25"/>
      <c r="F58" s="25"/>
      <c r="G58" s="25"/>
      <c r="H58" s="25"/>
      <c r="I58" s="25"/>
      <c r="J58" s="25"/>
      <c r="K58" s="25"/>
      <c r="L58" s="25"/>
      <c r="M58" s="25"/>
      <c r="N58" s="16"/>
    </row>
    <row r="59" spans="2:14" ht="15" x14ac:dyDescent="0.3">
      <c r="B59" s="13"/>
      <c r="C59" s="14" t="s">
        <v>139</v>
      </c>
      <c r="D59" s="31"/>
      <c r="N59" s="16"/>
    </row>
    <row r="60" spans="2:14" ht="14.4" x14ac:dyDescent="0.3">
      <c r="B60" s="13"/>
      <c r="C60" s="32"/>
      <c r="D60" s="31"/>
      <c r="N60" s="16"/>
    </row>
    <row r="61" spans="2:14" ht="14.4" x14ac:dyDescent="0.3">
      <c r="B61" s="13"/>
      <c r="C61" s="15" t="s">
        <v>140</v>
      </c>
      <c r="E61" s="15" t="s">
        <v>141</v>
      </c>
      <c r="H61" s="15" t="s">
        <v>142</v>
      </c>
      <c r="N61" s="16"/>
    </row>
    <row r="62" spans="2:14" ht="14.4" x14ac:dyDescent="0.3">
      <c r="B62" s="13"/>
      <c r="C62" s="15" t="s">
        <v>143</v>
      </c>
      <c r="E62" s="15" t="s">
        <v>144</v>
      </c>
      <c r="H62" s="15" t="s">
        <v>145</v>
      </c>
      <c r="N62" s="16"/>
    </row>
    <row r="63" spans="2:14" ht="14.4" x14ac:dyDescent="0.3">
      <c r="B63" s="13"/>
      <c r="C63" s="15" t="s">
        <v>146</v>
      </c>
      <c r="E63" s="15" t="s">
        <v>147</v>
      </c>
      <c r="H63" s="15" t="s">
        <v>148</v>
      </c>
      <c r="N63" s="16"/>
    </row>
    <row r="64" spans="2:14" ht="14.4" x14ac:dyDescent="0.3">
      <c r="B64" s="13"/>
      <c r="C64" s="15" t="s">
        <v>149</v>
      </c>
      <c r="E64" s="15" t="s">
        <v>150</v>
      </c>
      <c r="H64" s="15" t="s">
        <v>151</v>
      </c>
      <c r="N64" s="16"/>
    </row>
    <row r="65" spans="2:14" ht="15" thickBot="1" x14ac:dyDescent="0.35">
      <c r="B65" s="13"/>
      <c r="C65" s="15" t="s">
        <v>152</v>
      </c>
      <c r="E65" s="15" t="s">
        <v>153</v>
      </c>
      <c r="H65" s="15" t="s">
        <v>154</v>
      </c>
      <c r="N65" s="16"/>
    </row>
    <row r="66" spans="2:14" ht="15" thickBot="1" x14ac:dyDescent="0.35">
      <c r="B66" s="13"/>
      <c r="C66" s="15" t="s">
        <v>155</v>
      </c>
      <c r="E66" s="15" t="s">
        <v>156</v>
      </c>
      <c r="H66" s="78"/>
      <c r="I66" s="79"/>
      <c r="N66" s="16"/>
    </row>
    <row r="67" spans="2:14" ht="14.4" x14ac:dyDescent="0.3">
      <c r="B67" s="13"/>
      <c r="C67" s="15" t="s">
        <v>157</v>
      </c>
      <c r="E67" s="15" t="s">
        <v>158</v>
      </c>
      <c r="N67" s="16"/>
    </row>
    <row r="68" spans="2:14" ht="14.4" x14ac:dyDescent="0.3">
      <c r="B68" s="13"/>
      <c r="C68" s="15" t="s">
        <v>159</v>
      </c>
      <c r="E68" s="15" t="s">
        <v>160</v>
      </c>
      <c r="N68" s="16"/>
    </row>
    <row r="69" spans="2:14" ht="14.4" x14ac:dyDescent="0.3">
      <c r="B69" s="13"/>
      <c r="D69" s="32"/>
      <c r="N69" s="16"/>
    </row>
    <row r="70" spans="2:14" ht="15" thickBot="1" x14ac:dyDescent="0.35">
      <c r="B70" s="13"/>
      <c r="C70" s="25"/>
      <c r="D70" s="25"/>
      <c r="E70" s="25"/>
      <c r="F70" s="25"/>
      <c r="G70" s="25"/>
      <c r="H70" s="25"/>
      <c r="I70" s="25"/>
      <c r="J70" s="25"/>
      <c r="K70" s="25"/>
      <c r="L70" s="25"/>
      <c r="M70" s="25"/>
      <c r="N70" s="16"/>
    </row>
    <row r="71" spans="2:14" ht="15" x14ac:dyDescent="0.3">
      <c r="B71" s="13"/>
      <c r="C71" s="14" t="s">
        <v>161</v>
      </c>
      <c r="D71" s="31"/>
      <c r="N71" s="16"/>
    </row>
    <row r="72" spans="2:14" ht="14.4" x14ac:dyDescent="0.3">
      <c r="B72" s="13"/>
      <c r="C72" s="32"/>
      <c r="D72" s="32"/>
      <c r="N72" s="16"/>
    </row>
    <row r="73" spans="2:14" s="34" customFormat="1" ht="14.4" x14ac:dyDescent="0.3">
      <c r="B73" s="33"/>
      <c r="C73" s="15" t="s">
        <v>162</v>
      </c>
      <c r="D73"/>
      <c r="E73" s="15" t="s">
        <v>163</v>
      </c>
      <c r="G73"/>
      <c r="H73" s="15" t="s">
        <v>164</v>
      </c>
      <c r="N73" s="35"/>
    </row>
    <row r="74" spans="2:14" s="34" customFormat="1" ht="14.4" x14ac:dyDescent="0.3">
      <c r="B74" s="33"/>
      <c r="C74" s="15" t="s">
        <v>165</v>
      </c>
      <c r="D74"/>
      <c r="E74" s="15" t="s">
        <v>166</v>
      </c>
      <c r="G74"/>
      <c r="H74" s="15" t="s">
        <v>167</v>
      </c>
      <c r="N74" s="35"/>
    </row>
    <row r="75" spans="2:14" s="34" customFormat="1" ht="14.4" x14ac:dyDescent="0.3">
      <c r="B75" s="13"/>
      <c r="C75" s="15" t="s">
        <v>168</v>
      </c>
      <c r="D75"/>
      <c r="E75" s="15" t="s">
        <v>169</v>
      </c>
      <c r="G75"/>
      <c r="H75" s="15" t="s">
        <v>170</v>
      </c>
      <c r="N75" s="35"/>
    </row>
    <row r="76" spans="2:14" s="34" customFormat="1" ht="14.4" x14ac:dyDescent="0.3">
      <c r="B76" s="33"/>
      <c r="G76"/>
      <c r="H76" s="15" t="s">
        <v>130</v>
      </c>
      <c r="N76" s="35"/>
    </row>
    <row r="77" spans="2:14" ht="15" thickBot="1" x14ac:dyDescent="0.35">
      <c r="B77" s="13"/>
      <c r="C77" s="25"/>
      <c r="D77" s="36"/>
      <c r="E77" s="25"/>
      <c r="F77" s="25"/>
      <c r="G77" s="25"/>
      <c r="H77" s="25"/>
      <c r="I77" s="25"/>
      <c r="J77" s="25"/>
      <c r="K77" s="25"/>
      <c r="L77" s="25"/>
      <c r="M77" s="25"/>
      <c r="N77" s="16"/>
    </row>
    <row r="78" spans="2:14" ht="14.4" x14ac:dyDescent="0.3">
      <c r="B78" s="13"/>
      <c r="D78" s="32"/>
      <c r="N78" s="16"/>
    </row>
    <row r="79" spans="2:14" ht="14.4" x14ac:dyDescent="0.3">
      <c r="B79" s="37"/>
      <c r="C79" s="38"/>
      <c r="D79" s="39"/>
      <c r="E79" s="38"/>
      <c r="F79" s="38"/>
      <c r="G79" s="38"/>
      <c r="H79" s="38"/>
      <c r="I79" s="38"/>
      <c r="J79" s="38"/>
      <c r="K79" s="38"/>
      <c r="L79" s="38"/>
      <c r="M79" s="38"/>
      <c r="N79" s="40"/>
    </row>
    <row r="80" spans="2:14" ht="14.4" x14ac:dyDescent="0.3">
      <c r="D80" s="32"/>
    </row>
    <row r="81" spans="3:4" ht="14.4" hidden="1" x14ac:dyDescent="0.3">
      <c r="D81" s="32"/>
    </row>
    <row r="82" spans="3:4" ht="14.4" hidden="1" x14ac:dyDescent="0.3">
      <c r="D82" s="32"/>
    </row>
    <row r="83" spans="3:4" ht="14.4" hidden="1" x14ac:dyDescent="0.3">
      <c r="C83" s="32"/>
      <c r="D83" s="32"/>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defaultColWidth="8.77734375" defaultRowHeight="14.4" x14ac:dyDescent="0.3"/>
  <cols>
    <col min="1" max="2" width="4.77734375" customWidth="1"/>
  </cols>
  <sheetData>
    <row r="1" spans="1:15" x14ac:dyDescent="0.3">
      <c r="A1" t="s">
        <v>171</v>
      </c>
    </row>
    <row r="2" spans="1:15" x14ac:dyDescent="0.3">
      <c r="B2">
        <v>1</v>
      </c>
      <c r="C2" t="s">
        <v>172</v>
      </c>
    </row>
    <row r="3" spans="1:15" x14ac:dyDescent="0.3">
      <c r="B3" t="s">
        <v>173</v>
      </c>
      <c r="C3" t="s">
        <v>251</v>
      </c>
    </row>
    <row r="4" spans="1:15" x14ac:dyDescent="0.3">
      <c r="A4" s="60" t="s">
        <v>174</v>
      </c>
      <c r="B4" s="60" t="s">
        <v>175</v>
      </c>
      <c r="C4" s="60" t="s">
        <v>252</v>
      </c>
      <c r="D4" s="60"/>
      <c r="E4" s="60"/>
      <c r="F4" s="60"/>
      <c r="G4" s="60"/>
      <c r="H4" s="60"/>
      <c r="I4" s="60"/>
      <c r="J4" s="60"/>
      <c r="K4" s="60"/>
      <c r="L4" s="60"/>
      <c r="M4" s="60"/>
      <c r="N4" s="60"/>
      <c r="O4" s="60"/>
    </row>
    <row r="5" spans="1:15" x14ac:dyDescent="0.3">
      <c r="B5" t="s">
        <v>176</v>
      </c>
      <c r="C5" t="s">
        <v>253</v>
      </c>
    </row>
    <row r="7" spans="1:15" x14ac:dyDescent="0.3">
      <c r="B7">
        <v>2</v>
      </c>
      <c r="C7" t="s">
        <v>254</v>
      </c>
    </row>
    <row r="8" spans="1:15" x14ac:dyDescent="0.3">
      <c r="A8" s="60" t="s">
        <v>174</v>
      </c>
      <c r="B8" s="60" t="s">
        <v>173</v>
      </c>
      <c r="C8" s="60" t="s">
        <v>255</v>
      </c>
      <c r="D8" s="60"/>
      <c r="E8" s="60"/>
      <c r="F8" s="60"/>
      <c r="G8" s="60"/>
      <c r="H8" s="60"/>
      <c r="I8" s="60"/>
      <c r="J8" s="60"/>
      <c r="K8" s="60"/>
      <c r="L8" s="60"/>
      <c r="M8" s="60"/>
      <c r="N8" s="60"/>
      <c r="O8" s="60"/>
    </row>
    <row r="9" spans="1:15" x14ac:dyDescent="0.3">
      <c r="B9" t="s">
        <v>175</v>
      </c>
      <c r="C9" t="s">
        <v>256</v>
      </c>
    </row>
    <row r="10" spans="1:15" x14ac:dyDescent="0.3">
      <c r="B10" t="s">
        <v>176</v>
      </c>
      <c r="C10" t="s">
        <v>188</v>
      </c>
    </row>
    <row r="12" spans="1:15" x14ac:dyDescent="0.3">
      <c r="B12">
        <v>3</v>
      </c>
      <c r="C12" t="s">
        <v>257</v>
      </c>
    </row>
    <row r="13" spans="1:15" x14ac:dyDescent="0.3">
      <c r="B13" t="s">
        <v>173</v>
      </c>
      <c r="C13" t="s">
        <v>258</v>
      </c>
    </row>
    <row r="14" spans="1:15" x14ac:dyDescent="0.3">
      <c r="A14" s="60" t="s">
        <v>174</v>
      </c>
      <c r="B14" s="60" t="s">
        <v>175</v>
      </c>
      <c r="C14" s="60" t="s">
        <v>259</v>
      </c>
      <c r="D14" s="60"/>
      <c r="E14" s="60"/>
      <c r="F14" s="60"/>
      <c r="G14" s="60"/>
      <c r="H14" s="60"/>
      <c r="I14" s="60"/>
      <c r="J14" s="60"/>
      <c r="K14" s="60"/>
      <c r="L14" s="60"/>
      <c r="M14" s="60"/>
      <c r="N14" s="60"/>
      <c r="O14" s="60"/>
    </row>
    <row r="15" spans="1:15" x14ac:dyDescent="0.3">
      <c r="B15" t="s">
        <v>176</v>
      </c>
      <c r="C15" t="s">
        <v>260</v>
      </c>
    </row>
    <row r="17" spans="1:15" x14ac:dyDescent="0.3">
      <c r="B17">
        <v>4</v>
      </c>
      <c r="C17" t="s">
        <v>261</v>
      </c>
    </row>
    <row r="18" spans="1:15" x14ac:dyDescent="0.3">
      <c r="B18" t="s">
        <v>173</v>
      </c>
      <c r="C18" t="s">
        <v>262</v>
      </c>
    </row>
    <row r="19" spans="1:15" x14ac:dyDescent="0.3">
      <c r="B19" t="s">
        <v>175</v>
      </c>
      <c r="C19" t="s">
        <v>263</v>
      </c>
    </row>
    <row r="20" spans="1:15" x14ac:dyDescent="0.3">
      <c r="A20" s="60" t="s">
        <v>174</v>
      </c>
      <c r="B20" s="60" t="s">
        <v>176</v>
      </c>
      <c r="C20" s="60" t="s">
        <v>264</v>
      </c>
      <c r="D20" s="60"/>
      <c r="E20" s="60"/>
      <c r="F20" s="60"/>
      <c r="G20" s="60"/>
      <c r="H20" s="60"/>
      <c r="I20" s="60"/>
      <c r="J20" s="60"/>
      <c r="K20" s="60"/>
      <c r="L20" s="60"/>
      <c r="M20" s="60"/>
      <c r="N20" s="60"/>
      <c r="O20" s="60"/>
    </row>
    <row r="22" spans="1:15" x14ac:dyDescent="0.3">
      <c r="B22">
        <v>5</v>
      </c>
      <c r="C22" t="s">
        <v>177</v>
      </c>
    </row>
    <row r="23" spans="1:15" x14ac:dyDescent="0.3">
      <c r="B23" t="s">
        <v>173</v>
      </c>
      <c r="C23" t="s">
        <v>265</v>
      </c>
    </row>
    <row r="24" spans="1:15" x14ac:dyDescent="0.3">
      <c r="B24" t="s">
        <v>175</v>
      </c>
      <c r="C24" t="s">
        <v>266</v>
      </c>
    </row>
    <row r="25" spans="1:15" x14ac:dyDescent="0.3">
      <c r="A25" s="60" t="s">
        <v>174</v>
      </c>
      <c r="B25" s="60" t="s">
        <v>176</v>
      </c>
      <c r="C25" s="60" t="s">
        <v>267</v>
      </c>
      <c r="D25" s="60"/>
      <c r="E25" s="60"/>
      <c r="F25" s="60"/>
      <c r="G25" s="60"/>
      <c r="H25" s="60"/>
      <c r="I25" s="60"/>
      <c r="J25" s="60"/>
      <c r="K25" s="60"/>
      <c r="L25" s="60"/>
      <c r="M25" s="60"/>
      <c r="N25" s="60"/>
      <c r="O25" s="60"/>
    </row>
    <row r="27" spans="1:15" x14ac:dyDescent="0.3">
      <c r="A27">
        <v>6</v>
      </c>
      <c r="B27" t="s">
        <v>268</v>
      </c>
    </row>
    <row r="28" spans="1:15" x14ac:dyDescent="0.3">
      <c r="B28" t="s">
        <v>269</v>
      </c>
    </row>
    <row r="29" spans="1:15" x14ac:dyDescent="0.3">
      <c r="A29" s="60" t="s">
        <v>174</v>
      </c>
      <c r="B29" s="60" t="s">
        <v>270</v>
      </c>
      <c r="C29" s="60"/>
    </row>
    <row r="30" spans="1:15" x14ac:dyDescent="0.3">
      <c r="B30" t="s">
        <v>271</v>
      </c>
    </row>
    <row r="31" spans="1:15" x14ac:dyDescent="0.3">
      <c r="B31" t="s">
        <v>272</v>
      </c>
    </row>
    <row r="33" spans="1:3" x14ac:dyDescent="0.3">
      <c r="A33">
        <v>7</v>
      </c>
      <c r="B33" t="s">
        <v>273</v>
      </c>
    </row>
    <row r="34" spans="1:3" x14ac:dyDescent="0.3">
      <c r="A34" s="60" t="s">
        <v>174</v>
      </c>
      <c r="B34" s="60" t="s">
        <v>274</v>
      </c>
      <c r="C34" s="60"/>
    </row>
    <row r="35" spans="1:3" x14ac:dyDescent="0.3">
      <c r="B35" t="s">
        <v>275</v>
      </c>
    </row>
    <row r="36" spans="1:3" x14ac:dyDescent="0.3">
      <c r="B36" t="s">
        <v>276</v>
      </c>
    </row>
    <row r="37" spans="1:3" x14ac:dyDescent="0.3">
      <c r="B37" t="s">
        <v>277</v>
      </c>
    </row>
    <row r="39" spans="1:3" x14ac:dyDescent="0.3">
      <c r="A39">
        <v>8</v>
      </c>
      <c r="B39" t="s">
        <v>278</v>
      </c>
    </row>
    <row r="40" spans="1:3" x14ac:dyDescent="0.3">
      <c r="B40" t="s">
        <v>279</v>
      </c>
    </row>
    <row r="41" spans="1:3" x14ac:dyDescent="0.3">
      <c r="A41" s="60" t="s">
        <v>174</v>
      </c>
      <c r="B41" s="60" t="s">
        <v>280</v>
      </c>
      <c r="C41" s="60"/>
    </row>
    <row r="42" spans="1:3" x14ac:dyDescent="0.3">
      <c r="B42" t="s">
        <v>281</v>
      </c>
    </row>
    <row r="43" spans="1:3" x14ac:dyDescent="0.3">
      <c r="B43" t="s">
        <v>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4C8402-70FC-4005-B049-E9BAD2D6EC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2026-09-21T12:39:41Z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